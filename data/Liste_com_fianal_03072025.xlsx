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RAM_Madagascar/Shared Documents/General/Ciblage 2025/Ciblage geo/"/>
    </mc:Choice>
  </mc:AlternateContent>
  <xr:revisionPtr revIDLastSave="40" documentId="8_{5A8A92D5-371B-4D0A-A776-5A547D91C551}" xr6:coauthVersionLast="47" xr6:coauthVersionMax="47" xr10:uidLastSave="{19BDCDD9-D8B3-45CE-986C-CB22477E2ACF}"/>
  <bookViews>
    <workbookView xWindow="-110" yWindow="-110" windowWidth="19420" windowHeight="11500" firstSheet="3" activeTab="2" xr2:uid="{FAD365C9-BD42-4035-BB3A-A13F14DE4F20}"/>
  </bookViews>
  <sheets>
    <sheet name="Recap Finale" sheetId="23" r:id="rId1"/>
    <sheet name="Recap presentation " sheetId="24" r:id="rId2"/>
    <sheet name="Liste_Final_draft_Urg" sheetId="3" r:id="rId3"/>
    <sheet name="Liste_Final_discussion_Res" sheetId="17" r:id="rId4"/>
    <sheet name="Quota" sheetId="16" r:id="rId5"/>
  </sheets>
  <definedNames>
    <definedName name="_xlnm._FilterDatabase" localSheetId="3" hidden="1">Liste_Final_discussion_Res!$A$1:$X$85</definedName>
    <definedName name="_xlnm._FilterDatabase" localSheetId="2" hidden="1">Liste_Final_draft_Urg!$A$1:$AX$56</definedName>
  </definedNames>
  <calcPr calcId="191028"/>
  <pivotCaches>
    <pivotCache cacheId="3723" r:id="rId6"/>
    <pivotCache cacheId="3724" r:id="rId7"/>
    <pivotCache cacheId="3725" r:id="rId8"/>
    <pivotCache cacheId="372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5" i="3" l="1"/>
  <c r="Z55" i="3"/>
  <c r="R55" i="3"/>
  <c r="U55" i="3" s="1"/>
  <c r="F12" i="24"/>
  <c r="F13" i="24"/>
  <c r="F14" i="24"/>
  <c r="F11" i="24"/>
  <c r="F15" i="24" s="1"/>
  <c r="V85" i="17"/>
  <c r="W85" i="17" s="1"/>
  <c r="AA51" i="3"/>
  <c r="AA52" i="3"/>
  <c r="AA53" i="3"/>
  <c r="AA54" i="3"/>
  <c r="AA22" i="3"/>
  <c r="Z51" i="3"/>
  <c r="Z52" i="3"/>
  <c r="Z53" i="3"/>
  <c r="Z54" i="3"/>
  <c r="Z22" i="3"/>
  <c r="Y22" i="3"/>
  <c r="AM22" i="3" s="1"/>
  <c r="AS22" i="3" s="1"/>
  <c r="U51" i="3"/>
  <c r="W51" i="3" s="1"/>
  <c r="U52" i="3"/>
  <c r="W52" i="3" s="1"/>
  <c r="U53" i="3"/>
  <c r="W53" i="3" s="1"/>
  <c r="U54" i="3"/>
  <c r="V54" i="3" s="1"/>
  <c r="T51" i="3"/>
  <c r="T52" i="3"/>
  <c r="T53" i="3"/>
  <c r="T54" i="3"/>
  <c r="AS3" i="3"/>
  <c r="AT3" i="3"/>
  <c r="AU3" i="3"/>
  <c r="AV3" i="3"/>
  <c r="AW3" i="3"/>
  <c r="AX3" i="3"/>
  <c r="AS6" i="3"/>
  <c r="AT6" i="3"/>
  <c r="AU6" i="3"/>
  <c r="AV6" i="3"/>
  <c r="AW6" i="3"/>
  <c r="AX6" i="3"/>
  <c r="AS7" i="3"/>
  <c r="AT7" i="3"/>
  <c r="AU7" i="3"/>
  <c r="AV7" i="3"/>
  <c r="AW7" i="3"/>
  <c r="AX7" i="3"/>
  <c r="AS10" i="3"/>
  <c r="AT10" i="3"/>
  <c r="AU10" i="3"/>
  <c r="AV10" i="3"/>
  <c r="AW10" i="3"/>
  <c r="AX10" i="3"/>
  <c r="AS12" i="3"/>
  <c r="AT12" i="3"/>
  <c r="AU12" i="3"/>
  <c r="AV12" i="3"/>
  <c r="AW12" i="3"/>
  <c r="AX12" i="3"/>
  <c r="AS16" i="3"/>
  <c r="AT16" i="3"/>
  <c r="AU16" i="3"/>
  <c r="AV16" i="3"/>
  <c r="AW16" i="3"/>
  <c r="AX16" i="3"/>
  <c r="AS17" i="3"/>
  <c r="AT17" i="3"/>
  <c r="AU17" i="3"/>
  <c r="AV17" i="3"/>
  <c r="AW17" i="3"/>
  <c r="AX17" i="3"/>
  <c r="AS18" i="3"/>
  <c r="AT18" i="3"/>
  <c r="AU18" i="3"/>
  <c r="AV18" i="3"/>
  <c r="AW18" i="3"/>
  <c r="AX18" i="3"/>
  <c r="AS20" i="3"/>
  <c r="AT20" i="3"/>
  <c r="AU20" i="3"/>
  <c r="AV20" i="3"/>
  <c r="AW20" i="3"/>
  <c r="AX20" i="3"/>
  <c r="AS23" i="3"/>
  <c r="AT23" i="3"/>
  <c r="AU23" i="3"/>
  <c r="AV23" i="3"/>
  <c r="AW23" i="3"/>
  <c r="AX23" i="3"/>
  <c r="AS27" i="3"/>
  <c r="AT27" i="3"/>
  <c r="AU27" i="3"/>
  <c r="AV27" i="3"/>
  <c r="AW27" i="3"/>
  <c r="AX27" i="3"/>
  <c r="AS30" i="3"/>
  <c r="AT30" i="3"/>
  <c r="AU30" i="3"/>
  <c r="AV30" i="3"/>
  <c r="AW30" i="3"/>
  <c r="AX30" i="3"/>
  <c r="AS32" i="3"/>
  <c r="AT32" i="3"/>
  <c r="AU32" i="3"/>
  <c r="AV32" i="3"/>
  <c r="AW32" i="3"/>
  <c r="AX32" i="3"/>
  <c r="AS34" i="3"/>
  <c r="AT34" i="3"/>
  <c r="AU34" i="3"/>
  <c r="AV34" i="3"/>
  <c r="AW34" i="3"/>
  <c r="AX34" i="3"/>
  <c r="AS35" i="3"/>
  <c r="AT35" i="3"/>
  <c r="AU35" i="3"/>
  <c r="AV35" i="3"/>
  <c r="AW35" i="3"/>
  <c r="AX35" i="3"/>
  <c r="AS36" i="3"/>
  <c r="AT36" i="3"/>
  <c r="AU36" i="3"/>
  <c r="AV36" i="3"/>
  <c r="AW36" i="3"/>
  <c r="AX36" i="3"/>
  <c r="AS38" i="3"/>
  <c r="AT38" i="3"/>
  <c r="AU38" i="3"/>
  <c r="AV38" i="3"/>
  <c r="AW38" i="3"/>
  <c r="AX38" i="3"/>
  <c r="AS40" i="3"/>
  <c r="AT40" i="3"/>
  <c r="AU40" i="3"/>
  <c r="AV40" i="3"/>
  <c r="AW40" i="3"/>
  <c r="AX40" i="3"/>
  <c r="AS41" i="3"/>
  <c r="AT41" i="3"/>
  <c r="AU41" i="3"/>
  <c r="AV41" i="3"/>
  <c r="AW41" i="3"/>
  <c r="AX41" i="3"/>
  <c r="AS42" i="3"/>
  <c r="AT42" i="3"/>
  <c r="AU42" i="3"/>
  <c r="AV42" i="3"/>
  <c r="AW42" i="3"/>
  <c r="AX42" i="3"/>
  <c r="AS46" i="3"/>
  <c r="AT46" i="3"/>
  <c r="AU46" i="3"/>
  <c r="AV46" i="3"/>
  <c r="AW46" i="3"/>
  <c r="AX46" i="3"/>
  <c r="AS50" i="3"/>
  <c r="AT50" i="3"/>
  <c r="AU50" i="3"/>
  <c r="AV50" i="3"/>
  <c r="AW50" i="3"/>
  <c r="AX50" i="3"/>
  <c r="AA42" i="3"/>
  <c r="AA24" i="3"/>
  <c r="AA34" i="3"/>
  <c r="AA20" i="3"/>
  <c r="AA48" i="3"/>
  <c r="AA37" i="3"/>
  <c r="AA16" i="3"/>
  <c r="AA39" i="3"/>
  <c r="AA35" i="3"/>
  <c r="AA5" i="3"/>
  <c r="AA36" i="3"/>
  <c r="AA19" i="3"/>
  <c r="AA7" i="3"/>
  <c r="AA40" i="3"/>
  <c r="AA50" i="3"/>
  <c r="AA15" i="3"/>
  <c r="AA13" i="3"/>
  <c r="AA21" i="3"/>
  <c r="AA31" i="3"/>
  <c r="AA38" i="3"/>
  <c r="AA2" i="3"/>
  <c r="AA45" i="3"/>
  <c r="AA9" i="3"/>
  <c r="AA41" i="3"/>
  <c r="AA14" i="3"/>
  <c r="AA49" i="3"/>
  <c r="AA17" i="3"/>
  <c r="AA44" i="3"/>
  <c r="AA18" i="3"/>
  <c r="AA32" i="3"/>
  <c r="AA46" i="3"/>
  <c r="AA4" i="3"/>
  <c r="AA28" i="3"/>
  <c r="AA11" i="3"/>
  <c r="AA26" i="3"/>
  <c r="AA25" i="3"/>
  <c r="AA27" i="3"/>
  <c r="AA43" i="3"/>
  <c r="AA23" i="3"/>
  <c r="AA12" i="3"/>
  <c r="AA33" i="3"/>
  <c r="AA8" i="3"/>
  <c r="AA6" i="3"/>
  <c r="AA3" i="3"/>
  <c r="AA29" i="3"/>
  <c r="AA47" i="3"/>
  <c r="AA10" i="3"/>
  <c r="AA30" i="3"/>
  <c r="Z42" i="3"/>
  <c r="Z24" i="3"/>
  <c r="Z34" i="3"/>
  <c r="Z20" i="3"/>
  <c r="Z48" i="3"/>
  <c r="Z37" i="3"/>
  <c r="Z16" i="3"/>
  <c r="Z39" i="3"/>
  <c r="Z35" i="3"/>
  <c r="Z5" i="3"/>
  <c r="Z36" i="3"/>
  <c r="Z19" i="3"/>
  <c r="Z7" i="3"/>
  <c r="Z40" i="3"/>
  <c r="Z50" i="3"/>
  <c r="Z15" i="3"/>
  <c r="Z13" i="3"/>
  <c r="Z21" i="3"/>
  <c r="Z31" i="3"/>
  <c r="Z38" i="3"/>
  <c r="Z2" i="3"/>
  <c r="Z45" i="3"/>
  <c r="Z9" i="3"/>
  <c r="Z41" i="3"/>
  <c r="Z14" i="3"/>
  <c r="Z49" i="3"/>
  <c r="Z17" i="3"/>
  <c r="Z44" i="3"/>
  <c r="Z18" i="3"/>
  <c r="Z32" i="3"/>
  <c r="Z46" i="3"/>
  <c r="Z4" i="3"/>
  <c r="Z28" i="3"/>
  <c r="Z11" i="3"/>
  <c r="Z26" i="3"/>
  <c r="Z25" i="3"/>
  <c r="Z27" i="3"/>
  <c r="Z43" i="3"/>
  <c r="Z23" i="3"/>
  <c r="Z12" i="3"/>
  <c r="Z33" i="3"/>
  <c r="Z8" i="3"/>
  <c r="Z6" i="3"/>
  <c r="Z3" i="3"/>
  <c r="Z29" i="3"/>
  <c r="Z47" i="3"/>
  <c r="Z10" i="3"/>
  <c r="Z30" i="3"/>
  <c r="D2" i="16"/>
  <c r="Y42" i="3"/>
  <c r="AC42" i="3" s="1"/>
  <c r="Y24" i="3"/>
  <c r="Y34" i="3"/>
  <c r="Y20" i="3"/>
  <c r="AC20" i="3" s="1"/>
  <c r="Y48" i="3"/>
  <c r="Y37" i="3"/>
  <c r="Y16" i="3"/>
  <c r="Y39" i="3"/>
  <c r="Y35" i="3"/>
  <c r="Y5" i="3"/>
  <c r="Y36" i="3"/>
  <c r="Y19" i="3"/>
  <c r="Y7" i="3"/>
  <c r="Y40" i="3"/>
  <c r="Y50" i="3"/>
  <c r="Y30" i="3"/>
  <c r="AD30" i="3" s="1"/>
  <c r="W42" i="3"/>
  <c r="W24" i="3"/>
  <c r="W34" i="3"/>
  <c r="W20" i="3"/>
  <c r="W48" i="3"/>
  <c r="W37" i="3"/>
  <c r="W16" i="3"/>
  <c r="W39" i="3"/>
  <c r="W35" i="3"/>
  <c r="W22" i="3"/>
  <c r="W5" i="3"/>
  <c r="W36" i="3"/>
  <c r="W19" i="3"/>
  <c r="W7" i="3"/>
  <c r="W40" i="3"/>
  <c r="W50" i="3"/>
  <c r="W30" i="3"/>
  <c r="S8" i="17"/>
  <c r="S75" i="17"/>
  <c r="S30" i="17"/>
  <c r="S60" i="17"/>
  <c r="S41" i="17"/>
  <c r="S45" i="17"/>
  <c r="S31" i="17"/>
  <c r="S67" i="17"/>
  <c r="S74" i="17"/>
  <c r="S35" i="17"/>
  <c r="S27" i="17"/>
  <c r="S40" i="17"/>
  <c r="S34" i="17"/>
  <c r="S3" i="17"/>
  <c r="S78" i="17"/>
  <c r="S63" i="17"/>
  <c r="S5" i="17"/>
  <c r="S47" i="17"/>
  <c r="S10" i="17"/>
  <c r="S23" i="17"/>
  <c r="S26" i="17"/>
  <c r="S52" i="17"/>
  <c r="S76" i="17"/>
  <c r="S84" i="17"/>
  <c r="S16" i="17"/>
  <c r="S66" i="17"/>
  <c r="S55" i="17"/>
  <c r="S58" i="17"/>
  <c r="S59" i="17"/>
  <c r="S82" i="17"/>
  <c r="S77" i="17"/>
  <c r="S81" i="17"/>
  <c r="S7" i="17"/>
  <c r="S79" i="17"/>
  <c r="S11" i="17"/>
  <c r="S2" i="17"/>
  <c r="S64" i="17"/>
  <c r="S73" i="17"/>
  <c r="S25" i="17"/>
  <c r="S29" i="17"/>
  <c r="S17" i="17"/>
  <c r="S12" i="17"/>
  <c r="S56" i="17"/>
  <c r="S22" i="17"/>
  <c r="S70" i="17"/>
  <c r="S68" i="17"/>
  <c r="S33" i="17"/>
  <c r="S38" i="17"/>
  <c r="S39" i="17"/>
  <c r="S28" i="17"/>
  <c r="S24" i="17"/>
  <c r="S18" i="17"/>
  <c r="S42" i="17"/>
  <c r="S62" i="17"/>
  <c r="S15" i="17"/>
  <c r="S69" i="17"/>
  <c r="S46" i="17"/>
  <c r="S53" i="17"/>
  <c r="S49" i="17"/>
  <c r="S61" i="17"/>
  <c r="S80" i="17"/>
  <c r="S72" i="17"/>
  <c r="S9" i="17"/>
  <c r="S37" i="17"/>
  <c r="S83" i="17"/>
  <c r="S51" i="17"/>
  <c r="S71" i="17"/>
  <c r="S19" i="17"/>
  <c r="S65" i="17"/>
  <c r="S21" i="17"/>
  <c r="S48" i="17"/>
  <c r="S44" i="17"/>
  <c r="S20" i="17"/>
  <c r="S57" i="17"/>
  <c r="S6" i="17"/>
  <c r="S43" i="17"/>
  <c r="S13" i="17"/>
  <c r="S50" i="17"/>
  <c r="S54" i="17"/>
  <c r="S36" i="17"/>
  <c r="S32" i="17"/>
  <c r="S4" i="17"/>
  <c r="S14" i="17"/>
  <c r="F2" i="16"/>
  <c r="G2" i="16" s="1"/>
  <c r="R28" i="3"/>
  <c r="T28" i="3" s="1"/>
  <c r="R34" i="3"/>
  <c r="R24" i="3"/>
  <c r="R42" i="3"/>
  <c r="R4" i="3"/>
  <c r="U4" i="3" s="1"/>
  <c r="V4" i="3" s="1"/>
  <c r="R46" i="3"/>
  <c r="U46" i="3" s="1"/>
  <c r="V46" i="3" s="1"/>
  <c r="R16" i="3"/>
  <c r="R40" i="3"/>
  <c r="R11" i="3"/>
  <c r="U11" i="3" s="1"/>
  <c r="V11" i="3" s="1"/>
  <c r="R14" i="3"/>
  <c r="U14" i="3" s="1"/>
  <c r="V14" i="3" s="1"/>
  <c r="R15" i="3"/>
  <c r="U15" i="3" s="1"/>
  <c r="V15" i="3" s="1"/>
  <c r="R26" i="3"/>
  <c r="U26" i="3" s="1"/>
  <c r="V26" i="3" s="1"/>
  <c r="R25" i="3"/>
  <c r="T25" i="3" s="1"/>
  <c r="R10" i="3"/>
  <c r="R13" i="3"/>
  <c r="T13" i="3" s="1"/>
  <c r="R31" i="3"/>
  <c r="U31" i="3" s="1"/>
  <c r="V31" i="3" s="1"/>
  <c r="R21" i="3"/>
  <c r="T21" i="3" s="1"/>
  <c r="R2" i="3"/>
  <c r="T2" i="3" s="1"/>
  <c r="R22" i="3"/>
  <c r="R33" i="3"/>
  <c r="R6" i="3"/>
  <c r="R23" i="3"/>
  <c r="R43" i="3"/>
  <c r="R47" i="3"/>
  <c r="R18" i="3"/>
  <c r="U18" i="3" s="1"/>
  <c r="V18" i="3" s="1"/>
  <c r="R49" i="3"/>
  <c r="U49" i="3" s="1"/>
  <c r="V49" i="3" s="1"/>
  <c r="R41" i="3"/>
  <c r="U41" i="3" s="1"/>
  <c r="V41" i="3" s="1"/>
  <c r="R44" i="3"/>
  <c r="U44" i="3" s="1"/>
  <c r="V44" i="3" s="1"/>
  <c r="R17" i="3"/>
  <c r="R32" i="3"/>
  <c r="U32" i="3" s="1"/>
  <c r="V32" i="3" s="1"/>
  <c r="R3" i="3"/>
  <c r="R48" i="3"/>
  <c r="R20" i="3"/>
  <c r="R39" i="3"/>
  <c r="V39" i="3" s="1"/>
  <c r="R38" i="3"/>
  <c r="U38" i="3" s="1"/>
  <c r="W38" i="3" s="1"/>
  <c r="R37" i="3"/>
  <c r="R7" i="3"/>
  <c r="R35" i="3"/>
  <c r="R29" i="3"/>
  <c r="R8" i="3"/>
  <c r="R50" i="3"/>
  <c r="R5" i="3"/>
  <c r="R9" i="3"/>
  <c r="U9" i="3" s="1"/>
  <c r="V9" i="3" s="1"/>
  <c r="R45" i="3"/>
  <c r="U45" i="3" s="1"/>
  <c r="V45" i="3" s="1"/>
  <c r="R19" i="3"/>
  <c r="R30" i="3"/>
  <c r="V30" i="3" s="1"/>
  <c r="R27" i="3"/>
  <c r="T27" i="3" s="1"/>
  <c r="R12" i="3"/>
  <c r="R36" i="3"/>
  <c r="AB55" i="3" l="1"/>
  <c r="AF55" i="3" s="1"/>
  <c r="Y55" i="3"/>
  <c r="W55" i="3"/>
  <c r="V55" i="3"/>
  <c r="T55" i="3"/>
  <c r="AB51" i="3"/>
  <c r="AF51" i="3" s="1"/>
  <c r="AB53" i="3"/>
  <c r="AF53" i="3" s="1"/>
  <c r="AB52" i="3"/>
  <c r="AF52" i="3" s="1"/>
  <c r="AB54" i="3"/>
  <c r="AF54" i="3" s="1"/>
  <c r="Y54" i="3"/>
  <c r="AR54" i="3" s="1"/>
  <c r="AX54" i="3" s="1"/>
  <c r="AB22" i="3"/>
  <c r="AF22" i="3" s="1"/>
  <c r="Y53" i="3"/>
  <c r="AD53" i="3" s="1"/>
  <c r="AD22" i="3"/>
  <c r="AC22" i="3"/>
  <c r="Y52" i="3"/>
  <c r="AO52" i="3" s="1"/>
  <c r="AU52" i="3" s="1"/>
  <c r="AQ22" i="3"/>
  <c r="AW22" i="3" s="1"/>
  <c r="AR22" i="3"/>
  <c r="AX22" i="3" s="1"/>
  <c r="V53" i="3"/>
  <c r="AP22" i="3"/>
  <c r="AV22" i="3" s="1"/>
  <c r="V52" i="3"/>
  <c r="V51" i="3"/>
  <c r="W54" i="3"/>
  <c r="Y51" i="3"/>
  <c r="AO22" i="3"/>
  <c r="AU22" i="3" s="1"/>
  <c r="AN22" i="3"/>
  <c r="AT22" i="3" s="1"/>
  <c r="AN37" i="3"/>
  <c r="AT37" i="3" s="1"/>
  <c r="AP37" i="3"/>
  <c r="AV37" i="3" s="1"/>
  <c r="AM37" i="3"/>
  <c r="AS37" i="3" s="1"/>
  <c r="AQ37" i="3"/>
  <c r="AW37" i="3" s="1"/>
  <c r="AO37" i="3"/>
  <c r="AU37" i="3" s="1"/>
  <c r="AR37" i="3"/>
  <c r="AX37" i="3" s="1"/>
  <c r="AP48" i="3"/>
  <c r="AV48" i="3" s="1"/>
  <c r="AN48" i="3"/>
  <c r="AT48" i="3" s="1"/>
  <c r="AM48" i="3"/>
  <c r="AS48" i="3" s="1"/>
  <c r="AO48" i="3"/>
  <c r="AU48" i="3" s="1"/>
  <c r="AR48" i="3"/>
  <c r="AX48" i="3" s="1"/>
  <c r="AQ48" i="3"/>
  <c r="AW48" i="3" s="1"/>
  <c r="AC24" i="3"/>
  <c r="AO24" i="3"/>
  <c r="AU24" i="3" s="1"/>
  <c r="AQ24" i="3"/>
  <c r="AW24" i="3" s="1"/>
  <c r="AN24" i="3"/>
  <c r="AT24" i="3" s="1"/>
  <c r="AR24" i="3"/>
  <c r="AX24" i="3" s="1"/>
  <c r="AP24" i="3"/>
  <c r="AV24" i="3" s="1"/>
  <c r="AM24" i="3"/>
  <c r="AS24" i="3" s="1"/>
  <c r="AO19" i="3"/>
  <c r="AU19" i="3" s="1"/>
  <c r="AR19" i="3"/>
  <c r="AX19" i="3" s="1"/>
  <c r="AP19" i="3"/>
  <c r="AV19" i="3" s="1"/>
  <c r="AM19" i="3"/>
  <c r="AS19" i="3" s="1"/>
  <c r="AQ19" i="3"/>
  <c r="AW19" i="3" s="1"/>
  <c r="AN19" i="3"/>
  <c r="AT19" i="3" s="1"/>
  <c r="AP5" i="3"/>
  <c r="AV5" i="3" s="1"/>
  <c r="AM5" i="3"/>
  <c r="AS5" i="3" s="1"/>
  <c r="AQ5" i="3"/>
  <c r="AW5" i="3" s="1"/>
  <c r="AO5" i="3"/>
  <c r="AU5" i="3" s="1"/>
  <c r="AR5" i="3"/>
  <c r="AX5" i="3" s="1"/>
  <c r="AN5" i="3"/>
  <c r="AT5" i="3" s="1"/>
  <c r="AQ39" i="3"/>
  <c r="AW39" i="3" s="1"/>
  <c r="AP39" i="3"/>
  <c r="AV39" i="3" s="1"/>
  <c r="AM39" i="3"/>
  <c r="AS39" i="3" s="1"/>
  <c r="AN39" i="3"/>
  <c r="AT39" i="3" s="1"/>
  <c r="AO39" i="3"/>
  <c r="AU39" i="3" s="1"/>
  <c r="AR39" i="3"/>
  <c r="AX39" i="3" s="1"/>
  <c r="AD50" i="3"/>
  <c r="AC50" i="3"/>
  <c r="AD40" i="3"/>
  <c r="AC40" i="3"/>
  <c r="AD7" i="3"/>
  <c r="AC7" i="3"/>
  <c r="AD19" i="3"/>
  <c r="AC19" i="3"/>
  <c r="AD36" i="3"/>
  <c r="AC36" i="3"/>
  <c r="AC5" i="3"/>
  <c r="AD5" i="3"/>
  <c r="AD35" i="3"/>
  <c r="AC35" i="3"/>
  <c r="AD39" i="3"/>
  <c r="AC39" i="3"/>
  <c r="AD37" i="3"/>
  <c r="AC37" i="3"/>
  <c r="AD48" i="3"/>
  <c r="AC48" i="3"/>
  <c r="AD34" i="3"/>
  <c r="AC34" i="3"/>
  <c r="AC16" i="3"/>
  <c r="AD16" i="3"/>
  <c r="AC30" i="3"/>
  <c r="AE30" i="3" s="1"/>
  <c r="AG30" i="3" s="1"/>
  <c r="AD20" i="3"/>
  <c r="AE20" i="3" s="1"/>
  <c r="AG20" i="3" s="1"/>
  <c r="AD24" i="3"/>
  <c r="AD42" i="3"/>
  <c r="AE42" i="3" s="1"/>
  <c r="AG42" i="3" s="1"/>
  <c r="AB35" i="3"/>
  <c r="AF35" i="3" s="1"/>
  <c r="U21" i="3"/>
  <c r="Y21" i="3" s="1"/>
  <c r="AB37" i="3"/>
  <c r="AF37" i="3" s="1"/>
  <c r="U13" i="3"/>
  <c r="V13" i="3" s="1"/>
  <c r="V22" i="3"/>
  <c r="V37" i="3"/>
  <c r="V5" i="3"/>
  <c r="V35" i="3"/>
  <c r="AB7" i="3"/>
  <c r="AF7" i="3" s="1"/>
  <c r="AB38" i="3"/>
  <c r="AF38" i="3" s="1"/>
  <c r="AB31" i="3"/>
  <c r="AF31" i="3" s="1"/>
  <c r="V50" i="3"/>
  <c r="AB10" i="3"/>
  <c r="AF10" i="3" s="1"/>
  <c r="V7" i="3"/>
  <c r="U17" i="3"/>
  <c r="V42" i="3"/>
  <c r="V19" i="3"/>
  <c r="V34" i="3"/>
  <c r="AB40" i="3"/>
  <c r="AF40" i="3" s="1"/>
  <c r="V24" i="3"/>
  <c r="V36" i="3"/>
  <c r="V16" i="3"/>
  <c r="AB23" i="3"/>
  <c r="AF23" i="3" s="1"/>
  <c r="AB29" i="3"/>
  <c r="AF29" i="3" s="1"/>
  <c r="AB8" i="3"/>
  <c r="AF8" i="3" s="1"/>
  <c r="AB5" i="3"/>
  <c r="AF5" i="3" s="1"/>
  <c r="AB6" i="3"/>
  <c r="AF6" i="3" s="1"/>
  <c r="AB33" i="3"/>
  <c r="AF33" i="3" s="1"/>
  <c r="AB48" i="3"/>
  <c r="AF48" i="3" s="1"/>
  <c r="AB20" i="3"/>
  <c r="AF20" i="3" s="1"/>
  <c r="AB12" i="3"/>
  <c r="AF12" i="3" s="1"/>
  <c r="V48" i="3"/>
  <c r="V20" i="3"/>
  <c r="AB43" i="3"/>
  <c r="AF43" i="3" s="1"/>
  <c r="AB3" i="3"/>
  <c r="AF3" i="3" s="1"/>
  <c r="V40" i="3"/>
  <c r="AB50" i="3"/>
  <c r="AF50" i="3" s="1"/>
  <c r="V38" i="3"/>
  <c r="W31" i="3"/>
  <c r="Y31" i="3"/>
  <c r="T46" i="3"/>
  <c r="T9" i="3"/>
  <c r="T31" i="3"/>
  <c r="U2" i="3"/>
  <c r="T4" i="3"/>
  <c r="U28" i="3"/>
  <c r="W11" i="3"/>
  <c r="Y11" i="3"/>
  <c r="W32" i="3"/>
  <c r="Y32" i="3"/>
  <c r="W44" i="3"/>
  <c r="Y44" i="3"/>
  <c r="W46" i="3"/>
  <c r="Y46" i="3"/>
  <c r="W41" i="3"/>
  <c r="Y41" i="3"/>
  <c r="W4" i="3"/>
  <c r="Y4" i="3"/>
  <c r="W49" i="3"/>
  <c r="Y49" i="3"/>
  <c r="W18" i="3"/>
  <c r="Y18" i="3"/>
  <c r="W9" i="3"/>
  <c r="Y9" i="3"/>
  <c r="W45" i="3"/>
  <c r="Y45" i="3"/>
  <c r="W26" i="3"/>
  <c r="Y26" i="3"/>
  <c r="W15" i="3"/>
  <c r="Y15" i="3"/>
  <c r="W14" i="3"/>
  <c r="Y14" i="3"/>
  <c r="U25" i="3"/>
  <c r="T11" i="3"/>
  <c r="Y38" i="3"/>
  <c r="T16" i="3"/>
  <c r="T34" i="3"/>
  <c r="T17" i="3"/>
  <c r="T45" i="3"/>
  <c r="T47" i="3"/>
  <c r="T33" i="3"/>
  <c r="T18" i="3"/>
  <c r="T12" i="3"/>
  <c r="T41" i="3"/>
  <c r="T26" i="3"/>
  <c r="T49" i="3"/>
  <c r="T40" i="3"/>
  <c r="T19" i="3"/>
  <c r="T43" i="3"/>
  <c r="T30" i="3"/>
  <c r="T23" i="3"/>
  <c r="T35" i="3"/>
  <c r="T44" i="3"/>
  <c r="T32" i="3"/>
  <c r="T38" i="3"/>
  <c r="T50" i="3"/>
  <c r="U10" i="3"/>
  <c r="T7" i="3"/>
  <c r="T15" i="3"/>
  <c r="T5" i="3"/>
  <c r="T39" i="3"/>
  <c r="T36" i="3"/>
  <c r="T37" i="3"/>
  <c r="T3" i="3"/>
  <c r="T42" i="3"/>
  <c r="U8" i="3"/>
  <c r="T14" i="3"/>
  <c r="T22" i="3"/>
  <c r="T6" i="3"/>
  <c r="T20" i="3"/>
  <c r="T24" i="3"/>
  <c r="T10" i="3"/>
  <c r="T29" i="3"/>
  <c r="T8" i="3"/>
  <c r="T48" i="3"/>
  <c r="U47" i="3"/>
  <c r="U29" i="3"/>
  <c r="U3" i="3"/>
  <c r="U6" i="3"/>
  <c r="U33" i="3"/>
  <c r="U12" i="3"/>
  <c r="U23" i="3"/>
  <c r="U43" i="3"/>
  <c r="U27" i="3"/>
  <c r="AR55" i="3" l="1"/>
  <c r="AX55" i="3" s="1"/>
  <c r="AQ55" i="3"/>
  <c r="AW55" i="3" s="1"/>
  <c r="AP55" i="3"/>
  <c r="AV55" i="3" s="1"/>
  <c r="AO55" i="3"/>
  <c r="AU55" i="3" s="1"/>
  <c r="AN55" i="3"/>
  <c r="AT55" i="3" s="1"/>
  <c r="AM55" i="3"/>
  <c r="AS55" i="3" s="1"/>
  <c r="AD55" i="3"/>
  <c r="AC55" i="3"/>
  <c r="AE55" i="3" s="1"/>
  <c r="AG55" i="3" s="1"/>
  <c r="AP54" i="3"/>
  <c r="AV54" i="3" s="1"/>
  <c r="AQ54" i="3"/>
  <c r="AW54" i="3" s="1"/>
  <c r="AN54" i="3"/>
  <c r="AT54" i="3" s="1"/>
  <c r="AC53" i="3"/>
  <c r="AE53" i="3" s="1"/>
  <c r="AG53" i="3" s="1"/>
  <c r="AH53" i="3" s="1"/>
  <c r="AE22" i="3"/>
  <c r="AG22" i="3" s="1"/>
  <c r="AH22" i="3" s="1"/>
  <c r="AO54" i="3"/>
  <c r="AU54" i="3" s="1"/>
  <c r="AC54" i="3"/>
  <c r="AN52" i="3"/>
  <c r="AT52" i="3" s="1"/>
  <c r="AC52" i="3"/>
  <c r="AM54" i="3"/>
  <c r="AS54" i="3" s="1"/>
  <c r="AD54" i="3"/>
  <c r="AP52" i="3"/>
  <c r="AV52" i="3" s="1"/>
  <c r="AR52" i="3"/>
  <c r="AX52" i="3" s="1"/>
  <c r="AQ52" i="3"/>
  <c r="AW52" i="3" s="1"/>
  <c r="AD52" i="3"/>
  <c r="AM52" i="3"/>
  <c r="AS52" i="3" s="1"/>
  <c r="AN85" i="17"/>
  <c r="AT85" i="17" s="1"/>
  <c r="AO85" i="17"/>
  <c r="AU85" i="17" s="1"/>
  <c r="AP85" i="17"/>
  <c r="AV85" i="17" s="1"/>
  <c r="AM85" i="17"/>
  <c r="AS85" i="17" s="1"/>
  <c r="AQ85" i="17"/>
  <c r="AW85" i="17" s="1"/>
  <c r="AR85" i="17"/>
  <c r="AX85" i="17" s="1"/>
  <c r="AC51" i="3"/>
  <c r="AD51" i="3"/>
  <c r="AE7" i="3"/>
  <c r="AG7" i="3" s="1"/>
  <c r="AI7" i="3" s="1"/>
  <c r="AE39" i="3"/>
  <c r="AG39" i="3" s="1"/>
  <c r="AI39" i="3" s="1"/>
  <c r="AE36" i="3"/>
  <c r="AG36" i="3" s="1"/>
  <c r="AI36" i="3" s="1"/>
  <c r="AE40" i="3"/>
  <c r="AG40" i="3" s="1"/>
  <c r="AH40" i="3" s="1"/>
  <c r="AE16" i="3"/>
  <c r="AG16" i="3" s="1"/>
  <c r="AI16" i="3" s="1"/>
  <c r="AE19" i="3"/>
  <c r="AG19" i="3" s="1"/>
  <c r="AH19" i="3" s="1"/>
  <c r="AE34" i="3"/>
  <c r="AG34" i="3" s="1"/>
  <c r="AH34" i="3" s="1"/>
  <c r="AE35" i="3"/>
  <c r="AG35" i="3" s="1"/>
  <c r="AH35" i="3" s="1"/>
  <c r="AE24" i="3"/>
  <c r="AG24" i="3" s="1"/>
  <c r="AI24" i="3" s="1"/>
  <c r="AO14" i="3"/>
  <c r="AU14" i="3" s="1"/>
  <c r="AR14" i="3"/>
  <c r="AX14" i="3" s="1"/>
  <c r="AM14" i="3"/>
  <c r="AS14" i="3" s="1"/>
  <c r="AQ14" i="3"/>
  <c r="AW14" i="3" s="1"/>
  <c r="AN14" i="3"/>
  <c r="AT14" i="3" s="1"/>
  <c r="AP14" i="3"/>
  <c r="AV14" i="3" s="1"/>
  <c r="AP44" i="3"/>
  <c r="AV44" i="3" s="1"/>
  <c r="AN44" i="3"/>
  <c r="AT44" i="3" s="1"/>
  <c r="AM44" i="3"/>
  <c r="AS44" i="3" s="1"/>
  <c r="AO44" i="3"/>
  <c r="AU44" i="3" s="1"/>
  <c r="AR44" i="3"/>
  <c r="AX44" i="3" s="1"/>
  <c r="AQ44" i="3"/>
  <c r="AW44" i="3" s="1"/>
  <c r="AO15" i="3"/>
  <c r="AU15" i="3" s="1"/>
  <c r="AR15" i="3"/>
  <c r="AX15" i="3" s="1"/>
  <c r="AP15" i="3"/>
  <c r="AV15" i="3" s="1"/>
  <c r="AM15" i="3"/>
  <c r="AS15" i="3" s="1"/>
  <c r="AQ15" i="3"/>
  <c r="AW15" i="3" s="1"/>
  <c r="AN15" i="3"/>
  <c r="AT15" i="3" s="1"/>
  <c r="AP11" i="3"/>
  <c r="AV11" i="3" s="1"/>
  <c r="AO11" i="3"/>
  <c r="AU11" i="3" s="1"/>
  <c r="AR11" i="3"/>
  <c r="AX11" i="3" s="1"/>
  <c r="AQ11" i="3"/>
  <c r="AW11" i="3" s="1"/>
  <c r="AN11" i="3"/>
  <c r="AT11" i="3" s="1"/>
  <c r="AM11" i="3"/>
  <c r="AS11" i="3" s="1"/>
  <c r="AE50" i="3"/>
  <c r="AG50" i="3" s="1"/>
  <c r="AH50" i="3" s="1"/>
  <c r="AQ26" i="3"/>
  <c r="AW26" i="3" s="1"/>
  <c r="AN26" i="3"/>
  <c r="AT26" i="3" s="1"/>
  <c r="AR26" i="3"/>
  <c r="AX26" i="3" s="1"/>
  <c r="AP26" i="3"/>
  <c r="AV26" i="3" s="1"/>
  <c r="AM26" i="3"/>
  <c r="AS26" i="3" s="1"/>
  <c r="AO26" i="3"/>
  <c r="AU26" i="3" s="1"/>
  <c r="AE48" i="3"/>
  <c r="AG48" i="3" s="1"/>
  <c r="AH48" i="3" s="1"/>
  <c r="AM45" i="3"/>
  <c r="AS45" i="3" s="1"/>
  <c r="AQ45" i="3"/>
  <c r="AW45" i="3" s="1"/>
  <c r="AN45" i="3"/>
  <c r="AT45" i="3" s="1"/>
  <c r="AP45" i="3"/>
  <c r="AV45" i="3" s="1"/>
  <c r="AO45" i="3"/>
  <c r="AU45" i="3" s="1"/>
  <c r="AR45" i="3"/>
  <c r="AX45" i="3" s="1"/>
  <c r="AM9" i="3"/>
  <c r="AS9" i="3" s="1"/>
  <c r="AP9" i="3"/>
  <c r="AV9" i="3" s="1"/>
  <c r="AO9" i="3"/>
  <c r="AU9" i="3" s="1"/>
  <c r="AR9" i="3"/>
  <c r="AX9" i="3" s="1"/>
  <c r="AQ9" i="3"/>
  <c r="AW9" i="3" s="1"/>
  <c r="AN9" i="3"/>
  <c r="AT9" i="3" s="1"/>
  <c r="AO21" i="3"/>
  <c r="AU21" i="3" s="1"/>
  <c r="AR21" i="3"/>
  <c r="AX21" i="3" s="1"/>
  <c r="AM21" i="3"/>
  <c r="AS21" i="3" s="1"/>
  <c r="AQ21" i="3"/>
  <c r="AW21" i="3" s="1"/>
  <c r="AN21" i="3"/>
  <c r="AT21" i="3" s="1"/>
  <c r="AP21" i="3"/>
  <c r="AV21" i="3" s="1"/>
  <c r="AO49" i="3"/>
  <c r="AU49" i="3" s="1"/>
  <c r="AM49" i="3"/>
  <c r="AS49" i="3" s="1"/>
  <c r="AR49" i="3"/>
  <c r="AX49" i="3" s="1"/>
  <c r="AQ49" i="3"/>
  <c r="AW49" i="3" s="1"/>
  <c r="AN49" i="3"/>
  <c r="AT49" i="3" s="1"/>
  <c r="AP49" i="3"/>
  <c r="AV49" i="3" s="1"/>
  <c r="AN31" i="3"/>
  <c r="AT31" i="3" s="1"/>
  <c r="AP31" i="3"/>
  <c r="AV31" i="3" s="1"/>
  <c r="AR31" i="3"/>
  <c r="AX31" i="3" s="1"/>
  <c r="AM31" i="3"/>
  <c r="AS31" i="3" s="1"/>
  <c r="AO31" i="3"/>
  <c r="AU31" i="3" s="1"/>
  <c r="AQ31" i="3"/>
  <c r="AW31" i="3" s="1"/>
  <c r="AN4" i="3"/>
  <c r="AT4" i="3" s="1"/>
  <c r="AP4" i="3"/>
  <c r="AV4" i="3" s="1"/>
  <c r="AM4" i="3"/>
  <c r="AS4" i="3" s="1"/>
  <c r="AQ4" i="3"/>
  <c r="AW4" i="3" s="1"/>
  <c r="AO4" i="3"/>
  <c r="AU4" i="3" s="1"/>
  <c r="AR4" i="3"/>
  <c r="AX4" i="3" s="1"/>
  <c r="AE5" i="3"/>
  <c r="AG5" i="3" s="1"/>
  <c r="AI5" i="3" s="1"/>
  <c r="V21" i="3"/>
  <c r="AE37" i="3"/>
  <c r="AG37" i="3" s="1"/>
  <c r="AH20" i="3"/>
  <c r="AI20" i="3"/>
  <c r="AD21" i="3"/>
  <c r="AC21" i="3"/>
  <c r="AI30" i="3"/>
  <c r="AH30" i="3"/>
  <c r="AD41" i="3"/>
  <c r="AC41" i="3"/>
  <c r="AC46" i="3"/>
  <c r="AD46" i="3"/>
  <c r="AD38" i="3"/>
  <c r="AC38" i="3"/>
  <c r="AC44" i="3"/>
  <c r="AD44" i="3"/>
  <c r="AD14" i="3"/>
  <c r="AC14" i="3"/>
  <c r="AC32" i="3"/>
  <c r="AD32" i="3"/>
  <c r="AB18" i="3"/>
  <c r="AF18" i="3" s="1"/>
  <c r="AD15" i="3"/>
  <c r="AC15" i="3"/>
  <c r="AD11" i="3"/>
  <c r="AC11" i="3"/>
  <c r="AD26" i="3"/>
  <c r="AC26" i="3"/>
  <c r="AD45" i="3"/>
  <c r="AC45" i="3"/>
  <c r="AD9" i="3"/>
  <c r="AC9" i="3"/>
  <c r="AC18" i="3"/>
  <c r="AD18" i="3"/>
  <c r="AB28" i="3"/>
  <c r="AF28" i="3" s="1"/>
  <c r="AH42" i="3"/>
  <c r="AI42" i="3"/>
  <c r="AC49" i="3"/>
  <c r="AD49" i="3"/>
  <c r="AD31" i="3"/>
  <c r="AC31" i="3"/>
  <c r="AB47" i="3"/>
  <c r="AF47" i="3" s="1"/>
  <c r="AD4" i="3"/>
  <c r="AC4" i="3"/>
  <c r="AB2" i="3"/>
  <c r="AF2" i="3" s="1"/>
  <c r="W13" i="3"/>
  <c r="AB46" i="3"/>
  <c r="AF46" i="3" s="1"/>
  <c r="W21" i="3"/>
  <c r="Y13" i="3"/>
  <c r="AB13" i="3"/>
  <c r="AF13" i="3" s="1"/>
  <c r="AB30" i="3"/>
  <c r="AF30" i="3" s="1"/>
  <c r="AB17" i="3"/>
  <c r="AF17" i="3" s="1"/>
  <c r="V17" i="3"/>
  <c r="V43" i="3"/>
  <c r="V23" i="3"/>
  <c r="V6" i="3"/>
  <c r="V3" i="3"/>
  <c r="AB9" i="3"/>
  <c r="AF9" i="3" s="1"/>
  <c r="Y17" i="3"/>
  <c r="AB21" i="3"/>
  <c r="AF21" i="3" s="1"/>
  <c r="AB32" i="3"/>
  <c r="AF32" i="3" s="1"/>
  <c r="V27" i="3"/>
  <c r="V12" i="3"/>
  <c r="V29" i="3"/>
  <c r="V47" i="3"/>
  <c r="V25" i="3"/>
  <c r="V28" i="3"/>
  <c r="AB41" i="3"/>
  <c r="AF41" i="3" s="1"/>
  <c r="AB36" i="3"/>
  <c r="AF36" i="3" s="1"/>
  <c r="V8" i="3"/>
  <c r="V33" i="3"/>
  <c r="V10" i="3"/>
  <c r="AB45" i="3"/>
  <c r="AF45" i="3" s="1"/>
  <c r="W17" i="3"/>
  <c r="AB49" i="3"/>
  <c r="AF49" i="3" s="1"/>
  <c r="AB19" i="3"/>
  <c r="AF19" i="3" s="1"/>
  <c r="AB25" i="3"/>
  <c r="AF25" i="3" s="1"/>
  <c r="AB34" i="3"/>
  <c r="AF34" i="3" s="1"/>
  <c r="AB11" i="3"/>
  <c r="AF11" i="3" s="1"/>
  <c r="AB42" i="3"/>
  <c r="AF42" i="3" s="1"/>
  <c r="AB44" i="3"/>
  <c r="AF44" i="3" s="1"/>
  <c r="AB26" i="3"/>
  <c r="AF26" i="3" s="1"/>
  <c r="AB4" i="3"/>
  <c r="AF4" i="3" s="1"/>
  <c r="AB16" i="3"/>
  <c r="AF16" i="3" s="1"/>
  <c r="AB15" i="3"/>
  <c r="AF15" i="3" s="1"/>
  <c r="AB27" i="3"/>
  <c r="AF27" i="3" s="1"/>
  <c r="AB14" i="3"/>
  <c r="AF14" i="3" s="1"/>
  <c r="AB39" i="3"/>
  <c r="AF39" i="3" s="1"/>
  <c r="AB24" i="3"/>
  <c r="AF24" i="3" s="1"/>
  <c r="W2" i="3"/>
  <c r="V2" i="3"/>
  <c r="Y2" i="3"/>
  <c r="W28" i="3"/>
  <c r="Y28" i="3"/>
  <c r="W10" i="3"/>
  <c r="Y10" i="3"/>
  <c r="Y33" i="3"/>
  <c r="W33" i="3"/>
  <c r="Y23" i="3"/>
  <c r="W23" i="3"/>
  <c r="Y12" i="3"/>
  <c r="W12" i="3"/>
  <c r="Y27" i="3"/>
  <c r="W27" i="3"/>
  <c r="W43" i="3"/>
  <c r="Y43" i="3"/>
  <c r="Y8" i="3"/>
  <c r="W8" i="3"/>
  <c r="W25" i="3"/>
  <c r="Y25" i="3"/>
  <c r="Y6" i="3"/>
  <c r="W6" i="3"/>
  <c r="Y3" i="3"/>
  <c r="W3" i="3"/>
  <c r="W29" i="3"/>
  <c r="Y29" i="3"/>
  <c r="Y47" i="3"/>
  <c r="W47" i="3"/>
  <c r="AI55" i="3" l="1"/>
  <c r="AH55" i="3"/>
  <c r="AI53" i="3"/>
  <c r="AI22" i="3"/>
  <c r="AE51" i="3"/>
  <c r="AG51" i="3" s="1"/>
  <c r="AH51" i="3" s="1"/>
  <c r="AH7" i="3"/>
  <c r="AH36" i="3"/>
  <c r="AE52" i="3"/>
  <c r="AG52" i="3" s="1"/>
  <c r="AI52" i="3" s="1"/>
  <c r="AE54" i="3"/>
  <c r="AG54" i="3" s="1"/>
  <c r="AI19" i="3"/>
  <c r="AH39" i="3"/>
  <c r="AI40" i="3"/>
  <c r="AE31" i="3"/>
  <c r="AG31" i="3" s="1"/>
  <c r="AI31" i="3" s="1"/>
  <c r="AE41" i="3"/>
  <c r="AG41" i="3" s="1"/>
  <c r="AI41" i="3" s="1"/>
  <c r="AE11" i="3"/>
  <c r="AG11" i="3" s="1"/>
  <c r="AH11" i="3" s="1"/>
  <c r="AI34" i="3"/>
  <c r="AH24" i="3"/>
  <c r="AH16" i="3"/>
  <c r="AI50" i="3"/>
  <c r="AH5" i="3"/>
  <c r="AI48" i="3"/>
  <c r="AE38" i="3"/>
  <c r="AG38" i="3" s="1"/>
  <c r="AH38" i="3" s="1"/>
  <c r="AE21" i="3"/>
  <c r="AG21" i="3" s="1"/>
  <c r="AH21" i="3" s="1"/>
  <c r="AE49" i="3"/>
  <c r="AG49" i="3" s="1"/>
  <c r="AI49" i="3" s="1"/>
  <c r="AE9" i="3"/>
  <c r="AG9" i="3" s="1"/>
  <c r="AH9" i="3" s="1"/>
  <c r="AE44" i="3"/>
  <c r="AG44" i="3" s="1"/>
  <c r="AH44" i="3" s="1"/>
  <c r="AI35" i="3"/>
  <c r="AE18" i="3"/>
  <c r="AG18" i="3" s="1"/>
  <c r="AI18" i="3" s="1"/>
  <c r="AQ29" i="3"/>
  <c r="AW29" i="3" s="1"/>
  <c r="AN29" i="3"/>
  <c r="AT29" i="3" s="1"/>
  <c r="AR29" i="3"/>
  <c r="AX29" i="3" s="1"/>
  <c r="AP29" i="3"/>
  <c r="AV29" i="3" s="1"/>
  <c r="AM29" i="3"/>
  <c r="AS29" i="3" s="1"/>
  <c r="AO29" i="3"/>
  <c r="AU29" i="3" s="1"/>
  <c r="AQ28" i="3"/>
  <c r="AW28" i="3" s="1"/>
  <c r="AN28" i="3"/>
  <c r="AT28" i="3" s="1"/>
  <c r="AO28" i="3"/>
  <c r="AU28" i="3" s="1"/>
  <c r="AR28" i="3"/>
  <c r="AX28" i="3" s="1"/>
  <c r="AP28" i="3"/>
  <c r="AV28" i="3" s="1"/>
  <c r="AM28" i="3"/>
  <c r="AS28" i="3" s="1"/>
  <c r="AE26" i="3"/>
  <c r="AG26" i="3" s="1"/>
  <c r="AH26" i="3" s="1"/>
  <c r="AQ47" i="3"/>
  <c r="AW47" i="3" s="1"/>
  <c r="AN47" i="3"/>
  <c r="AT47" i="3" s="1"/>
  <c r="AP47" i="3"/>
  <c r="AV47" i="3" s="1"/>
  <c r="AM47" i="3"/>
  <c r="AS47" i="3" s="1"/>
  <c r="AO47" i="3"/>
  <c r="AU47" i="3" s="1"/>
  <c r="AR47" i="3"/>
  <c r="AX47" i="3" s="1"/>
  <c r="AR2" i="3"/>
  <c r="AQ2" i="3"/>
  <c r="AM2" i="3"/>
  <c r="AP2" i="3"/>
  <c r="AP56" i="3" s="1"/>
  <c r="AO2" i="3"/>
  <c r="AN2" i="3"/>
  <c r="AQ8" i="3"/>
  <c r="AW8" i="3" s="1"/>
  <c r="AN8" i="3"/>
  <c r="AT8" i="3" s="1"/>
  <c r="AP8" i="3"/>
  <c r="AV8" i="3" s="1"/>
  <c r="AO8" i="3"/>
  <c r="AU8" i="3" s="1"/>
  <c r="AR8" i="3"/>
  <c r="AX8" i="3" s="1"/>
  <c r="AM8" i="3"/>
  <c r="AS8" i="3" s="1"/>
  <c r="AQ43" i="3"/>
  <c r="AW43" i="3" s="1"/>
  <c r="AN43" i="3"/>
  <c r="AT43" i="3" s="1"/>
  <c r="AP43" i="3"/>
  <c r="AV43" i="3" s="1"/>
  <c r="AM43" i="3"/>
  <c r="AS43" i="3" s="1"/>
  <c r="AO43" i="3"/>
  <c r="AU43" i="3" s="1"/>
  <c r="AR43" i="3"/>
  <c r="AX43" i="3" s="1"/>
  <c r="AQ33" i="3"/>
  <c r="AW33" i="3" s="1"/>
  <c r="AP33" i="3"/>
  <c r="AV33" i="3" s="1"/>
  <c r="AM33" i="3"/>
  <c r="AS33" i="3" s="1"/>
  <c r="AO33" i="3"/>
  <c r="AU33" i="3" s="1"/>
  <c r="AR33" i="3"/>
  <c r="AX33" i="3" s="1"/>
  <c r="AN33" i="3"/>
  <c r="AT33" i="3" s="1"/>
  <c r="AM13" i="3"/>
  <c r="AS13" i="3" s="1"/>
  <c r="AO13" i="3"/>
  <c r="AU13" i="3" s="1"/>
  <c r="AR13" i="3"/>
  <c r="AX13" i="3" s="1"/>
  <c r="AQ13" i="3"/>
  <c r="AW13" i="3" s="1"/>
  <c r="AN13" i="3"/>
  <c r="AT13" i="3" s="1"/>
  <c r="AP13" i="3"/>
  <c r="AV13" i="3" s="1"/>
  <c r="AQ25" i="3"/>
  <c r="AW25" i="3" s="1"/>
  <c r="AN25" i="3"/>
  <c r="AT25" i="3" s="1"/>
  <c r="AR25" i="3"/>
  <c r="AX25" i="3" s="1"/>
  <c r="AP25" i="3"/>
  <c r="AV25" i="3" s="1"/>
  <c r="AM25" i="3"/>
  <c r="AS25" i="3" s="1"/>
  <c r="AO25" i="3"/>
  <c r="AU25" i="3" s="1"/>
  <c r="AE32" i="3"/>
  <c r="AG32" i="3" s="1"/>
  <c r="AH32" i="3" s="1"/>
  <c r="AE14" i="3"/>
  <c r="AG14" i="3" s="1"/>
  <c r="AH14" i="3" s="1"/>
  <c r="AH37" i="3"/>
  <c r="AI37" i="3"/>
  <c r="AD33" i="3"/>
  <c r="AC33" i="3"/>
  <c r="AD10" i="3"/>
  <c r="AC10" i="3"/>
  <c r="AC47" i="3"/>
  <c r="AD47" i="3"/>
  <c r="AC29" i="3"/>
  <c r="AD29" i="3"/>
  <c r="AC28" i="3"/>
  <c r="AD28" i="3"/>
  <c r="AD2" i="3"/>
  <c r="AC2" i="3"/>
  <c r="AC13" i="3"/>
  <c r="AD13" i="3"/>
  <c r="AD3" i="3"/>
  <c r="AC3" i="3"/>
  <c r="AE4" i="3"/>
  <c r="AG4" i="3" s="1"/>
  <c r="AE45" i="3"/>
  <c r="AG45" i="3" s="1"/>
  <c r="AE46" i="3"/>
  <c r="AG46" i="3" s="1"/>
  <c r="AD6" i="3"/>
  <c r="AC6" i="3"/>
  <c r="AD25" i="3"/>
  <c r="AC25" i="3"/>
  <c r="AD8" i="3"/>
  <c r="AC8" i="3"/>
  <c r="AC43" i="3"/>
  <c r="AD43" i="3"/>
  <c r="AE15" i="3"/>
  <c r="AG15" i="3" s="1"/>
  <c r="AD27" i="3"/>
  <c r="AC27" i="3"/>
  <c r="AC17" i="3"/>
  <c r="AD17" i="3"/>
  <c r="AD12" i="3"/>
  <c r="AC12" i="3"/>
  <c r="AC23" i="3"/>
  <c r="AD23" i="3"/>
  <c r="AO56" i="3" l="1"/>
  <c r="AM56" i="3"/>
  <c r="AR56" i="3"/>
  <c r="AN56" i="3"/>
  <c r="AQ56" i="3"/>
  <c r="AH52" i="3"/>
  <c r="AI51" i="3"/>
  <c r="AI9" i="3"/>
  <c r="AH54" i="3"/>
  <c r="AI54" i="3"/>
  <c r="AH41" i="3"/>
  <c r="AH31" i="3"/>
  <c r="AU2" i="3"/>
  <c r="AU56" i="3" s="1"/>
  <c r="AV2" i="3"/>
  <c r="AV56" i="3" s="1"/>
  <c r="AI11" i="3"/>
  <c r="AE29" i="3"/>
  <c r="AG29" i="3" s="1"/>
  <c r="AH29" i="3" s="1"/>
  <c r="AE17" i="3"/>
  <c r="AG17" i="3" s="1"/>
  <c r="AH17" i="3" s="1"/>
  <c r="AI44" i="3"/>
  <c r="AH49" i="3"/>
  <c r="AE23" i="3"/>
  <c r="AG23" i="3" s="1"/>
  <c r="AI23" i="3" s="1"/>
  <c r="AE10" i="3"/>
  <c r="AG10" i="3" s="1"/>
  <c r="AH10" i="3" s="1"/>
  <c r="AE43" i="3"/>
  <c r="AG43" i="3" s="1"/>
  <c r="AH43" i="3" s="1"/>
  <c r="AE8" i="3"/>
  <c r="AG8" i="3" s="1"/>
  <c r="AH8" i="3" s="1"/>
  <c r="AE2" i="3"/>
  <c r="AG2" i="3" s="1"/>
  <c r="AH2" i="3" s="1"/>
  <c r="AI21" i="3"/>
  <c r="AH18" i="3"/>
  <c r="AI38" i="3"/>
  <c r="AE12" i="3"/>
  <c r="AG12" i="3" s="1"/>
  <c r="AH12" i="3" s="1"/>
  <c r="AS2" i="3"/>
  <c r="AS56" i="3" s="1"/>
  <c r="AI14" i="3"/>
  <c r="AW2" i="3"/>
  <c r="AW56" i="3" s="1"/>
  <c r="AX2" i="3"/>
  <c r="AX56" i="3" s="1"/>
  <c r="AT2" i="3"/>
  <c r="AT56" i="3" s="1"/>
  <c r="AE13" i="3"/>
  <c r="AG13" i="3" s="1"/>
  <c r="AI13" i="3" s="1"/>
  <c r="AE28" i="3"/>
  <c r="AG28" i="3" s="1"/>
  <c r="AH28" i="3" s="1"/>
  <c r="AE33" i="3"/>
  <c r="AG33" i="3" s="1"/>
  <c r="AI33" i="3" s="1"/>
  <c r="AI32" i="3"/>
  <c r="AI26" i="3"/>
  <c r="AE6" i="3"/>
  <c r="AG6" i="3" s="1"/>
  <c r="AH6" i="3" s="1"/>
  <c r="AE25" i="3"/>
  <c r="AG25" i="3" s="1"/>
  <c r="AH25" i="3" s="1"/>
  <c r="AE47" i="3"/>
  <c r="AG47" i="3" s="1"/>
  <c r="AH47" i="3" s="1"/>
  <c r="AH45" i="3"/>
  <c r="AI45" i="3"/>
  <c r="AH4" i="3"/>
  <c r="AI4" i="3"/>
  <c r="AE3" i="3"/>
  <c r="AG3" i="3" s="1"/>
  <c r="AE27" i="3"/>
  <c r="AG27" i="3" s="1"/>
  <c r="AI46" i="3"/>
  <c r="AH46" i="3"/>
  <c r="AI15" i="3"/>
  <c r="AH15" i="3"/>
  <c r="AI29" i="3" l="1"/>
  <c r="AI17" i="3"/>
  <c r="AH13" i="3"/>
  <c r="AH23" i="3"/>
  <c r="AI12" i="3"/>
  <c r="AI8" i="3"/>
  <c r="AI10" i="3"/>
  <c r="AI43" i="3"/>
  <c r="AI6" i="3"/>
  <c r="AI2" i="3"/>
  <c r="AH33" i="3"/>
  <c r="AI25" i="3"/>
  <c r="AI47" i="3"/>
  <c r="AI28" i="3"/>
  <c r="AI27" i="3"/>
  <c r="AH27" i="3"/>
  <c r="AH3" i="3"/>
  <c r="AI3" i="3"/>
</calcChain>
</file>

<file path=xl/sharedStrings.xml><?xml version="1.0" encoding="utf-8"?>
<sst xmlns="http://schemas.openxmlformats.org/spreadsheetml/2006/main" count="2245" uniqueCount="507">
  <si>
    <t>Row Labels</t>
  </si>
  <si>
    <t>Count of Commune</t>
  </si>
  <si>
    <t>BT Ambovombe</t>
  </si>
  <si>
    <t>BT Ampanihy</t>
  </si>
  <si>
    <t>BT Manakara</t>
  </si>
  <si>
    <t>BT Toliara</t>
  </si>
  <si>
    <t>(blank)</t>
  </si>
  <si>
    <t>Grand Total</t>
  </si>
  <si>
    <t>Column Labels</t>
  </si>
  <si>
    <t>Convergence</t>
  </si>
  <si>
    <t>Urgence</t>
  </si>
  <si>
    <t>Sum of GAP par type d'activité</t>
  </si>
  <si>
    <t>Sum of Gap avec marge d'erreur et plainte</t>
  </si>
  <si>
    <t>Sum of Mng à assister 2025</t>
  </si>
  <si>
    <t>Total Sum of GAP par type d'activité</t>
  </si>
  <si>
    <t>Total Sum of Gap avec marge d'erreur et plainte</t>
  </si>
  <si>
    <t>Total Sum of Mng à assister 2025</t>
  </si>
  <si>
    <t>Résilience</t>
  </si>
  <si>
    <t>Sum of Nb agent pour 10 j d'enreg</t>
  </si>
  <si>
    <t>Amboasary-Atsimo</t>
  </si>
  <si>
    <t>Ebelo</t>
  </si>
  <si>
    <t>Ifotaka</t>
  </si>
  <si>
    <t>Mahaly</t>
  </si>
  <si>
    <t>Ranobe</t>
  </si>
  <si>
    <t>Ambovombe-Androy</t>
  </si>
  <si>
    <t>Ambanisarika</t>
  </si>
  <si>
    <t>Anjeky Ankilikira</t>
  </si>
  <si>
    <t>Maroalomainty</t>
  </si>
  <si>
    <t>Sihanamaro</t>
  </si>
  <si>
    <t>Antanimora Sud</t>
  </si>
  <si>
    <t>Andalatanosy</t>
  </si>
  <si>
    <t>Antanimora Atsimo</t>
  </si>
  <si>
    <t>Jafaro</t>
  </si>
  <si>
    <t>Bekily</t>
  </si>
  <si>
    <t>Ambahita</t>
  </si>
  <si>
    <t>Antsakoamaro</t>
  </si>
  <si>
    <t>Beteza</t>
  </si>
  <si>
    <t>Mikaikarivo ambatomainty</t>
  </si>
  <si>
    <t>Morafeno Bekily</t>
  </si>
  <si>
    <t>Tsirandrany</t>
  </si>
  <si>
    <t>Beloha</t>
  </si>
  <si>
    <t>Ambatotsivala</t>
  </si>
  <si>
    <t>Behabobo</t>
  </si>
  <si>
    <t>Mahaenegne</t>
  </si>
  <si>
    <t>Tsihombe</t>
  </si>
  <si>
    <t>Imongy</t>
  </si>
  <si>
    <t>Ampanihy Ouest</t>
  </si>
  <si>
    <t>Anavoha</t>
  </si>
  <si>
    <t>Androipano</t>
  </si>
  <si>
    <t>Androka</t>
  </si>
  <si>
    <t>Ejeda</t>
  </si>
  <si>
    <t>Fotadrevo</t>
  </si>
  <si>
    <t>Farafangana</t>
  </si>
  <si>
    <t>Ambalavato Nord</t>
  </si>
  <si>
    <t>Manakara Atsimo</t>
  </si>
  <si>
    <t>Anosiala</t>
  </si>
  <si>
    <t>Mangatsiotra</t>
  </si>
  <si>
    <t>Manjarivo</t>
  </si>
  <si>
    <t>Sorombo</t>
  </si>
  <si>
    <t>Mananjary</t>
  </si>
  <si>
    <t>Ambohitsara Est</t>
  </si>
  <si>
    <t>Mahatsara Iefaka</t>
  </si>
  <si>
    <t>Mahela</t>
  </si>
  <si>
    <t>Vangaindrano</t>
  </si>
  <si>
    <t>Ambatolava</t>
  </si>
  <si>
    <t>Ambongo</t>
  </si>
  <si>
    <t>Vatanato</t>
  </si>
  <si>
    <t>Vohipeno</t>
  </si>
  <si>
    <t>Amborobe</t>
  </si>
  <si>
    <t>Anoloka</t>
  </si>
  <si>
    <t>Ivato</t>
  </si>
  <si>
    <t>Savana</t>
  </si>
  <si>
    <t>Vondrozo</t>
  </si>
  <si>
    <t>Andakana</t>
  </si>
  <si>
    <t>Iamonta</t>
  </si>
  <si>
    <t>Mahatsinjo</t>
  </si>
  <si>
    <t>Betioky Atsimo</t>
  </si>
  <si>
    <t>Ankazomanga Ouest</t>
  </si>
  <si>
    <t>Ankazombalala</t>
  </si>
  <si>
    <t>Lazarivo</t>
  </si>
  <si>
    <t>Maroarivo Ankazomanga</t>
  </si>
  <si>
    <t>Sakamasay</t>
  </si>
  <si>
    <t>Salobe</t>
  </si>
  <si>
    <t>Soamanonga</t>
  </si>
  <si>
    <t>Tameantsoa</t>
  </si>
  <si>
    <t>Tanambao Haut</t>
  </si>
  <si>
    <t xml:space="preserve">Nombre de commune </t>
  </si>
  <si>
    <t xml:space="preserve">BT </t>
  </si>
  <si>
    <t xml:space="preserve"> Commune</t>
  </si>
  <si>
    <t>GAP par type d'activité</t>
  </si>
  <si>
    <t>Mng à assister 2025</t>
  </si>
  <si>
    <t>Total GAP par type d'activité</t>
  </si>
  <si>
    <t>Total  Mng à assister 2025</t>
  </si>
  <si>
    <t>Région</t>
  </si>
  <si>
    <t>ADM3_PCODE</t>
  </si>
  <si>
    <t>BT</t>
  </si>
  <si>
    <t>District</t>
  </si>
  <si>
    <t>Commune</t>
  </si>
  <si>
    <t>Prio_vf_ICA</t>
  </si>
  <si>
    <t>rang_commu</t>
  </si>
  <si>
    <t>F2_24_Acti</t>
  </si>
  <si>
    <t>Interpreta</t>
  </si>
  <si>
    <t>Recommanda</t>
  </si>
  <si>
    <t>Commenta_1</t>
  </si>
  <si>
    <t>Interpretation</t>
  </si>
  <si>
    <t>Recomman_1</t>
  </si>
  <si>
    <t>Type Activité</t>
  </si>
  <si>
    <t>FSRP</t>
  </si>
  <si>
    <t>Concate verif</t>
  </si>
  <si>
    <t>Pop 2025</t>
  </si>
  <si>
    <t>Mng_2025</t>
  </si>
  <si>
    <t>Liste mng disponible</t>
  </si>
  <si>
    <t>Pourc_dispo</t>
  </si>
  <si>
    <t>Repartition liste</t>
  </si>
  <si>
    <t>Pourc_quota</t>
  </si>
  <si>
    <t>Approche</t>
  </si>
  <si>
    <t>Under2_6%</t>
  </si>
  <si>
    <t>FEFA_5%</t>
  </si>
  <si>
    <t>FEFA et U2</t>
  </si>
  <si>
    <t>Marge de 12%</t>
  </si>
  <si>
    <t>Plainte 3%</t>
  </si>
  <si>
    <t>Mng pour traitement (avec 12% de marge d'erreur et 3% de plainte)</t>
  </si>
  <si>
    <t>Nut à cibler (avec 11% de marge d'erreur)</t>
  </si>
  <si>
    <t>Gap avec marge d'erreur et plainte</t>
  </si>
  <si>
    <t>Nb de jour pour 1 agent</t>
  </si>
  <si>
    <t>Nb agent pour 10 j d'enreg</t>
  </si>
  <si>
    <t>scoremfi</t>
  </si>
  <si>
    <t>mfi_classe</t>
  </si>
  <si>
    <t>modalite_maj</t>
  </si>
  <si>
    <t>riz_1mois</t>
  </si>
  <si>
    <t>Leg_1mois</t>
  </si>
  <si>
    <t>huile_1mois</t>
  </si>
  <si>
    <t>HEB_1mois</t>
  </si>
  <si>
    <t>CSB_1mois</t>
  </si>
  <si>
    <t>LNS_1mois</t>
  </si>
  <si>
    <t>riz_3mois</t>
  </si>
  <si>
    <t>Leg_3mois</t>
  </si>
  <si>
    <t>huile_3mois</t>
  </si>
  <si>
    <t>HEB_3mois</t>
  </si>
  <si>
    <t>CSB_3mois</t>
  </si>
  <si>
    <t>LNS_3mois</t>
  </si>
  <si>
    <t xml:space="preserve">Androy </t>
  </si>
  <si>
    <t>MG23210390</t>
  </si>
  <si>
    <t>Urg_sech</t>
  </si>
  <si>
    <t>Ancienne commune</t>
  </si>
  <si>
    <t>Bekily_Ambahita</t>
  </si>
  <si>
    <t>Rajout d'enregistrement</t>
  </si>
  <si>
    <t>Inkind</t>
  </si>
  <si>
    <t>Atsimo Antsinanana</t>
  </si>
  <si>
    <t>MG51506330a</t>
  </si>
  <si>
    <t xml:space="preserve"> </t>
  </si>
  <si>
    <t>ok</t>
  </si>
  <si>
    <t>Farafangana_Ambalavato Nord</t>
  </si>
  <si>
    <t>Nouveau enrégistrement</t>
  </si>
  <si>
    <t>CBT</t>
  </si>
  <si>
    <t>MG25214212</t>
  </si>
  <si>
    <t>AA</t>
  </si>
  <si>
    <t>Ambovombe-Androy_Ambanisarika</t>
  </si>
  <si>
    <t>MG53519110</t>
  </si>
  <si>
    <t>Urg_cycl</t>
  </si>
  <si>
    <t>Urgence_Resilience</t>
  </si>
  <si>
    <t>Vangaindrano_Ambatolava</t>
  </si>
  <si>
    <t>MAJ : plainte et validation</t>
  </si>
  <si>
    <t>MG51520111</t>
  </si>
  <si>
    <t>Beloha_Ambatotsivala</t>
  </si>
  <si>
    <t xml:space="preserve">Vatovavy </t>
  </si>
  <si>
    <t>MG52516033</t>
  </si>
  <si>
    <t>Urg_Cycl</t>
  </si>
  <si>
    <t>Mananjary_Ambohitsara Est</t>
  </si>
  <si>
    <t>CBT + Mitigations</t>
  </si>
  <si>
    <t>MG25213050a</t>
  </si>
  <si>
    <t>Vangaindrano_Ambongo</t>
  </si>
  <si>
    <t>Fitovinany</t>
  </si>
  <si>
    <t>MG52516032</t>
  </si>
  <si>
    <t>Vohipeno_Amborobe</t>
  </si>
  <si>
    <t>Atsimo Andrefana</t>
  </si>
  <si>
    <t>MG51520191</t>
  </si>
  <si>
    <t>Ampanihy Ouest_Ampanihy Ouest</t>
  </si>
  <si>
    <t>MG23207172</t>
  </si>
  <si>
    <t>Ampanihy Ouest_Anavoha</t>
  </si>
  <si>
    <t>MG51506113</t>
  </si>
  <si>
    <t>Vondrozo_Andakana</t>
  </si>
  <si>
    <t>MG23210052</t>
  </si>
  <si>
    <t>Antanimora Sud_Andalatanosy</t>
  </si>
  <si>
    <t>MG25214230</t>
  </si>
  <si>
    <t>Ampanihy Ouest_Androipano</t>
  </si>
  <si>
    <t>MG25214112</t>
  </si>
  <si>
    <t>Ampanihy Ouest_Androka</t>
  </si>
  <si>
    <t>MG25217071</t>
  </si>
  <si>
    <t>Ambovombe-Androy_Anjeky Ankilikira</t>
  </si>
  <si>
    <t>MG25213370</t>
  </si>
  <si>
    <t>Betioky Atsimo_Ankazomanga Ouest</t>
  </si>
  <si>
    <t>MG25213190</t>
  </si>
  <si>
    <t>Betioky Atsimo_Ankazombalala</t>
  </si>
  <si>
    <t>MG25213350</t>
  </si>
  <si>
    <t>Vohipeno_Anoloka</t>
  </si>
  <si>
    <t>MG53517350</t>
  </si>
  <si>
    <t>Manakara Atsimo_Anosiala</t>
  </si>
  <si>
    <t>MG23210032</t>
  </si>
  <si>
    <t>Antanimora Sud_Antanimora Atsimo</t>
  </si>
  <si>
    <t>MG23206012</t>
  </si>
  <si>
    <t>Bekily_Antsakoamaro</t>
  </si>
  <si>
    <t>MG23207010</t>
  </si>
  <si>
    <t>Beloha_Behabobo</t>
  </si>
  <si>
    <t>Anosy</t>
  </si>
  <si>
    <t>MG25222031a</t>
  </si>
  <si>
    <t>Amboasary-Atsimo_Ebelo</t>
  </si>
  <si>
    <t>MG25214092</t>
  </si>
  <si>
    <t>Ampanihy Ouest_Ejeda</t>
  </si>
  <si>
    <t>MG25214131</t>
  </si>
  <si>
    <t>Ampanihy Ouest_Fotadrevo</t>
  </si>
  <si>
    <t>MG51506015</t>
  </si>
  <si>
    <t>Vondrozo_Iamonta</t>
  </si>
  <si>
    <t>MG51507270</t>
  </si>
  <si>
    <t>Amboasary-Atsimo_Ifotaka</t>
  </si>
  <si>
    <t>MG53519250</t>
  </si>
  <si>
    <t>Tsihombe_Imongy</t>
  </si>
  <si>
    <t>MG25213270</t>
  </si>
  <si>
    <t>Vohipeno_Ivato</t>
  </si>
  <si>
    <t>MG23210351</t>
  </si>
  <si>
    <t>Antanimora Sud_Jafaro</t>
  </si>
  <si>
    <t>MG25213570</t>
  </si>
  <si>
    <t>Betioky Atsimo_Lazarivo</t>
  </si>
  <si>
    <t>MG23209090</t>
  </si>
  <si>
    <t>Beloha_Mahaenegne</t>
  </si>
  <si>
    <t>MG51506170</t>
  </si>
  <si>
    <t>Nous ramenons en priorite  1 car c'est une commune vulnerable aussi bien conjoncturellement que structurelle car  deja les speculations sont deja limites en tubercules et mais en bonne periode et elle est toujours exposee a la secheresse d'une facon recu</t>
  </si>
  <si>
    <t>Amboasary-Atsimo_Mahaly</t>
  </si>
  <si>
    <t>MG52516151</t>
  </si>
  <si>
    <t>Mananjary_Mahatsara Iefaka</t>
  </si>
  <si>
    <t>MG51506270</t>
  </si>
  <si>
    <t>Vondrozo_Mahatsinjo</t>
  </si>
  <si>
    <t>MG23210171</t>
  </si>
  <si>
    <t>Zone FSRP où il y a 4 OP</t>
  </si>
  <si>
    <t>Zone FSRP</t>
  </si>
  <si>
    <t>Mananjary_Mahela</t>
  </si>
  <si>
    <t>MG52516092</t>
  </si>
  <si>
    <t>Manakara Atsimo_Mangatsiotra</t>
  </si>
  <si>
    <t>MG23212053</t>
  </si>
  <si>
    <t>Manakara Atsimo_Manjarivo</t>
  </si>
  <si>
    <t>MG23210370</t>
  </si>
  <si>
    <t>Res_SO3</t>
  </si>
  <si>
    <t>Ambovombe-Androy_Maroalomainty</t>
  </si>
  <si>
    <t>MG25217150</t>
  </si>
  <si>
    <t>Betioky Atsimo_Maroarivo Ankazomanga</t>
  </si>
  <si>
    <t>MG25222032</t>
  </si>
  <si>
    <t>Amboasary-Atsimo_Ranobe</t>
  </si>
  <si>
    <t>MG23209270</t>
  </si>
  <si>
    <t>Betioky Atsimo_Sakamasay</t>
  </si>
  <si>
    <t>MG23209050</t>
  </si>
  <si>
    <t>Betioky Atsimo_Salobe</t>
  </si>
  <si>
    <t>MG25213390</t>
  </si>
  <si>
    <t>Vohipeno_Savana</t>
  </si>
  <si>
    <t>MG25217051</t>
  </si>
  <si>
    <t>Ambovombe-Androy_Sihanamaro</t>
  </si>
  <si>
    <t>MG23209070</t>
  </si>
  <si>
    <t>Betioky Atsimo_Soamanonga</t>
  </si>
  <si>
    <t>MG23212070</t>
  </si>
  <si>
    <t>Manakara Atsimo_Sorombo</t>
  </si>
  <si>
    <t>MG25213552</t>
  </si>
  <si>
    <t>Betioky Atsimo_Tanambao Haut</t>
  </si>
  <si>
    <t>MG51506311</t>
  </si>
  <si>
    <t>Vangaindrano_Vatanato</t>
  </si>
  <si>
    <t>MG23210250</t>
  </si>
  <si>
    <t>Bekily_Beteza</t>
  </si>
  <si>
    <t>MG23210452</t>
  </si>
  <si>
    <t>Bekily_Mikaikarivo ambatomainty</t>
  </si>
  <si>
    <t>MG23210531</t>
  </si>
  <si>
    <t>Bekily_Morafeno Bekily</t>
  </si>
  <si>
    <t>MG23210472</t>
  </si>
  <si>
    <t>Bekily_Tsirandrany</t>
  </si>
  <si>
    <t xml:space="preserve">Antsimo Andrefana </t>
  </si>
  <si>
    <t>MG23209251</t>
  </si>
  <si>
    <t xml:space="preserve">Resilience </t>
  </si>
  <si>
    <t>FFA</t>
  </si>
  <si>
    <t>Betioky Atsimo_Tameantsoa</t>
  </si>
  <si>
    <t>Nb_populat</t>
  </si>
  <si>
    <t>Quota à assister Résilience</t>
  </si>
  <si>
    <t>Vatovavy</t>
  </si>
  <si>
    <t>MG23209470</t>
  </si>
  <si>
    <t>Ambalavato Antevato</t>
  </si>
  <si>
    <t>zone Norvège et FSRP</t>
  </si>
  <si>
    <t>Farafangana_Ambalavato Antevato</t>
  </si>
  <si>
    <t>Atsimo Atsinanana</t>
  </si>
  <si>
    <t>MG25213030</t>
  </si>
  <si>
    <t>Ambila</t>
  </si>
  <si>
    <t>Non recommandé</t>
  </si>
  <si>
    <t>Manakara Atsimo_Ambila</t>
  </si>
  <si>
    <t>MG25213330</t>
  </si>
  <si>
    <t>Nosy-Varika</t>
  </si>
  <si>
    <t>Ambodirian'i Sahafary</t>
  </si>
  <si>
    <t>Urg_Sech</t>
  </si>
  <si>
    <t>Nosy-Varika_Ambodirian'i Sahafary</t>
  </si>
  <si>
    <t>MG23209070a</t>
  </si>
  <si>
    <t>Toliary-II</t>
  </si>
  <si>
    <t>Ambohimahavelona</t>
  </si>
  <si>
    <t>Toliary-II_Ambohimahavelona</t>
  </si>
  <si>
    <t>Androy</t>
  </si>
  <si>
    <t>MG23210311</t>
  </si>
  <si>
    <t>Ambolofoty</t>
  </si>
  <si>
    <t>Toliary-II_Ambolofoty</t>
  </si>
  <si>
    <t>MG25214270</t>
  </si>
  <si>
    <t>Ambovombe</t>
  </si>
  <si>
    <t>Ambovombe-Androy_Ambovombe</t>
  </si>
  <si>
    <t>MG23210151</t>
  </si>
  <si>
    <t>Ampasimanjeva</t>
  </si>
  <si>
    <t>Zone FSRP où il y a une OP</t>
  </si>
  <si>
    <t>Manakara Atsimo_Ampasimanjeva</t>
  </si>
  <si>
    <t>MG23210152</t>
  </si>
  <si>
    <t>Amporoforo</t>
  </si>
  <si>
    <t>zone Norvège</t>
  </si>
  <si>
    <t>Farafangana_Amporoforo</t>
  </si>
  <si>
    <t>MG25217012</t>
  </si>
  <si>
    <t>Analamary</t>
  </si>
  <si>
    <t>Ambovombe-Androy_Analamary</t>
  </si>
  <si>
    <t>MG25213410</t>
  </si>
  <si>
    <t>Andranambolava</t>
  </si>
  <si>
    <t>Mananjary_Andranambolava</t>
  </si>
  <si>
    <t>MG23209252</t>
  </si>
  <si>
    <t>Anja Nord</t>
  </si>
  <si>
    <t>Resilience</t>
  </si>
  <si>
    <t>Bekily_Anja Nord</t>
  </si>
  <si>
    <t>MG25213250</t>
  </si>
  <si>
    <t>Anjampaly</t>
  </si>
  <si>
    <t>Tsihombe_Anjampaly</t>
  </si>
  <si>
    <t>MG23206071</t>
  </si>
  <si>
    <t>Ankaranabo Nord</t>
  </si>
  <si>
    <t>Bekily_Ankaranabo Nord</t>
  </si>
  <si>
    <t>MG52516011</t>
  </si>
  <si>
    <t>Ankarimbary</t>
  </si>
  <si>
    <t>Urgence_Résilience</t>
  </si>
  <si>
    <t>Vohipeno_Ankarimbary</t>
  </si>
  <si>
    <t>MG23209170</t>
  </si>
  <si>
    <t>Antanimena Onilahy</t>
  </si>
  <si>
    <t>Toliary-II_Antanimena Onilahy</t>
  </si>
  <si>
    <t>MG53517130</t>
  </si>
  <si>
    <t>Antaritarika</t>
  </si>
  <si>
    <t>Tsihombe_Antaritarika</t>
  </si>
  <si>
    <t>MG25214070</t>
  </si>
  <si>
    <t>Antohabato</t>
  </si>
  <si>
    <t>Betioky Atsimo_Antohabato</t>
  </si>
  <si>
    <t>MG25213472</t>
  </si>
  <si>
    <t>Antseranambe</t>
  </si>
  <si>
    <t>zone où il y a des OP pour FSRP</t>
  </si>
  <si>
    <t>Farafangana_Antseranambe</t>
  </si>
  <si>
    <t>MG23209031</t>
  </si>
  <si>
    <t>Beantake</t>
  </si>
  <si>
    <t>Betioky Atsimo_Beantake</t>
  </si>
  <si>
    <t>MG51507170</t>
  </si>
  <si>
    <t>Behara</t>
  </si>
  <si>
    <t>Amboasary-Atsimo_Behara</t>
  </si>
  <si>
    <t>MG23212212</t>
  </si>
  <si>
    <t>Bekitro</t>
  </si>
  <si>
    <t>Bekily_Bekitro</t>
  </si>
  <si>
    <t>MG25213150</t>
  </si>
  <si>
    <t>Belamoty</t>
  </si>
  <si>
    <t>Betioky Atsimo_Belamoty</t>
  </si>
  <si>
    <t>MG25213290</t>
  </si>
  <si>
    <t>Beloha_Beloha</t>
  </si>
  <si>
    <t>MG51507250</t>
  </si>
  <si>
    <t>Betanty (Faux Cap)</t>
  </si>
  <si>
    <t>La commune de Faux Cap fait face à des problèmes d’accès à l’eau et a été particulièrement touchée par les deux cyclones JUDE et HONDE. De plus, les productions agricoles attendues cette année n’ont pas été atteintes. Nous souhaitons la</t>
  </si>
  <si>
    <t>Tsihombe_Betanty (Faux Cap)</t>
  </si>
  <si>
    <t>MG25213170</t>
  </si>
  <si>
    <t>Evato</t>
  </si>
  <si>
    <t>Farafangana_Evato</t>
  </si>
  <si>
    <t>MG52518010</t>
  </si>
  <si>
    <t>Fenoarivo</t>
  </si>
  <si>
    <t>zone FSRP</t>
  </si>
  <si>
    <t>Farafangana_Fenoarivo</t>
  </si>
  <si>
    <t>MG25213450</t>
  </si>
  <si>
    <t>Fiadanana</t>
  </si>
  <si>
    <t>Nosy-Varika_Fiadanana</t>
  </si>
  <si>
    <t>MG25222052</t>
  </si>
  <si>
    <t>Fonilaza</t>
  </si>
  <si>
    <t>Vangaindrano_Fonilaza</t>
  </si>
  <si>
    <t>MG52518190</t>
  </si>
  <si>
    <t>Ihorombe</t>
  </si>
  <si>
    <t>Farafangana_Ihorombe</t>
  </si>
  <si>
    <t>MG23212211</t>
  </si>
  <si>
    <t>Imanombo</t>
  </si>
  <si>
    <t>Antanimora Sud_Imanombo</t>
  </si>
  <si>
    <t>MG51506090</t>
  </si>
  <si>
    <t>Itampolo</t>
  </si>
  <si>
    <t>Ampanihy Ouest_Itampolo</t>
  </si>
  <si>
    <t>MG51520192</t>
  </si>
  <si>
    <t>Lopary</t>
  </si>
  <si>
    <t>Vangaindrano_Lopary</t>
  </si>
  <si>
    <t>MG51506313</t>
  </si>
  <si>
    <t>Mahabo</t>
  </si>
  <si>
    <t>Amboasary-Atsimo_Mahabo</t>
  </si>
  <si>
    <t>MG52518031a</t>
  </si>
  <si>
    <t>Mahafasa Centre</t>
  </si>
  <si>
    <t>Farafangana_Mahafasa Centre</t>
  </si>
  <si>
    <t>MG25213510</t>
  </si>
  <si>
    <t>Mahatsara Sud</t>
  </si>
  <si>
    <t>Mananjary_Mahatsara Sud</t>
  </si>
  <si>
    <t>MG23209370</t>
  </si>
  <si>
    <t>Mahavelo</t>
  </si>
  <si>
    <t>Farafangana_Mahavelo</t>
  </si>
  <si>
    <t>MG23207112</t>
  </si>
  <si>
    <t>Vondrozo_Mahavelo</t>
  </si>
  <si>
    <t>MG23210130</t>
  </si>
  <si>
    <t>Mahavoky Nord</t>
  </si>
  <si>
    <t>Mananjary_Mahavoky Nord</t>
  </si>
  <si>
    <t>MG52516190</t>
  </si>
  <si>
    <t>Maheriraty</t>
  </si>
  <si>
    <t>c'est une zone où il y a une OP du projet FSRP, possibilité d'activité conjointe 3A</t>
  </si>
  <si>
    <t>Farafangana_Maheriraty</t>
  </si>
  <si>
    <t>MG23210051</t>
  </si>
  <si>
    <t>Manorofify</t>
  </si>
  <si>
    <t>Toliary-II_Manorofify</t>
  </si>
  <si>
    <t>MG23210410</t>
  </si>
  <si>
    <t>Marofarihy</t>
  </si>
  <si>
    <t>Manakara Atsimo_Marofarihy</t>
  </si>
  <si>
    <t>MG23210430</t>
  </si>
  <si>
    <t>Marokarima</t>
  </si>
  <si>
    <t>zone Norvege</t>
  </si>
  <si>
    <t>Mananjary_Marokarima</t>
  </si>
  <si>
    <t>MG23207113</t>
  </si>
  <si>
    <t>Marolinta</t>
  </si>
  <si>
    <t>Beloha_Marolinta</t>
  </si>
  <si>
    <t>MG23210292</t>
  </si>
  <si>
    <t>Marosangy</t>
  </si>
  <si>
    <t>Mananjary_Marosangy</t>
  </si>
  <si>
    <t>MG25213230</t>
  </si>
  <si>
    <t>Marosavoa</t>
  </si>
  <si>
    <t>Betioky Atsimo_Marosavoa</t>
  </si>
  <si>
    <t>MG23209110</t>
  </si>
  <si>
    <t>Masiaboay</t>
  </si>
  <si>
    <t>Betioky Atsimo_Masiaboay</t>
  </si>
  <si>
    <t>MG51506230</t>
  </si>
  <si>
    <t>Namohora Iaborano</t>
  </si>
  <si>
    <t>Farafangana_Namohora Iaborano</t>
  </si>
  <si>
    <t>MG23210471</t>
  </si>
  <si>
    <t>Soamanova</t>
  </si>
  <si>
    <t>zone FSRP, possibilité d'activité conjointe 3A</t>
  </si>
  <si>
    <t>Vangaindrano_Soamanova</t>
  </si>
  <si>
    <t>MG25213551</t>
  </si>
  <si>
    <t>Tangainony</t>
  </si>
  <si>
    <t>Farafangana_Tangainony</t>
  </si>
  <si>
    <t>MG23210451</t>
  </si>
  <si>
    <t>Tomboarivo</t>
  </si>
  <si>
    <t>Amboasary-Atsimo_Tomboarivo</t>
  </si>
  <si>
    <t>MG25215012</t>
  </si>
  <si>
    <t>Tsarahafatra</t>
  </si>
  <si>
    <t>Mananjary_Tsarahafatra</t>
  </si>
  <si>
    <t>MG23209310</t>
  </si>
  <si>
    <t>Tsaravary</t>
  </si>
  <si>
    <t>zone Norvege et FSRP</t>
  </si>
  <si>
    <t>Mananjary_Tsaravary</t>
  </si>
  <si>
    <t>MG25222053</t>
  </si>
  <si>
    <t>Tsiately</t>
  </si>
  <si>
    <t>Vangaindrano_Tsiately</t>
  </si>
  <si>
    <t>MG23210172</t>
  </si>
  <si>
    <t>Tsiatosika</t>
  </si>
  <si>
    <t>Mananjary_Tsiatosika</t>
  </si>
  <si>
    <t>MG25214091</t>
  </si>
  <si>
    <t>Tsimananada</t>
  </si>
  <si>
    <t>Ambovombe-Androy_Tsimananada</t>
  </si>
  <si>
    <t>MG25214251</t>
  </si>
  <si>
    <t>Tsivory</t>
  </si>
  <si>
    <t>RRT</t>
  </si>
  <si>
    <t>Amboasary-Atsimo_Tsivory</t>
  </si>
  <si>
    <t>MG25222031</t>
  </si>
  <si>
    <t>Vangaindrano_Vangaindrano</t>
  </si>
  <si>
    <t>MG23210070</t>
  </si>
  <si>
    <t>Vatolatsaka</t>
  </si>
  <si>
    <t>Betioky Atsimo_Vatolatsaka</t>
  </si>
  <si>
    <t>MG51507290</t>
  </si>
  <si>
    <t>Vohilava manampatra</t>
  </si>
  <si>
    <t>implantation de l'UPSI</t>
  </si>
  <si>
    <t>Farafangana_Vohilava manampatra</t>
  </si>
  <si>
    <t>MG25213090</t>
  </si>
  <si>
    <t>Vohilengo</t>
  </si>
  <si>
    <t>Farafangana_Vohilengo</t>
  </si>
  <si>
    <t>MG25214111</t>
  </si>
  <si>
    <t>Vohimary</t>
  </si>
  <si>
    <t>Betioky Atsimo_Vohimary</t>
  </si>
  <si>
    <t>MG52516012</t>
  </si>
  <si>
    <t>Vohimasina Nord</t>
  </si>
  <si>
    <t>Manakara Atsimo_Vohimasina Nord</t>
  </si>
  <si>
    <t>MG25215051</t>
  </si>
  <si>
    <t>Vohimasy</t>
  </si>
  <si>
    <t>Manakara Atsimo_Vohimasy</t>
  </si>
  <si>
    <t>MG52518151</t>
  </si>
  <si>
    <t>Farafangana_Vohimasy</t>
  </si>
  <si>
    <t>MG23210490</t>
  </si>
  <si>
    <t>Vohitrambo</t>
  </si>
  <si>
    <t>Vangaindrano_Vohitrambo</t>
  </si>
  <si>
    <t>MG52518092</t>
  </si>
  <si>
    <t>Vohitromby</t>
  </si>
  <si>
    <t>Farafangana_Vohitromby</t>
  </si>
  <si>
    <t>MG52518270</t>
  </si>
  <si>
    <t>Bevitiky</t>
  </si>
  <si>
    <t>Bekily_Bevitiky</t>
  </si>
  <si>
    <t>Quota</t>
  </si>
  <si>
    <t>Nb pop total commune</t>
  </si>
  <si>
    <t>Nb benef</t>
  </si>
  <si>
    <t>Mng benef 2025</t>
  </si>
  <si>
    <t>Mng disponible</t>
  </si>
  <si>
    <t>Gap</t>
  </si>
  <si>
    <t>Pourcent gap</t>
  </si>
  <si>
    <t>A ajouter pour Nouvelle commune</t>
  </si>
  <si>
    <t>A ajouter pour rajout (avec gap)</t>
  </si>
  <si>
    <t>nb formulaire par agent</t>
  </si>
  <si>
    <t>Nb jour d'enregistrement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</si>
</sst>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* #,##0_-;\-* #,##0_-;_-* &quot;-&quot;??_-;_-@_-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164" fontId="1" fillId="0" borderId="0" xfId="1" applyFont="1"/>
    <xf numFmtId="164" fontId="0" fillId="0" borderId="0" xfId="1" applyFont="1"/>
    <xf numFmtId="0" fontId="0" fillId="0" borderId="0" xfId="0" pivotButton="1"/>
    <xf numFmtId="9" fontId="1" fillId="0" borderId="0" xfId="2" applyFont="1" applyAlignment="1">
      <alignment horizontal="left" vertical="center"/>
    </xf>
    <xf numFmtId="0" fontId="1" fillId="3" borderId="0" xfId="0" applyFont="1" applyFill="1"/>
    <xf numFmtId="0" fontId="0" fillId="3" borderId="0" xfId="0" applyFill="1"/>
    <xf numFmtId="164" fontId="1" fillId="3" borderId="0" xfId="1" applyFont="1" applyFill="1"/>
    <xf numFmtId="164" fontId="0" fillId="3" borderId="0" xfId="1" applyFont="1" applyFill="1"/>
    <xf numFmtId="164" fontId="1" fillId="4" borderId="0" xfId="1" applyFont="1" applyFill="1"/>
    <xf numFmtId="164" fontId="0" fillId="4" borderId="0" xfId="1" applyFont="1" applyFill="1"/>
    <xf numFmtId="164" fontId="0" fillId="5" borderId="0" xfId="1" applyFont="1" applyFill="1"/>
    <xf numFmtId="164" fontId="0" fillId="6" borderId="0" xfId="1" applyFont="1" applyFill="1"/>
    <xf numFmtId="165" fontId="0" fillId="0" borderId="0" xfId="0" applyNumberFormat="1"/>
    <xf numFmtId="164" fontId="0" fillId="8" borderId="0" xfId="1" applyFont="1" applyFill="1"/>
    <xf numFmtId="164" fontId="0" fillId="9" borderId="0" xfId="1" applyFont="1" applyFill="1"/>
    <xf numFmtId="164" fontId="0" fillId="10" borderId="0" xfId="1" applyFont="1" applyFill="1"/>
    <xf numFmtId="9" fontId="1" fillId="0" borderId="0" xfId="2" applyFont="1" applyFill="1" applyAlignment="1">
      <alignment horizontal="left" vertical="center"/>
    </xf>
    <xf numFmtId="164" fontId="0" fillId="0" borderId="0" xfId="1" applyFont="1" applyFill="1"/>
    <xf numFmtId="0" fontId="1" fillId="10" borderId="0" xfId="0" applyFont="1" applyFill="1"/>
    <xf numFmtId="164" fontId="0" fillId="10" borderId="0" xfId="0" applyNumberFormat="1" applyFill="1"/>
    <xf numFmtId="164" fontId="1" fillId="2" borderId="0" xfId="1" applyFont="1" applyFill="1"/>
    <xf numFmtId="164" fontId="0" fillId="2" borderId="0" xfId="1" applyFont="1" applyFill="1"/>
    <xf numFmtId="164" fontId="1" fillId="7" borderId="0" xfId="1" applyFont="1" applyFill="1"/>
    <xf numFmtId="0" fontId="3" fillId="0" borderId="0" xfId="0" applyFont="1"/>
    <xf numFmtId="0" fontId="4" fillId="0" borderId="0" xfId="0" applyFont="1"/>
    <xf numFmtId="43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1" fillId="4" borderId="1" xfId="0" applyFont="1" applyFill="1" applyBorder="1"/>
    <xf numFmtId="0" fontId="0" fillId="0" borderId="2" xfId="0" applyBorder="1"/>
    <xf numFmtId="0" fontId="0" fillId="0" borderId="3" xfId="0" applyBorder="1"/>
    <xf numFmtId="0" fontId="1" fillId="4" borderId="5" xfId="0" applyFont="1" applyFill="1" applyBorder="1"/>
    <xf numFmtId="167" fontId="0" fillId="0" borderId="3" xfId="3" applyNumberFormat="1" applyFont="1" applyBorder="1"/>
    <xf numFmtId="0" fontId="0" fillId="0" borderId="7" xfId="0" applyBorder="1"/>
    <xf numFmtId="167" fontId="0" fillId="0" borderId="11" xfId="3" applyNumberFormat="1" applyFont="1" applyBorder="1"/>
    <xf numFmtId="167" fontId="0" fillId="0" borderId="12" xfId="3" applyNumberFormat="1" applyFont="1" applyBorder="1"/>
    <xf numFmtId="167" fontId="0" fillId="0" borderId="2" xfId="3" applyNumberFormat="1" applyFont="1" applyBorder="1"/>
    <xf numFmtId="0" fontId="1" fillId="4" borderId="1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8" xfId="0" applyFont="1" applyFill="1" applyBorder="1"/>
    <xf numFmtId="167" fontId="1" fillId="4" borderId="13" xfId="3" applyNumberFormat="1" applyFont="1" applyFill="1" applyBorder="1"/>
    <xf numFmtId="167" fontId="1" fillId="4" borderId="16" xfId="3" applyNumberFormat="1" applyFont="1" applyFill="1" applyBorder="1"/>
    <xf numFmtId="167" fontId="1" fillId="4" borderId="14" xfId="3" applyNumberFormat="1" applyFont="1" applyFill="1" applyBorder="1"/>
    <xf numFmtId="167" fontId="1" fillId="4" borderId="18" xfId="3" applyNumberFormat="1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3" xfId="0" applyFont="1" applyFill="1" applyBorder="1"/>
    <xf numFmtId="0" fontId="1" fillId="4" borderId="4" xfId="0" applyFont="1" applyFill="1" applyBorder="1" applyAlignment="1">
      <alignment horizontal="center"/>
    </xf>
    <xf numFmtId="0" fontId="5" fillId="0" borderId="1" xfId="0" applyFont="1" applyBorder="1"/>
    <xf numFmtId="0" fontId="6" fillId="4" borderId="1" xfId="0" applyFon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7" fontId="0" fillId="0" borderId="0" xfId="0" applyNumberFormat="1"/>
    <xf numFmtId="0" fontId="1" fillId="4" borderId="1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4">
    <cellStyle name="Comma" xfId="3" builtinId="3"/>
    <cellStyle name="Comma [0]" xfId="1" builtinId="6"/>
    <cellStyle name="Normal" xfId="0" builtinId="0"/>
    <cellStyle name="Percent" xfId="2" builtinId="5"/>
  </cellStyles>
  <dxfs count="1">
    <dxf>
      <numFmt numFmtId="16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laniaina CATHY JESSICA" refreshedDate="45841.677901736111" createdVersion="8" refreshedVersion="8" minRefreshableVersion="3" recordCount="84" xr:uid="{A3A3F3AB-8AF4-4FF9-A9AA-52779700111B}">
  <cacheSource type="worksheet">
    <worksheetSource ref="A1:X85" sheet="Liste_Final_discussion_Res"/>
  </cacheSource>
  <cacheFields count="24">
    <cacheField name="Région" numFmtId="0">
      <sharedItems/>
    </cacheField>
    <cacheField name="ADM3_PCODE" numFmtId="0">
      <sharedItems/>
    </cacheField>
    <cacheField name="BT" numFmtId="0">
      <sharedItems count="4">
        <s v="BT Manakara"/>
        <s v="BT Toliara"/>
        <s v="BT Ambovombe"/>
        <s v="BT Ampanihy"/>
      </sharedItems>
    </cacheField>
    <cacheField name="District" numFmtId="0">
      <sharedItems/>
    </cacheField>
    <cacheField name="Commune" numFmtId="0">
      <sharedItems/>
    </cacheField>
    <cacheField name="Prio_vf_ICA" numFmtId="0">
      <sharedItems containsSemiMixedTypes="0" containsString="0" containsNumber="1" containsInteger="1" minValue="1" maxValue="4"/>
    </cacheField>
    <cacheField name="rang_commu" numFmtId="0">
      <sharedItems containsSemiMixedTypes="0" containsString="0" containsNumber="1" containsInteger="1" minValue="1" maxValue="47"/>
    </cacheField>
    <cacheField name="Nb_populat" numFmtId="0">
      <sharedItems containsSemiMixedTypes="0" containsString="0" containsNumber="1" minValue="0" maxValue="54129.212305000001"/>
    </cacheField>
    <cacheField name="F2_24_Acti" numFmtId="0">
      <sharedItems/>
    </cacheField>
    <cacheField name="Interpreta" numFmtId="0">
      <sharedItems/>
    </cacheField>
    <cacheField name="Recommanda" numFmtId="0">
      <sharedItems containsBlank="1"/>
    </cacheField>
    <cacheField name="Commenta_1" numFmtId="0">
      <sharedItems/>
    </cacheField>
    <cacheField name="Interpretation" numFmtId="0">
      <sharedItems/>
    </cacheField>
    <cacheField name="Recomman_1" numFmtId="0">
      <sharedItems containsBlank="1"/>
    </cacheField>
    <cacheField name="Type Activité" numFmtId="0">
      <sharedItems count="2">
        <s v="Résilience"/>
        <s v="Convergence"/>
      </sharedItems>
    </cacheField>
    <cacheField name="FSRP" numFmtId="0">
      <sharedItems containsBlank="1"/>
    </cacheField>
    <cacheField name="Concate verif" numFmtId="0">
      <sharedItems/>
    </cacheField>
    <cacheField name="Pop 2025" numFmtId="164">
      <sharedItems containsSemiMixedTypes="0" containsString="0" containsNumber="1" minValue="3448.2071129999999" maxValue="87710.334984734116"/>
    </cacheField>
    <cacheField name="Mng_2025" numFmtId="164">
      <sharedItems containsSemiMixedTypes="0" containsString="0" containsNumber="1" minValue="689.64142259999994" maxValue="17542.066996946822"/>
    </cacheField>
    <cacheField name="Liste mng disponible" numFmtId="164">
      <sharedItems containsString="0" containsBlank="1" containsNumber="1" minValue="400" maxValue="7000"/>
    </cacheField>
    <cacheField name="Quota à assister Résilience" numFmtId="0">
      <sharedItems containsNonDate="0" containsString="0" containsBlank="1"/>
    </cacheField>
    <cacheField name="scoremfi" numFmtId="0">
      <sharedItems containsSemiMixedTypes="0" containsString="0" containsNumber="1" minValue="1.82" maxValue="520.67927406299998"/>
    </cacheField>
    <cacheField name="mfi_classe" numFmtId="0">
      <sharedItems containsSemiMixedTypes="0" containsString="0" containsNumber="1" minValue="1" maxValue="75.5"/>
    </cacheField>
    <cacheField name="modalite_maj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laniaina CATHY JESSICA" refreshedDate="45841.677902199073" createdVersion="8" refreshedVersion="8" minRefreshableVersion="3" recordCount="53" xr:uid="{181E489C-C811-494D-9E91-212632C40A25}">
  <cacheSource type="worksheet">
    <worksheetSource ref="A1:AX54" sheet="Liste_Final_draft_Urg"/>
  </cacheSource>
  <cacheFields count="50">
    <cacheField name="Région" numFmtId="0">
      <sharedItems/>
    </cacheField>
    <cacheField name="ADM3_PCODE" numFmtId="0">
      <sharedItems/>
    </cacheField>
    <cacheField name="BT" numFmtId="0">
      <sharedItems count="4">
        <s v="BT Ambovombe"/>
        <s v="BT Manakara"/>
        <s v="BT Ampanihy"/>
        <s v="BT Toliara"/>
      </sharedItems>
    </cacheField>
    <cacheField name="District" numFmtId="0">
      <sharedItems/>
    </cacheField>
    <cacheField name="Commune" numFmtId="0">
      <sharedItems/>
    </cacheField>
    <cacheField name="Prio_vf_ICA" numFmtId="0">
      <sharedItems containsSemiMixedTypes="0" containsString="0" containsNumber="1" containsInteger="1" minValue="1" maxValue="2"/>
    </cacheField>
    <cacheField name="rang_commu" numFmtId="0">
      <sharedItems containsSemiMixedTypes="0" containsString="0" containsNumber="1" containsInteger="1" minValue="1" maxValue="25"/>
    </cacheField>
    <cacheField name="F2_24_Acti" numFmtId="0">
      <sharedItems containsBlank="1"/>
    </cacheField>
    <cacheField name="Interpreta" numFmtId="0">
      <sharedItems/>
    </cacheField>
    <cacheField name="Recommanda" numFmtId="0">
      <sharedItems/>
    </cacheField>
    <cacheField name="Commenta_1" numFmtId="0">
      <sharedItems containsBlank="1"/>
    </cacheField>
    <cacheField name="Interpretation" numFmtId="0">
      <sharedItems/>
    </cacheField>
    <cacheField name="Recomman_1" numFmtId="0">
      <sharedItems/>
    </cacheField>
    <cacheField name="Type Activité" numFmtId="0">
      <sharedItems count="2">
        <s v="Urgence"/>
        <s v="Convergence"/>
      </sharedItems>
    </cacheField>
    <cacheField name="FSRP" numFmtId="0">
      <sharedItems containsBlank="1"/>
    </cacheField>
    <cacheField name="Concate verif" numFmtId="0">
      <sharedItems/>
    </cacheField>
    <cacheField name="Pop 2025" numFmtId="0">
      <sharedItems containsSemiMixedTypes="0" containsString="0" containsNumber="1" minValue="3676.9900346713807" maxValue="65728.566050885347"/>
    </cacheField>
    <cacheField name="Mng_2025" numFmtId="164">
      <sharedItems containsSemiMixedTypes="0" containsString="0" containsNumber="1" minValue="735.39800693427617" maxValue="13145.713210177069"/>
    </cacheField>
    <cacheField name="Liste mng disponible" numFmtId="164">
      <sharedItems containsString="0" containsBlank="1" containsNumber="1" minValue="400" maxValue="7000"/>
    </cacheField>
    <cacheField name="Pourc_dispo" numFmtId="164">
      <sharedItems containsSemiMixedTypes="0" containsString="0" containsNumber="1" minValue="0" maxValue="142.0999227828195"/>
    </cacheField>
    <cacheField name="Repartition liste" numFmtId="164">
      <sharedItems containsSemiMixedTypes="0" containsString="0" containsNumber="1" minValue="582.96027370000002" maxValue="9925.0134736836881"/>
    </cacheField>
    <cacheField name="Pourc_quota" numFmtId="164">
      <sharedItems containsSemiMixedTypes="0" containsString="0" containsNumber="1" minValue="74.539054663802787" maxValue="142.0999227828195"/>
    </cacheField>
    <cacheField name="GAP par type d'activité" numFmtId="164">
      <sharedItems containsSemiMixedTypes="0" containsString="0" containsNumber="1" minValue="0" maxValue="9525.0134736836881"/>
    </cacheField>
    <cacheField name="Approche" numFmtId="164">
      <sharedItems/>
    </cacheField>
    <cacheField name="Mng à assister 2025" numFmtId="164">
      <sharedItems containsSemiMixedTypes="0" containsString="0" containsNumber="1" minValue="582.96027370000002" maxValue="9925.0134736836881"/>
    </cacheField>
    <cacheField name="Under2_6%" numFmtId="164">
      <sharedItems containsSemiMixedTypes="0" containsString="0" containsNumber="1" minValue="220.61940208028284" maxValue="3943.7139630531206"/>
    </cacheField>
    <cacheField name="FEFA_5%" numFmtId="164">
      <sharedItems containsSemiMixedTypes="0" containsString="0" containsNumber="1" minValue="183.84950173356904" maxValue="3286.4283025442674"/>
    </cacheField>
    <cacheField name="FEFA et U2" numFmtId="164">
      <sharedItems containsSemiMixedTypes="0" containsString="0" containsNumber="1" minValue="404.46890381385185" maxValue="7230.1422655973874"/>
    </cacheField>
    <cacheField name="Marge de 12%" numFmtId="164">
      <sharedItems containsSemiMixedTypes="0" containsString="0" containsNumber="1" minValue="69.955232843999994" maxValue="1191.0016168420425"/>
    </cacheField>
    <cacheField name="Plainte 3%" numFmtId="164">
      <sharedItems containsSemiMixedTypes="0" containsString="0" containsNumber="1" minValue="17.488808210999998" maxValue="297.75040421051062"/>
    </cacheField>
    <cacheField name="Mng pour traitement (avec 12% de marge d'erreur et 3% de plainte)" numFmtId="164">
      <sharedItems containsSemiMixedTypes="0" containsString="0" containsNumber="1" minValue="670.40431475499997" maxValue="11413.765494736241"/>
    </cacheField>
    <cacheField name="Nut à cibler (avec 11% de marge d'erreur)" numFmtId="164">
      <sharedItems containsSemiMixedTypes="0" containsString="0" containsNumber="1" minValue="448.96048323337556" maxValue="8025.4579148130997"/>
    </cacheField>
    <cacheField name="Gap avec marge d'erreur et plainte" numFmtId="164">
      <sharedItems containsSemiMixedTypes="0" containsString="0" containsNumber="1" minValue="87.444041054999957" maxValue="11013.765494736241"/>
    </cacheField>
    <cacheField name="Nb de jour pour 1 agent" numFmtId="164">
      <sharedItems containsSemiMixedTypes="0" containsString="0" containsNumber="1" minValue="2.9148013684999987" maxValue="367.12551649120803"/>
    </cacheField>
    <cacheField name="Nb agent pour 10 j d'enreg" numFmtId="0">
      <sharedItems containsSemiMixedTypes="0" containsString="0" containsNumber="1" containsInteger="1" minValue="1" maxValue="37"/>
    </cacheField>
    <cacheField name="scoremfi" numFmtId="0">
      <sharedItems containsString="0" containsBlank="1" containsNumber="1" minValue="2.09" maxValue="7.07"/>
    </cacheField>
    <cacheField name="mfi_classe" numFmtId="0">
      <sharedItems containsString="0" containsBlank="1" containsNumber="1" containsInteger="1" minValue="1" maxValue="4"/>
    </cacheField>
    <cacheField name="modalite_maj" numFmtId="0">
      <sharedItems/>
    </cacheField>
    <cacheField name="riz_1mois" numFmtId="0">
      <sharedItems containsString="0" containsBlank="1" containsNumber="1" minValue="17.488808210999998" maxValue="297.75040421051062"/>
    </cacheField>
    <cacheField name="Leg_1mois" numFmtId="0">
      <sharedItems containsString="0" containsBlank="1" containsNumber="1" minValue="2.6233212316499999" maxValue="44.662560631576596"/>
    </cacheField>
    <cacheField name="huile_1mois" numFmtId="0">
      <sharedItems containsString="0" containsBlank="1" containsNumber="1" minValue="1.5302707184625" maxValue="26.053160368419679"/>
    </cacheField>
    <cacheField name="HEB_1mois" numFmtId="0">
      <sharedItems containsString="0" containsBlank="1" containsNumber="1" minValue="0.87444041054999999" maxValue="14.887520210525532"/>
    </cacheField>
    <cacheField name="CSB_1mois" numFmtId="0">
      <sharedItems containsString="0" containsBlank="1" containsNumber="1" minValue="3.4977616422" maxValue="59.550080842102126"/>
    </cacheField>
    <cacheField name="LNS_1mois" numFmtId="0">
      <sharedItems containsString="0" containsBlank="1" containsNumber="1" minValue="1.7488808211" maxValue="29.775040421051063"/>
    </cacheField>
    <cacheField name="riz_3mois" numFmtId="166">
      <sharedItems containsString="0" containsBlank="1" containsNumber="1" minValue="0" maxValue="893.25121263153187"/>
    </cacheField>
    <cacheField name="Leg_3mois" numFmtId="166">
      <sharedItems containsString="0" containsBlank="1" containsNumber="1" minValue="0" maxValue="133.9876818947298"/>
    </cacheField>
    <cacheField name="huile_3mois" numFmtId="166">
      <sharedItems containsString="0" containsBlank="1" containsNumber="1" minValue="0" maxValue="78.159481105259033"/>
    </cacheField>
    <cacheField name="HEB_3mois" numFmtId="166">
      <sharedItems containsString="0" containsBlank="1" containsNumber="1" minValue="0" maxValue="44.662560631576596"/>
    </cacheField>
    <cacheField name="CSB_3mois" numFmtId="166">
      <sharedItems containsString="0" containsBlank="1" containsNumber="1" minValue="0" maxValue="178.65024252630639"/>
    </cacheField>
    <cacheField name="LNS_3mois" numFmtId="166">
      <sharedItems containsString="0" containsBlank="1" containsNumber="1" minValue="0" maxValue="89.325121263153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laniaina CATHY JESSICA" refreshedDate="45841.677903935182" createdVersion="8" refreshedVersion="8" minRefreshableVersion="3" recordCount="56" xr:uid="{4E230CC9-CACA-46D1-B423-E3834DFB86D6}">
  <cacheSource type="worksheet">
    <worksheetSource ref="A1:AX1048576" sheet="Liste_Final_draft_Urg"/>
  </cacheSource>
  <cacheFields count="50">
    <cacheField name="Région" numFmtId="0">
      <sharedItems containsBlank="1"/>
    </cacheField>
    <cacheField name="ADM3_PCODE" numFmtId="0">
      <sharedItems containsBlank="1"/>
    </cacheField>
    <cacheField name="BT" numFmtId="0">
      <sharedItems containsBlank="1" count="5">
        <s v="BT Ambovombe"/>
        <s v="BT Manakara"/>
        <s v="BT Ampanihy"/>
        <s v="BT Toliara"/>
        <m/>
      </sharedItems>
    </cacheField>
    <cacheField name="District" numFmtId="0">
      <sharedItems containsBlank="1"/>
    </cacheField>
    <cacheField name="Commune" numFmtId="0">
      <sharedItems containsBlank="1"/>
    </cacheField>
    <cacheField name="Prio_vf_ICA" numFmtId="0">
      <sharedItems containsString="0" containsBlank="1" containsNumber="1" containsInteger="1" minValue="1" maxValue="2"/>
    </cacheField>
    <cacheField name="rang_commu" numFmtId="0">
      <sharedItems containsString="0" containsBlank="1" containsNumber="1" containsInteger="1" minValue="1" maxValue="25"/>
    </cacheField>
    <cacheField name="F2_24_Acti" numFmtId="0">
      <sharedItems containsBlank="1"/>
    </cacheField>
    <cacheField name="Interpreta" numFmtId="0">
      <sharedItems containsBlank="1"/>
    </cacheField>
    <cacheField name="Recommanda" numFmtId="0">
      <sharedItems containsBlank="1"/>
    </cacheField>
    <cacheField name="Commenta_1" numFmtId="0">
      <sharedItems containsBlank="1"/>
    </cacheField>
    <cacheField name="Interpretation" numFmtId="0">
      <sharedItems containsBlank="1"/>
    </cacheField>
    <cacheField name="Recomman_1" numFmtId="0">
      <sharedItems containsBlank="1"/>
    </cacheField>
    <cacheField name="Type Activité" numFmtId="0">
      <sharedItems containsBlank="1"/>
    </cacheField>
    <cacheField name="FSRP" numFmtId="0">
      <sharedItems containsBlank="1"/>
    </cacheField>
    <cacheField name="Concate verif" numFmtId="0">
      <sharedItems containsBlank="1"/>
    </cacheField>
    <cacheField name="Pop 2025" numFmtId="0">
      <sharedItems containsString="0" containsBlank="1" containsNumber="1" minValue="3676.9900346713807" maxValue="65728.566050885347"/>
    </cacheField>
    <cacheField name="Mng_2025" numFmtId="164">
      <sharedItems containsString="0" containsBlank="1" containsNumber="1" minValue="735.39800693427617" maxValue="13145.713210177069"/>
    </cacheField>
    <cacheField name="Liste mng disponible" numFmtId="164">
      <sharedItems containsString="0" containsBlank="1" containsNumber="1" minValue="400" maxValue="7000"/>
    </cacheField>
    <cacheField name="Pourc_dispo" numFmtId="164">
      <sharedItems containsString="0" containsBlank="1" containsNumber="1" minValue="0" maxValue="142.0999227828195"/>
    </cacheField>
    <cacheField name="Repartition liste" numFmtId="164">
      <sharedItems containsString="0" containsBlank="1" containsNumber="1" minValue="582.96027370000002" maxValue="9925.0134736836881"/>
    </cacheField>
    <cacheField name="Pourc_quota" numFmtId="164">
      <sharedItems containsString="0" containsBlank="1" containsNumber="1" minValue="74.539054663802787" maxValue="142.0999227828195"/>
    </cacheField>
    <cacheField name="GAP par type d'activité" numFmtId="164">
      <sharedItems containsString="0" containsBlank="1" containsNumber="1" minValue="0" maxValue="9525.0134736836881"/>
    </cacheField>
    <cacheField name="Approche" numFmtId="164">
      <sharedItems containsBlank="1"/>
    </cacheField>
    <cacheField name="Mng à assister 2025" numFmtId="164">
      <sharedItems containsString="0" containsBlank="1" containsNumber="1" minValue="582.96027370000002" maxValue="9925.0134736836881"/>
    </cacheField>
    <cacheField name="Under2_6%" numFmtId="0">
      <sharedItems containsString="0" containsBlank="1" containsNumber="1" minValue="220.61940208028284" maxValue="3943.7139630531206"/>
    </cacheField>
    <cacheField name="FEFA_5%" numFmtId="0">
      <sharedItems containsString="0" containsBlank="1" containsNumber="1" minValue="183.84950173356904" maxValue="3286.4283025442674"/>
    </cacheField>
    <cacheField name="FEFA et U2" numFmtId="0">
      <sharedItems containsString="0" containsBlank="1" containsNumber="1" minValue="404.46890381385185" maxValue="7230.1422655973874"/>
    </cacheField>
    <cacheField name="Marge de 12%" numFmtId="164">
      <sharedItems containsString="0" containsBlank="1" containsNumber="1" minValue="69.955232843999994" maxValue="1191.0016168420425"/>
    </cacheField>
    <cacheField name="Plainte 3%" numFmtId="164">
      <sharedItems containsString="0" containsBlank="1" containsNumber="1" minValue="17.488808210999998" maxValue="297.75040421051062"/>
    </cacheField>
    <cacheField name="Mng pour traitement (avec 12% de marge d'erreur et 3% de plainte)" numFmtId="164">
      <sharedItems containsString="0" containsBlank="1" containsNumber="1" minValue="670.40431475499997" maxValue="11413.765494736241"/>
    </cacheField>
    <cacheField name="Nut à cibler (avec 11% de marge d'erreur)" numFmtId="164">
      <sharedItems containsString="0" containsBlank="1" containsNumber="1" minValue="448.96048323337556" maxValue="8025.4579148130997"/>
    </cacheField>
    <cacheField name="Gap avec marge d'erreur et plainte" numFmtId="0">
      <sharedItems containsString="0" containsBlank="1" containsNumber="1" minValue="87.444041054999957" maxValue="11013.765494736241"/>
    </cacheField>
    <cacheField name="Nb de jour pour 1 agent" numFmtId="164">
      <sharedItems containsString="0" containsBlank="1" containsNumber="1" minValue="2.9148013684999987" maxValue="367.12551649120803"/>
    </cacheField>
    <cacheField name="Nb agent pour 10 j d'enreg" numFmtId="0">
      <sharedItems containsString="0" containsBlank="1" containsNumber="1" containsInteger="1" minValue="1" maxValue="37"/>
    </cacheField>
    <cacheField name="scoremfi" numFmtId="0">
      <sharedItems containsString="0" containsBlank="1" containsNumber="1" minValue="2.09" maxValue="7.07"/>
    </cacheField>
    <cacheField name="mfi_classe" numFmtId="0">
      <sharedItems containsString="0" containsBlank="1" containsNumber="1" containsInteger="1" minValue="1" maxValue="4"/>
    </cacheField>
    <cacheField name="modalite_maj" numFmtId="0">
      <sharedItems containsBlank="1"/>
    </cacheField>
    <cacheField name="riz_1mois" numFmtId="0">
      <sharedItems containsString="0" containsBlank="1" containsNumber="1" minValue="17.488808210999998" maxValue="2809.7253488507145"/>
    </cacheField>
    <cacheField name="Leg_1mois" numFmtId="0">
      <sharedItems containsString="0" containsBlank="1" containsNumber="1" minValue="2.6233212316499999" maxValue="421.4588023276072"/>
    </cacheField>
    <cacheField name="huile_1mois" numFmtId="0">
      <sharedItems containsString="0" containsBlank="1" containsNumber="1" minValue="1.5302707184625" maxValue="245.85096802443755"/>
    </cacheField>
    <cacheField name="HEB_1mois" numFmtId="0">
      <sharedItems containsString="0" containsBlank="1" containsNumber="1" minValue="0.87444041054999999" maxValue="140.48626744253579"/>
    </cacheField>
    <cacheField name="CSB_1mois" numFmtId="0">
      <sharedItems containsString="0" containsBlank="1" containsNumber="1" minValue="3.4977616422" maxValue="561.94506977014316"/>
    </cacheField>
    <cacheField name="LNS_1mois" numFmtId="0">
      <sharedItems containsString="0" containsBlank="1" containsNumber="1" minValue="1.7488808211" maxValue="280.97253488507158"/>
    </cacheField>
    <cacheField name="riz_3mois" numFmtId="0">
      <sharedItems containsString="0" containsBlank="1" containsNumber="1" minValue="0" maxValue="8429.1760465521456"/>
    </cacheField>
    <cacheField name="Leg_3mois" numFmtId="0">
      <sharedItems containsString="0" containsBlank="1" containsNumber="1" minValue="0" maxValue="1264.3764069828217"/>
    </cacheField>
    <cacheField name="huile_3mois" numFmtId="0">
      <sharedItems containsString="0" containsBlank="1" containsNumber="1" minValue="0" maxValue="737.55290407331245"/>
    </cacheField>
    <cacheField name="HEB_3mois" numFmtId="0">
      <sharedItems containsString="0" containsBlank="1" containsNumber="1" minValue="0" maxValue="421.4588023276072"/>
    </cacheField>
    <cacheField name="CSB_3mois" numFmtId="0">
      <sharedItems containsString="0" containsBlank="1" containsNumber="1" minValue="0" maxValue="1685.8352093104288"/>
    </cacheField>
    <cacheField name="LNS_3mois" numFmtId="0">
      <sharedItems containsString="0" containsBlank="1" containsNumber="1" minValue="0" maxValue="842.9176046552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laniaina CATHY JESSICA" refreshedDate="45841.694147916663" createdVersion="8" refreshedVersion="8" minRefreshableVersion="3" recordCount="54" xr:uid="{E901E7C2-2ED9-411C-A95E-454D8A662BB4}">
  <cacheSource type="worksheet">
    <worksheetSource ref="A1:AX55" sheet="Liste_Final_draft_Urg"/>
  </cacheSource>
  <cacheFields count="50">
    <cacheField name="Région" numFmtId="0">
      <sharedItems/>
    </cacheField>
    <cacheField name="ADM3_PCODE" numFmtId="0">
      <sharedItems/>
    </cacheField>
    <cacheField name="BT" numFmtId="0">
      <sharedItems count="4">
        <s v="BT Ambovombe"/>
        <s v="BT Manakara"/>
        <s v="BT Ampanihy"/>
        <s v="BT Toliara"/>
      </sharedItems>
    </cacheField>
    <cacheField name="District" numFmtId="0">
      <sharedItems count="14">
        <s v="Bekily"/>
        <s v="Farafangana"/>
        <s v="Ambovombe-Androy"/>
        <s v="Vangaindrano"/>
        <s v="Beloha"/>
        <s v="Mananjary"/>
        <s v="Vohipeno"/>
        <s v="Ampanihy Ouest"/>
        <s v="Vondrozo"/>
        <s v="Antanimora Sud"/>
        <s v="Betioky Atsimo"/>
        <s v="Manakara Atsimo"/>
        <s v="Amboasary-Atsimo"/>
        <s v="Tsihombe"/>
      </sharedItems>
    </cacheField>
    <cacheField name="Commune" numFmtId="0">
      <sharedItems count="54">
        <s v="Ambahita"/>
        <s v="Ambalavato Nord"/>
        <s v="Ambanisarika"/>
        <s v="Ambatolava"/>
        <s v="Ambatotsivala"/>
        <s v="Ambohitsara Est"/>
        <s v="Ambongo"/>
        <s v="Amborobe"/>
        <s v="Ampanihy Ouest"/>
        <s v="Anavoha"/>
        <s v="Andakana"/>
        <s v="Andalatanosy"/>
        <s v="Androipano"/>
        <s v="Androka"/>
        <s v="Anjeky Ankilikira"/>
        <s v="Ankazomanga Ouest"/>
        <s v="Ankazombalala"/>
        <s v="Anoloka"/>
        <s v="Anosiala"/>
        <s v="Antanimora Atsimo"/>
        <s v="Antsakoamaro"/>
        <s v="Behabobo"/>
        <s v="Ebelo"/>
        <s v="Ejeda"/>
        <s v="Fotadrevo"/>
        <s v="Iamonta"/>
        <s v="Ifotaka"/>
        <s v="Imongy"/>
        <s v="Ivato"/>
        <s v="Jafaro"/>
        <s v="Lazarivo"/>
        <s v="Mahaenegne"/>
        <s v="Mahaly"/>
        <s v="Mahatsara Iefaka"/>
        <s v="Mahatsinjo"/>
        <s v="Mahela"/>
        <s v="Mangatsiotra"/>
        <s v="Manjarivo"/>
        <s v="Maroalomainty"/>
        <s v="Maroarivo Ankazomanga"/>
        <s v="Ranobe"/>
        <s v="Sakamasay"/>
        <s v="Salobe"/>
        <s v="Savana"/>
        <s v="Sihanamaro"/>
        <s v="Soamanonga"/>
        <s v="Sorombo"/>
        <s v="Tanambao Haut"/>
        <s v="Vatanato"/>
        <s v="Beteza"/>
        <s v="Mikaikarivo ambatomainty"/>
        <s v="Morafeno Bekily"/>
        <s v="Tsirandrany"/>
        <s v="Tameantsoa"/>
      </sharedItems>
    </cacheField>
    <cacheField name="Prio_vf_ICA" numFmtId="0">
      <sharedItems containsSemiMixedTypes="0" containsString="0" containsNumber="1" containsInteger="1" minValue="1" maxValue="2"/>
    </cacheField>
    <cacheField name="rang_commu" numFmtId="0">
      <sharedItems containsSemiMixedTypes="0" containsString="0" containsNumber="1" containsInteger="1" minValue="1" maxValue="25"/>
    </cacheField>
    <cacheField name="F2_24_Acti" numFmtId="0">
      <sharedItems containsBlank="1"/>
    </cacheField>
    <cacheField name="Interpreta" numFmtId="0">
      <sharedItems/>
    </cacheField>
    <cacheField name="Recommanda" numFmtId="0">
      <sharedItems/>
    </cacheField>
    <cacheField name="Commenta_1" numFmtId="0">
      <sharedItems containsBlank="1"/>
    </cacheField>
    <cacheField name="Interpretation" numFmtId="0">
      <sharedItems/>
    </cacheField>
    <cacheField name="Recomman_1" numFmtId="0">
      <sharedItems/>
    </cacheField>
    <cacheField name="Type Activité" numFmtId="0">
      <sharedItems/>
    </cacheField>
    <cacheField name="FSRP" numFmtId="0">
      <sharedItems containsBlank="1"/>
    </cacheField>
    <cacheField name="Concate verif" numFmtId="0">
      <sharedItems/>
    </cacheField>
    <cacheField name="Pop 2025" numFmtId="0">
      <sharedItems containsSemiMixedTypes="0" containsString="0" containsNumber="1" minValue="3676.9900346713807" maxValue="65728.566050885347"/>
    </cacheField>
    <cacheField name="Mng_2025" numFmtId="164">
      <sharedItems containsSemiMixedTypes="0" containsString="0" containsNumber="1" minValue="735.39800693427617" maxValue="13145.713210177069"/>
    </cacheField>
    <cacheField name="Liste mng disponible" numFmtId="164">
      <sharedItems containsString="0" containsBlank="1" containsNumber="1" minValue="400" maxValue="7000"/>
    </cacheField>
    <cacheField name="Pourc_dispo" numFmtId="164">
      <sharedItems containsSemiMixedTypes="0" containsString="0" containsNumber="1" minValue="0" maxValue="142.0999227828195"/>
    </cacheField>
    <cacheField name="Repartition liste" numFmtId="164">
      <sharedItems containsSemiMixedTypes="0" containsString="0" containsNumber="1" minValue="582.96027370000002" maxValue="9925.0134736836881"/>
    </cacheField>
    <cacheField name="Pourc_quota" numFmtId="164">
      <sharedItems containsSemiMixedTypes="0" containsString="0" containsNumber="1" minValue="74.539054663802787" maxValue="142.0999227828195"/>
    </cacheField>
    <cacheField name="GAP par type d'activité" numFmtId="164">
      <sharedItems containsSemiMixedTypes="0" containsString="0" containsNumber="1" minValue="0" maxValue="9525.0134736836881"/>
    </cacheField>
    <cacheField name="Approche" numFmtId="164">
      <sharedItems/>
    </cacheField>
    <cacheField name="Mng à assister 2025" numFmtId="164">
      <sharedItems containsSemiMixedTypes="0" containsString="0" containsNumber="1" minValue="582.96027370000002" maxValue="9925.0134736836881"/>
    </cacheField>
    <cacheField name="Under2_6%" numFmtId="164">
      <sharedItems containsSemiMixedTypes="0" containsString="0" containsNumber="1" minValue="220.61940208028284" maxValue="3943.7139630531206"/>
    </cacheField>
    <cacheField name="FEFA_5%" numFmtId="164">
      <sharedItems containsSemiMixedTypes="0" containsString="0" containsNumber="1" minValue="183.84950173356904" maxValue="3286.4283025442674"/>
    </cacheField>
    <cacheField name="FEFA et U2" numFmtId="164">
      <sharedItems containsSemiMixedTypes="0" containsString="0" containsNumber="1" minValue="404.46890381385185" maxValue="7230.1422655973874"/>
    </cacheField>
    <cacheField name="Marge de 12%" numFmtId="164">
      <sharedItems containsSemiMixedTypes="0" containsString="0" containsNumber="1" minValue="69.955232843999994" maxValue="1191.0016168420425"/>
    </cacheField>
    <cacheField name="Plainte 3%" numFmtId="164">
      <sharedItems containsSemiMixedTypes="0" containsString="0" containsNumber="1" minValue="17.488808210999998" maxValue="297.75040421051062"/>
    </cacheField>
    <cacheField name="Mng pour traitement (avec 12% de marge d'erreur et 3% de plainte)" numFmtId="164">
      <sharedItems containsSemiMixedTypes="0" containsString="0" containsNumber="1" minValue="670.40431475499997" maxValue="11413.765494736241"/>
    </cacheField>
    <cacheField name="Nut à cibler (avec 11% de marge d'erreur)" numFmtId="164">
      <sharedItems containsSemiMixedTypes="0" containsString="0" containsNumber="1" minValue="448.96048323337556" maxValue="8025.4579148130997"/>
    </cacheField>
    <cacheField name="Gap avec marge d'erreur et plainte" numFmtId="164">
      <sharedItems containsSemiMixedTypes="0" containsString="0" containsNumber="1" minValue="87.444041054999957" maxValue="11013.765494736241"/>
    </cacheField>
    <cacheField name="Nb de jour pour 1 agent" numFmtId="164">
      <sharedItems containsSemiMixedTypes="0" containsString="0" containsNumber="1" minValue="2.9148013684999987" maxValue="367.12551649120803"/>
    </cacheField>
    <cacheField name="Nb agent pour 10 j d'enreg" numFmtId="0">
      <sharedItems containsSemiMixedTypes="0" containsString="0" containsNumber="1" containsInteger="1" minValue="1" maxValue="37"/>
    </cacheField>
    <cacheField name="scoremfi" numFmtId="0">
      <sharedItems containsString="0" containsBlank="1" containsNumber="1" minValue="2.09" maxValue="7.07"/>
    </cacheField>
    <cacheField name="mfi_classe" numFmtId="0">
      <sharedItems containsString="0" containsBlank="1" containsNumber="1" containsInteger="1" minValue="1" maxValue="4"/>
    </cacheField>
    <cacheField name="modalite_maj" numFmtId="0">
      <sharedItems/>
    </cacheField>
    <cacheField name="riz_1mois" numFmtId="0">
      <sharedItems containsString="0" containsBlank="1" containsNumber="1" minValue="17.488808210999998" maxValue="297.75040421051062"/>
    </cacheField>
    <cacheField name="Leg_1mois" numFmtId="0">
      <sharedItems containsString="0" containsBlank="1" containsNumber="1" minValue="2.6233212316499999" maxValue="44.662560631576596"/>
    </cacheField>
    <cacheField name="huile_1mois" numFmtId="0">
      <sharedItems containsString="0" containsBlank="1" containsNumber="1" minValue="1.5302707184625" maxValue="26.053160368419679"/>
    </cacheField>
    <cacheField name="HEB_1mois" numFmtId="0">
      <sharedItems containsString="0" containsBlank="1" containsNumber="1" minValue="0.87444041054999999" maxValue="14.887520210525532"/>
    </cacheField>
    <cacheField name="CSB_1mois" numFmtId="0">
      <sharedItems containsString="0" containsBlank="1" containsNumber="1" minValue="3.4977616422" maxValue="59.550080842102126"/>
    </cacheField>
    <cacheField name="LNS_1mois" numFmtId="0">
      <sharedItems containsString="0" containsBlank="1" containsNumber="1" minValue="1.7488808211" maxValue="29.775040421051063"/>
    </cacheField>
    <cacheField name="riz_3mois" numFmtId="166">
      <sharedItems containsString="0" containsBlank="1" containsNumber="1" minValue="0" maxValue="893.25121263153187"/>
    </cacheField>
    <cacheField name="Leg_3mois" numFmtId="166">
      <sharedItems containsString="0" containsBlank="1" containsNumber="1" minValue="0" maxValue="133.9876818947298"/>
    </cacheField>
    <cacheField name="huile_3mois" numFmtId="166">
      <sharedItems containsString="0" containsBlank="1" containsNumber="1" minValue="0" maxValue="78.159481105259033"/>
    </cacheField>
    <cacheField name="HEB_3mois" numFmtId="166">
      <sharedItems containsString="0" containsBlank="1" containsNumber="1" minValue="0" maxValue="44.662560631576596"/>
    </cacheField>
    <cacheField name="CSB_3mois" numFmtId="166">
      <sharedItems containsString="0" containsBlank="1" containsNumber="1" minValue="0" maxValue="178.65024252630639"/>
    </cacheField>
    <cacheField name="LNS_3mois" numFmtId="166">
      <sharedItems containsString="0" containsBlank="1" containsNumber="1" minValue="0" maxValue="89.325121263153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Vatovavy"/>
    <s v="MG23209470"/>
    <x v="0"/>
    <s v="Farafangana"/>
    <s v="Ambalavato Antevato"/>
    <n v="2"/>
    <n v="21"/>
    <n v="6930.15715"/>
    <s v=" "/>
    <s v="Urgence_Resilience"/>
    <s v="Ancienne commune"/>
    <s v="zone Norvège et FSRP"/>
    <s v="Urgence_Resilience"/>
    <s v="Ancienne commune"/>
    <x v="0"/>
    <s v="Zone FSRP"/>
    <s v="Farafangana_Ambalavato Antevato"/>
    <n v="6930.1571503684754"/>
    <n v="1386.031430073695"/>
    <m/>
    <m/>
    <n v="3.61"/>
    <n v="2"/>
    <s v="Inkind"/>
  </r>
  <r>
    <s v="Atsimo Atsinanana"/>
    <s v="MG25213030"/>
    <x v="0"/>
    <s v="Manakara Atsimo"/>
    <s v="Ambila"/>
    <n v="4"/>
    <n v="42"/>
    <n v="19371.956956999999"/>
    <s v=" "/>
    <s v="Non recommandé"/>
    <s v="Non recommandé"/>
    <s v="zone Norvège et FSRP"/>
    <s v="Non recommandé"/>
    <s v="Non recommandé"/>
    <x v="0"/>
    <s v="Zone FSRP"/>
    <s v="Manakara Atsimo_Ambila"/>
    <n v="19371.956956962429"/>
    <n v="3874.3913913924857"/>
    <m/>
    <m/>
    <n v="3.52"/>
    <n v="2"/>
    <s v="Inkind"/>
  </r>
  <r>
    <s v="Atsimo Atsinanana"/>
    <s v="MG25213330"/>
    <x v="0"/>
    <s v="Nosy-Varika"/>
    <s v="Ambodirian'i Sahafary"/>
    <n v="2"/>
    <n v="12"/>
    <n v="24898.235521999999"/>
    <s v="Urg_Sech"/>
    <s v="Urgence_Resilience"/>
    <s v="Ancienne commune"/>
    <s v="ok"/>
    <s v="Urgence_Resilience"/>
    <s v="Ancienne commune"/>
    <x v="1"/>
    <m/>
    <s v="Nosy-Varika_Ambodirian'i Sahafary"/>
    <n v="24898.235521791434"/>
    <n v="4979.6471043582869"/>
    <n v="3644.9096276999999"/>
    <m/>
    <n v="3.66"/>
    <n v="2"/>
    <s v="Inkind"/>
  </r>
  <r>
    <s v="Vatovavy"/>
    <s v="MG23209070a"/>
    <x v="1"/>
    <s v="Toliary-II"/>
    <s v="Ambohimahavelona"/>
    <n v="1"/>
    <n v="4"/>
    <n v="16776.065588000001"/>
    <s v=" "/>
    <s v="Urgence"/>
    <s v="Ancienne commune"/>
    <s v="AA"/>
    <s v="Urgence"/>
    <s v="Ancienne commune"/>
    <x v="0"/>
    <m/>
    <s v="Toliary-II_Ambohimahavelona"/>
    <n v="16776.065587723533"/>
    <n v="3355.2131175447066"/>
    <m/>
    <m/>
    <n v="4.51"/>
    <n v="3"/>
    <s v="CBT + Mitigations"/>
  </r>
  <r>
    <s v="Androy"/>
    <s v="MG52516033"/>
    <x v="0"/>
    <s v="Mananjary"/>
    <s v="Ambohitsara Est"/>
    <n v="2"/>
    <n v="16"/>
    <n v="7650.2020320000001"/>
    <s v="Urg_Cycl"/>
    <s v="Urgence_Resilience"/>
    <s v="Ancienne commune"/>
    <s v=" "/>
    <s v="Urgence_Resilience"/>
    <s v="Ancienne commune"/>
    <x v="1"/>
    <m/>
    <s v="Mananjary_Ambohitsara Est"/>
    <n v="7650.2020323446632"/>
    <n v="1530.0404064689326"/>
    <n v="1145.039597"/>
    <m/>
    <n v="4.32"/>
    <n v="3"/>
    <s v="CBT + Mitigations"/>
  </r>
  <r>
    <s v="Fitovinany"/>
    <s v="MG23210311"/>
    <x v="1"/>
    <s v="Toliary-II"/>
    <s v="Ambolofoty"/>
    <n v="2"/>
    <n v="9"/>
    <n v="9166.1850310000009"/>
    <s v=" "/>
    <s v="Urgence_Resilience"/>
    <s v="Ancienne commune"/>
    <s v="FFA"/>
    <s v="Urgence_Resilience"/>
    <s v="Ancienne commune"/>
    <x v="0"/>
    <m/>
    <s v="Toliary-II_Ambolofoty"/>
    <n v="9166.1850305985809"/>
    <n v="1833.2370061197162"/>
    <m/>
    <m/>
    <n v="4.88"/>
    <n v="3"/>
    <s v="CBT"/>
  </r>
  <r>
    <s v="Atsimo Atsinanana"/>
    <s v="MG25214270"/>
    <x v="2"/>
    <s v="Ambovombe-Androy"/>
    <s v="Ambovombe"/>
    <n v="2"/>
    <n v="7"/>
    <n v="0"/>
    <s v=" "/>
    <s v="Urgence_Resilience"/>
    <s v="Ancienne commune"/>
    <s v="ok"/>
    <s v="Urgence_Resilience"/>
    <s v="Ancienne commune"/>
    <x v="0"/>
    <m/>
    <s v="Ambovombe-Androy_Ambovombe"/>
    <n v="87710.334984734116"/>
    <n v="17542.066996946822"/>
    <m/>
    <m/>
    <n v="4.46"/>
    <n v="3"/>
    <s v="CBT + Mitigations"/>
  </r>
  <r>
    <s v="Fitovinany"/>
    <s v="MG23210151"/>
    <x v="0"/>
    <s v="Manakara Atsimo"/>
    <s v="Ampasimanjeva"/>
    <n v="4"/>
    <n v="44"/>
    <n v="13243.640232"/>
    <s v="Urg_Cycl"/>
    <s v="Non recommandé"/>
    <s v="Non recommandé"/>
    <s v="Zone FSRP où il y a une OP"/>
    <s v="Non recommandé"/>
    <s v="Non recommandé"/>
    <x v="0"/>
    <s v="Zone FSRP"/>
    <s v="Manakara Atsimo_Ampasimanjeva"/>
    <n v="13243.640232510128"/>
    <n v="2648.7280465020258"/>
    <n v="2234.1104310999999"/>
    <m/>
    <n v="3.55"/>
    <n v="2"/>
    <s v="Inkind"/>
  </r>
  <r>
    <s v="Fitovinany"/>
    <s v="MG23210152"/>
    <x v="0"/>
    <s v="Farafangana"/>
    <s v="Amporoforo"/>
    <n v="2"/>
    <n v="22"/>
    <n v="15238.921477"/>
    <s v=" "/>
    <s v="Urgence_Resilience"/>
    <s v="Ancienne commune"/>
    <s v="zone Norvège"/>
    <s v="Urgence_Resilience"/>
    <s v="Ancienne commune"/>
    <x v="0"/>
    <m/>
    <s v="Farafangana_Amporoforo"/>
    <n v="15238.921476752254"/>
    <n v="3047.7842953504505"/>
    <m/>
    <m/>
    <n v="3.61"/>
    <n v="2"/>
    <s v="Inkind"/>
  </r>
  <r>
    <s v="Atsimo Atsinanana"/>
    <s v="MG25217012"/>
    <x v="2"/>
    <s v="Ambovombe-Androy"/>
    <s v="Analamary"/>
    <n v="2"/>
    <n v="1"/>
    <n v="0"/>
    <s v=" "/>
    <s v="Urgence_Resilience"/>
    <s v="Ancienne commune"/>
    <s v="ok"/>
    <s v="Urgence_Resilience"/>
    <s v="Ancienne commune"/>
    <x v="0"/>
    <m/>
    <s v="Ambovombe-Androy_Analamary"/>
    <n v="7092.3248979504242"/>
    <n v="1418.4649795900848"/>
    <m/>
    <m/>
    <n v="2.86"/>
    <n v="1"/>
    <s v="Inkind"/>
  </r>
  <r>
    <s v="Atsimo Atsinanana"/>
    <s v="MG25213410"/>
    <x v="0"/>
    <s v="Mananjary"/>
    <s v="Andranambolava"/>
    <n v="1"/>
    <n v="8"/>
    <n v="6170.2914970000002"/>
    <s v=" "/>
    <s v="Urgence"/>
    <s v="Ancienne commune"/>
    <s v="ok"/>
    <s v="Urgence"/>
    <s v="Ancienne commune"/>
    <x v="0"/>
    <m/>
    <s v="Mananjary_Andranambolava"/>
    <n v="6170.2914965375903"/>
    <n v="1234.0582993075182"/>
    <m/>
    <m/>
    <n v="1.82"/>
    <n v="1"/>
    <s v="Inkind"/>
  </r>
  <r>
    <s v="Atsimo Atsinanana"/>
    <s v="MG25214230"/>
    <x v="3"/>
    <s v="Ampanihy Ouest"/>
    <s v="Androipano"/>
    <n v="1"/>
    <n v="3"/>
    <n v="0"/>
    <s v="Urg_Sech"/>
    <s v="Urgence"/>
    <s v="Ancienne commune"/>
    <s v="ok"/>
    <s v="Urgence"/>
    <s v="Ancienne commune"/>
    <x v="1"/>
    <m/>
    <s v="Ampanihy Ouest_Androipano"/>
    <n v="20666.18631689177"/>
    <n v="4133.2372633783543"/>
    <n v="2311"/>
    <m/>
    <n v="3.32"/>
    <n v="1"/>
    <s v="Inkind"/>
  </r>
  <r>
    <s v="Atsimo Atsinanana"/>
    <s v="MG25214112"/>
    <x v="3"/>
    <s v="Ampanihy Ouest"/>
    <s v="Androka"/>
    <n v="1"/>
    <n v="16"/>
    <n v="49359.829534999997"/>
    <s v="Urg_Sech"/>
    <s v="Urgence"/>
    <s v="Ancienne commune"/>
    <s v="ok"/>
    <s v="Urgence"/>
    <s v="Ancienne commune"/>
    <x v="1"/>
    <m/>
    <s v="Ampanihy Ouest_Androka"/>
    <n v="49359.82953523146"/>
    <n v="9871.9659070462912"/>
    <n v="7000"/>
    <m/>
    <n v="3.98"/>
    <n v="2"/>
    <s v="Inkind"/>
  </r>
  <r>
    <s v="Vatovavy"/>
    <s v="MG23209252"/>
    <x v="2"/>
    <s v="Bekily"/>
    <s v="Anja Nord"/>
    <n v="3"/>
    <n v="17"/>
    <n v="4440.218887"/>
    <s v="Urg_Sech"/>
    <s v="Resilience"/>
    <s v="Ancienne commune"/>
    <s v="ok"/>
    <s v="Resilience"/>
    <s v="Ancienne commune"/>
    <x v="0"/>
    <m/>
    <s v="Bekily_Anja Nord"/>
    <n v="4440.2188865347571"/>
    <n v="888.04377730695137"/>
    <n v="754"/>
    <m/>
    <n v="3.68"/>
    <n v="2"/>
    <s v="Inkind"/>
  </r>
  <r>
    <s v="Atsimo Atsinanana"/>
    <s v="MG25213250"/>
    <x v="2"/>
    <s v="Tsihombe"/>
    <s v="Anjampaly"/>
    <n v="1"/>
    <n v="3"/>
    <n v="17600.102239"/>
    <s v="AA"/>
    <s v="Urgence"/>
    <s v="Ancienne commune"/>
    <s v="ok"/>
    <s v="Urgence"/>
    <s v="Ancienne commune"/>
    <x v="0"/>
    <m/>
    <s v="Tsihombe_Anjampaly"/>
    <n v="17600.102239384898"/>
    <n v="3520.0204478769797"/>
    <n v="400"/>
    <m/>
    <n v="4.55"/>
    <n v="3"/>
    <s v="CBT"/>
  </r>
  <r>
    <s v="Vatovavy"/>
    <s v="MG23206071"/>
    <x v="2"/>
    <s v="Bekily"/>
    <s v="Ankaranabo Nord"/>
    <n v="2"/>
    <n v="8"/>
    <n v="6334.2068660000004"/>
    <s v=" "/>
    <s v="Urgence_Resilience"/>
    <s v="Ancienne commune"/>
    <s v="ok"/>
    <s v="Urgence_Resilience"/>
    <s v="Ancienne commune"/>
    <x v="0"/>
    <m/>
    <s v="Bekily_Ankaranabo Nord"/>
    <n v="6334.2068661016874"/>
    <n v="1266.8413732203376"/>
    <m/>
    <m/>
    <n v="3.45"/>
    <n v="1"/>
    <s v="Inkind"/>
  </r>
  <r>
    <s v="Androy"/>
    <s v="MG52516011"/>
    <x v="0"/>
    <s v="Vohipeno"/>
    <s v="Ankarimbary"/>
    <n v="2"/>
    <n v="11"/>
    <n v="6891.0582969999996"/>
    <s v="AA"/>
    <s v="Urgence_Resilience"/>
    <s v="Ancienne commune"/>
    <s v=" "/>
    <s v="Urgence_Résilience"/>
    <s v="Ancienne commune"/>
    <x v="0"/>
    <m/>
    <s v="Vohipeno_Ankarimbary"/>
    <n v="6891.0582972021375"/>
    <n v="1378.2116594404274"/>
    <n v="440"/>
    <m/>
    <n v="6.46"/>
    <n v="4"/>
    <s v="CBT"/>
  </r>
  <r>
    <s v="Atsimo Atsinanana"/>
    <s v="MG25213370"/>
    <x v="1"/>
    <s v="Betioky Atsimo"/>
    <s v="Ankazomanga Ouest"/>
    <n v="2"/>
    <n v="20"/>
    <n v="7435.6769290000002"/>
    <s v="Urg_Sech"/>
    <s v="Urgence_Resilience"/>
    <s v="Ancienne commune"/>
    <s v="ok"/>
    <s v="Urgence_Resilience"/>
    <s v="Ancienne commune"/>
    <x v="1"/>
    <m/>
    <s v="Betioky Atsimo_Ankazomanga Ouest"/>
    <n v="7435.6769288184405"/>
    <n v="1487.1353857636882"/>
    <n v="725.33333332999996"/>
    <m/>
    <n v="4.1500000000000004"/>
    <n v="3"/>
    <s v="CBT + Mitigations"/>
  </r>
  <r>
    <s v="Atsimo Atsinanana"/>
    <s v="MG25213190"/>
    <x v="1"/>
    <s v="Betioky Atsimo"/>
    <s v="Ankazombalala"/>
    <n v="2"/>
    <n v="16"/>
    <n v="25604.090634"/>
    <s v="Urg_Sech"/>
    <s v="Urgence_Resilience"/>
    <s v="Ancienne commune"/>
    <s v="ok"/>
    <s v="Urgence_Resilience"/>
    <s v="Ancienne commune"/>
    <x v="1"/>
    <m/>
    <s v="Betioky Atsimo_Ankazombalala"/>
    <n v="25604.090633962413"/>
    <n v="5120.8181267924829"/>
    <n v="2400"/>
    <m/>
    <n v="4.47"/>
    <n v="3"/>
    <s v="CBT + Mitigations"/>
  </r>
  <r>
    <s v="Atsimo Atsinanana"/>
    <s v="MG25213350"/>
    <x v="0"/>
    <s v="Vohipeno"/>
    <s v="Anoloka"/>
    <n v="1"/>
    <n v="4"/>
    <n v="3885.664616"/>
    <s v="Urg_Cycl"/>
    <s v="Urgence"/>
    <s v="Ancienne commune"/>
    <s v="ok"/>
    <s v="Urgence"/>
    <s v="Ancienne commune"/>
    <x v="1"/>
    <m/>
    <s v="Vohipeno_Anoloka"/>
    <n v="3885.6646158953922"/>
    <n v="777.13292317907849"/>
    <n v="582.96027370000002"/>
    <m/>
    <n v="3.34"/>
    <n v="1"/>
    <s v="Inkind"/>
  </r>
  <r>
    <s v="Vatovavy"/>
    <s v="MG23209170"/>
    <x v="1"/>
    <s v="Toliary-II"/>
    <s v="Antanimena Onilahy"/>
    <n v="1"/>
    <n v="1"/>
    <n v="4608.7106960000001"/>
    <s v=" "/>
    <s v="Urgence"/>
    <s v="Ancienne commune"/>
    <s v="FFA"/>
    <s v="Urgence"/>
    <s v="Ancienne commune"/>
    <x v="0"/>
    <m/>
    <s v="Toliary-II_Antanimena Onilahy"/>
    <n v="4608.7106959326011"/>
    <n v="921.74213918652026"/>
    <m/>
    <m/>
    <n v="3.61"/>
    <n v="2"/>
    <s v="Inkind"/>
  </r>
  <r>
    <s v="Anosy"/>
    <s v="MG53517130"/>
    <x v="2"/>
    <s v="Tsihombe"/>
    <s v="Antaritarika"/>
    <n v="2"/>
    <n v="4"/>
    <n v="20103.198843999999"/>
    <s v="AA"/>
    <s v="Urgence_Resilience"/>
    <s v="Ancienne commune"/>
    <s v="ok"/>
    <s v="Urgence_Resilience"/>
    <s v="Ancienne commune"/>
    <x v="0"/>
    <m/>
    <s v="Tsihombe_Antaritarika"/>
    <n v="20103.198844540642"/>
    <n v="4020.6397689081286"/>
    <n v="400"/>
    <m/>
    <n v="2.96"/>
    <n v="1"/>
    <s v="CBT + Mitigations"/>
  </r>
  <r>
    <s v="Atsimo Atsinanana"/>
    <s v="MG25214070"/>
    <x v="1"/>
    <s v="Betioky Atsimo"/>
    <s v="Antohabato"/>
    <n v="1"/>
    <n v="3"/>
    <n v="17372.969195999998"/>
    <s v="AA"/>
    <s v="Urgence"/>
    <s v="Ancienne commune"/>
    <s v="ok"/>
    <s v="Urgence"/>
    <s v="Ancienne commune"/>
    <x v="0"/>
    <m/>
    <s v="Betioky Atsimo_Antohabato"/>
    <n v="17372.969196479673"/>
    <n v="3474.5938392959347"/>
    <n v="955"/>
    <m/>
    <n v="2.42"/>
    <n v="1"/>
    <s v="CBT + Mitigations"/>
  </r>
  <r>
    <s v="Atsimo Atsinanana"/>
    <s v="MG25213472"/>
    <x v="0"/>
    <s v="Farafangana"/>
    <s v="Antseranambe"/>
    <n v="2"/>
    <n v="12"/>
    <n v="6622.9466380000003"/>
    <s v=" "/>
    <s v="Urgence_Resilience"/>
    <s v="Ancienne commune"/>
    <s v="zone où il y a des OP pour FSRP"/>
    <s v="Urgence_Resilience"/>
    <s v="Ancienne commune"/>
    <x v="0"/>
    <s v="Zone FSRP"/>
    <s v="Farafangana_Antseranambe"/>
    <n v="6622.9466376074051"/>
    <n v="1324.589327521481"/>
    <m/>
    <m/>
    <n v="4.25"/>
    <n v="3"/>
    <s v="Inkind"/>
  </r>
  <r>
    <s v="Vatovavy"/>
    <s v="MG23209031"/>
    <x v="1"/>
    <s v="Betioky Atsimo"/>
    <s v="Beantake"/>
    <n v="2"/>
    <n v="22"/>
    <n v="13863.27845"/>
    <s v=" "/>
    <s v="Urgence_Resilience"/>
    <s v="Ancienne commune"/>
    <s v="ok"/>
    <s v="Urgence_Resilience"/>
    <s v="Ancienne commune"/>
    <x v="0"/>
    <m/>
    <s v="Betioky Atsimo_Beantake"/>
    <n v="13863.278449716105"/>
    <n v="2772.6556899432208"/>
    <m/>
    <m/>
    <n v="3.74"/>
    <n v="2"/>
    <s v="Inkind"/>
  </r>
  <r>
    <s v="Atsimo Andrefana"/>
    <s v="MG51507170"/>
    <x v="2"/>
    <s v="Amboasary-Atsimo"/>
    <s v="Behara"/>
    <n v="3"/>
    <n v="13"/>
    <n v="0"/>
    <s v="AA"/>
    <s v="Resilience"/>
    <s v="Ancienne commune"/>
    <s v="ok"/>
    <s v="Resilience"/>
    <s v="Ancienne commune"/>
    <x v="0"/>
    <m/>
    <s v="Amboasary-Atsimo_Behara"/>
    <n v="32896.888660595279"/>
    <n v="6579.3777321190555"/>
    <n v="889"/>
    <m/>
    <n v="3.78"/>
    <n v="2"/>
    <s v="CBT + Mitigations"/>
  </r>
  <r>
    <s v="Fitovinany"/>
    <s v="MG23212212"/>
    <x v="2"/>
    <s v="Bekily"/>
    <s v="Bekitro"/>
    <n v="2"/>
    <n v="7"/>
    <n v="38441.812615000003"/>
    <s v="Res_SO3"/>
    <s v="Urgence_Resilience"/>
    <s v="Ancienne commune"/>
    <s v="ok"/>
    <s v="Urgence_Resilience"/>
    <s v="Ancienne commune"/>
    <x v="0"/>
    <m/>
    <s v="Bekily_Bekitro"/>
    <n v="38441.812614950606"/>
    <n v="7688.3625229901209"/>
    <n v="2208"/>
    <m/>
    <n v="3.84"/>
    <n v="2"/>
    <s v="Inkind"/>
  </r>
  <r>
    <s v="Atsimo Atsinanana"/>
    <s v="MG25213150"/>
    <x v="1"/>
    <s v="Betioky Atsimo"/>
    <s v="Belamoty"/>
    <n v="2"/>
    <n v="11"/>
    <n v="6527.5124249999999"/>
    <s v=" "/>
    <s v="Urgence_Resilience"/>
    <s v="Ancienne commune"/>
    <s v="ok"/>
    <s v="Urgence_Resilience"/>
    <s v="Ancienne commune"/>
    <x v="0"/>
    <m/>
    <s v="Betioky Atsimo_Belamoty"/>
    <n v="6527.5124253675749"/>
    <n v="1305.5024850735149"/>
    <m/>
    <m/>
    <n v="3.5"/>
    <n v="1"/>
    <s v="Inkind"/>
  </r>
  <r>
    <s v="Atsimo Atsinanana"/>
    <s v="MG25213290"/>
    <x v="2"/>
    <s v="Beloha"/>
    <s v="Beloha"/>
    <n v="2"/>
    <n v="5"/>
    <n v="44195.667056999999"/>
    <s v=" "/>
    <s v="Urgence_Resilience"/>
    <s v="Ancienne commune"/>
    <s v="ok"/>
    <s v="Urgence_Resilience"/>
    <s v="Ancienne commune"/>
    <x v="0"/>
    <m/>
    <s v="Beloha_Beloha"/>
    <n v="44195.667056671533"/>
    <n v="8839.1334113343073"/>
    <m/>
    <m/>
    <n v="3.99"/>
    <n v="2"/>
    <s v="Inkind"/>
  </r>
  <r>
    <s v="Atsimo Andrefana"/>
    <s v="MG51507250"/>
    <x v="2"/>
    <s v="Tsihombe"/>
    <s v="Betanty (Faux Cap)"/>
    <n v="2"/>
    <n v="6"/>
    <n v="29597.973643000001"/>
    <s v="AA"/>
    <s v="Urgence_Resilience"/>
    <s v="Ancienne commune"/>
    <s v="La commune de Faux Cap fait face à des problèmes d’accès à l’eau et a été particulièrement touchée par les deux cyclones JUDE et HONDE. De plus, les productions agricoles attendues cette année n’ont pas été atteintes. Nous souhaitons la"/>
    <s v="Urgence_Resilience"/>
    <s v="Ancienne commune"/>
    <x v="0"/>
    <m/>
    <s v="Tsihombe_Betanty (Faux Cap)"/>
    <n v="29597.973643418612"/>
    <n v="5919.5947286837227"/>
    <n v="400"/>
    <m/>
    <n v="4.01"/>
    <n v="3"/>
    <s v="Inkind"/>
  </r>
  <r>
    <s v="Atsimo Atsinanana"/>
    <s v="MG25222031a"/>
    <x v="2"/>
    <s v="Amboasary-Atsimo"/>
    <s v="Ebelo"/>
    <n v="2"/>
    <n v="8"/>
    <n v="13316.715217999999"/>
    <s v="Urg_Sech"/>
    <s v="Urgence_Resilience"/>
    <s v="Ancienne commune"/>
    <s v="ok"/>
    <s v="Urgence_Resilience"/>
    <s v="Ancienne commune"/>
    <x v="1"/>
    <m/>
    <s v="Amboasary-Atsimo_Ebelo"/>
    <n v="13316.715217575194"/>
    <n v="2663.343043515039"/>
    <n v="2540"/>
    <m/>
    <n v="4.2"/>
    <n v="3"/>
    <s v="Inkind"/>
  </r>
  <r>
    <s v="Atsimo Atsinanana"/>
    <s v="MG25214092"/>
    <x v="3"/>
    <s v="Ampanihy Ouest"/>
    <s v="Ejeda"/>
    <n v="1"/>
    <n v="2"/>
    <n v="0"/>
    <s v="AA"/>
    <s v="Urgence"/>
    <s v="Ancienne commune"/>
    <s v="ok"/>
    <s v="Urgence"/>
    <s v="Ancienne commune"/>
    <x v="1"/>
    <m/>
    <s v="Ampanihy Ouest_Ejeda"/>
    <n v="65728.566050885347"/>
    <n v="13145.713210177069"/>
    <n v="400"/>
    <m/>
    <n v="3.32"/>
    <n v="1"/>
    <s v="Inkind"/>
  </r>
  <r>
    <s v="Atsimo Atsinanana"/>
    <s v="MG25213170"/>
    <x v="0"/>
    <s v="Farafangana"/>
    <s v="Evato"/>
    <n v="2"/>
    <n v="11"/>
    <n v="19587.230275999998"/>
    <s v=" "/>
    <s v="Urgence_Resilience"/>
    <s v="Ancienne commune"/>
    <s v="zone où il y a des OP pour FSRP"/>
    <s v="Urgence_Resilience"/>
    <s v="Ancienne commune"/>
    <x v="0"/>
    <s v="Zone FSRP"/>
    <s v="Farafangana_Evato"/>
    <n v="19587.230276124566"/>
    <n v="3917.4460552249134"/>
    <m/>
    <m/>
    <n v="4.3"/>
    <n v="3"/>
    <s v="CBT + Mitigations"/>
  </r>
  <r>
    <s v="Androy"/>
    <s v="MG52518010"/>
    <x v="0"/>
    <s v="Farafangana"/>
    <s v="Fenoarivo"/>
    <n v="2"/>
    <n v="19"/>
    <n v="21189.845118000001"/>
    <s v=" "/>
    <s v="Urgence_Resilience"/>
    <s v="Ancienne commune"/>
    <s v="zone FSRP"/>
    <s v="Urgence_Resilience"/>
    <s v="Ancienne commune"/>
    <x v="0"/>
    <s v="Zone FSRP"/>
    <s v="Farafangana_Fenoarivo"/>
    <n v="21189.845117694818"/>
    <n v="4237.9690235389635"/>
    <m/>
    <m/>
    <n v="6.7"/>
    <n v="4"/>
    <s v="CBT"/>
  </r>
  <r>
    <s v="Atsimo Atsinanana"/>
    <s v="MG25213450"/>
    <x v="0"/>
    <s v="Nosy-Varika"/>
    <s v="Fiadanana"/>
    <n v="2"/>
    <n v="8"/>
    <n v="18858.665457999999"/>
    <s v="Urg_Sech"/>
    <s v="Urgence_Resilience"/>
    <s v="Ancienne commune"/>
    <s v="ok"/>
    <s v="Urgence_Resilience"/>
    <s v="Ancienne commune"/>
    <x v="1"/>
    <m/>
    <s v="Nosy-Varika_Fiadanana"/>
    <n v="18858.665458319458"/>
    <n v="3771.7330916638916"/>
    <n v="2560.6039099999998"/>
    <m/>
    <n v="3.54"/>
    <n v="2"/>
    <s v="Inkind"/>
  </r>
  <r>
    <s v="Atsimo Atsinanana"/>
    <s v="MG25222052"/>
    <x v="0"/>
    <s v="Vangaindrano"/>
    <s v="Fonilaza"/>
    <n v="3"/>
    <n v="22"/>
    <n v="14929.150876"/>
    <s v="Urg_Cycl"/>
    <s v="Resilience"/>
    <s v="Ancienne commune"/>
    <s v="zone FSRP"/>
    <s v="Resilience"/>
    <s v="Ancienne commune"/>
    <x v="0"/>
    <s v="Zone FSRP"/>
    <s v="Vangaindrano_Fonilaza"/>
    <n v="14929.150876384841"/>
    <n v="2985.8301752769685"/>
    <n v="2400"/>
    <m/>
    <n v="2.59"/>
    <n v="1"/>
    <s v="Inkind"/>
  </r>
  <r>
    <s v="Atsimo Atsinanana"/>
    <s v="MG25214131"/>
    <x v="3"/>
    <s v="Ampanihy Ouest"/>
    <s v="Fotadrevo"/>
    <n v="1"/>
    <n v="6"/>
    <n v="0"/>
    <s v="AA"/>
    <s v="Urgence"/>
    <s v="Ancienne commune"/>
    <s v="ok"/>
    <s v="Urgence"/>
    <s v="Ancienne commune"/>
    <x v="1"/>
    <m/>
    <s v="Ampanihy Ouest_Fotadrevo"/>
    <n v="65535.148787103855"/>
    <n v="13107.029757420771"/>
    <n v="500"/>
    <m/>
    <n v="3.41"/>
    <n v="1"/>
    <s v="Inkind"/>
  </r>
  <r>
    <s v="Atsimo Andrefana"/>
    <s v="MG51507270"/>
    <x v="2"/>
    <s v="Amboasary-Atsimo"/>
    <s v="Ifotaka"/>
    <n v="2"/>
    <n v="16"/>
    <n v="0"/>
    <s v="AA"/>
    <s v="Urgence_Resilience"/>
    <s v="Ancienne commune"/>
    <s v="ok"/>
    <s v="Urgence_Resilience"/>
    <s v="Ancienne commune"/>
    <x v="1"/>
    <m/>
    <s v="Amboasary-Atsimo_Ifotaka"/>
    <n v="28158.096060482811"/>
    <n v="5631.6192120965625"/>
    <n v="1402"/>
    <m/>
    <n v="3.73"/>
    <n v="2"/>
    <s v="Inkind"/>
  </r>
  <r>
    <s v="Androy"/>
    <s v="MG52518190"/>
    <x v="0"/>
    <s v="Farafangana"/>
    <s v="Ihorombe"/>
    <n v="2"/>
    <n v="20"/>
    <n v="20065.966659000002"/>
    <s v=" "/>
    <s v="Urgence_Resilience"/>
    <s v="Ancienne commune"/>
    <s v="zone FSRP"/>
    <s v="Urgence_Resilience"/>
    <s v="Ancienne commune"/>
    <x v="0"/>
    <s v="Zone FSRP"/>
    <s v="Farafangana_Ihorombe"/>
    <n v="20065.96665851057"/>
    <n v="4013.1933317021139"/>
    <m/>
    <m/>
    <n v="4.3600000000000003"/>
    <n v="3"/>
    <s v="CBT + Mitigations"/>
  </r>
  <r>
    <s v="Fitovinany"/>
    <s v="MG23212211"/>
    <x v="2"/>
    <s v="Antanimora Sud"/>
    <s v="Imanombo"/>
    <n v="2"/>
    <n v="6"/>
    <n v="25892.344988000001"/>
    <s v=" "/>
    <s v="Urgence_Resilience"/>
    <s v="Ancienne commune"/>
    <s v="ok"/>
    <s v="Urgence_Resilience"/>
    <s v="Ancienne commune"/>
    <x v="0"/>
    <m/>
    <s v="Antanimora Sud_Imanombo"/>
    <n v="25892.344987744185"/>
    <n v="5178.4689975488373"/>
    <m/>
    <m/>
    <n v="3.88"/>
    <n v="2"/>
    <s v="Inkind"/>
  </r>
  <r>
    <s v="Atsimo Andrefana"/>
    <s v="MG51506090"/>
    <x v="3"/>
    <s v="Ampanihy Ouest"/>
    <s v="Itampolo"/>
    <n v="2"/>
    <n v="1"/>
    <n v="0"/>
    <s v="AA"/>
    <s v="Urgence_Resilience"/>
    <s v="Ancienne commune"/>
    <s v="ok"/>
    <s v="Urgence_Resilience"/>
    <s v="Ancienne commune"/>
    <x v="0"/>
    <m/>
    <s v="Ampanihy Ouest_Itampolo"/>
    <n v="32445.425772088045"/>
    <n v="6489.0851544176094"/>
    <n v="2500"/>
    <m/>
    <n v="2.94"/>
    <n v="1"/>
    <s v="Inkind"/>
  </r>
  <r>
    <s v="Atsimo Atsinanana"/>
    <s v="MG25213270"/>
    <x v="0"/>
    <s v="Vohipeno"/>
    <s v="Ivato"/>
    <n v="1"/>
    <n v="3"/>
    <n v="3676.9900349999998"/>
    <s v="AA"/>
    <s v="Urgence"/>
    <s v="Ancienne commune"/>
    <s v="ok"/>
    <s v="Urgence"/>
    <s v="Ancienne commune"/>
    <x v="1"/>
    <m/>
    <s v="Vohipeno_Ivato"/>
    <n v="3676.9900346713807"/>
    <n v="735.39800693427617"/>
    <n v="1045"/>
    <m/>
    <n v="2.56"/>
    <n v="1"/>
    <s v="CBT + Mitigations"/>
  </r>
  <r>
    <s v="Atsimo Atsinanana"/>
    <s v="MG25213570"/>
    <x v="1"/>
    <s v="Betioky Atsimo"/>
    <s v="Lazarivo"/>
    <n v="2"/>
    <n v="10"/>
    <n v="23286.926196"/>
    <s v="Urg_Sech"/>
    <s v="Urgence_Resilience"/>
    <s v="Ancienne commune"/>
    <s v="ok"/>
    <s v="Urgence_Resilience"/>
    <s v="Ancienne commune"/>
    <x v="1"/>
    <m/>
    <s v="Betioky Atsimo_Lazarivo"/>
    <n v="23286.926195679458"/>
    <n v="4657.3852391358914"/>
    <n v="2180"/>
    <m/>
    <n v="2.2400000000000002"/>
    <n v="1"/>
    <s v="CBT + Mitigations"/>
  </r>
  <r>
    <s v="Atsimo Andrefana"/>
    <s v="MG51520192"/>
    <x v="0"/>
    <s v="Vangaindrano"/>
    <s v="Lopary"/>
    <n v="2"/>
    <n v="13"/>
    <n v="24359.233574000002"/>
    <s v=" "/>
    <s v="Urgence_Resilience"/>
    <s v="Ancienne commune"/>
    <s v=" "/>
    <s v="Urgence_Résilience"/>
    <s v="Ancienne commune"/>
    <x v="0"/>
    <m/>
    <s v="Vangaindrano_Lopary"/>
    <n v="24359.233574346526"/>
    <n v="4871.8467148693053"/>
    <m/>
    <m/>
    <n v="4.34"/>
    <n v="3"/>
    <s v="Inkind"/>
  </r>
  <r>
    <s v="Atsimo Andrefana"/>
    <s v="MG51506313"/>
    <x v="2"/>
    <s v="Amboasary-Atsimo"/>
    <s v="Mahabo"/>
    <n v="2"/>
    <n v="1"/>
    <n v="0"/>
    <s v="Urg_Sech"/>
    <s v="Urgence_Resilience"/>
    <s v="Ancienne commune"/>
    <s v="Nous ramenons en priorite  1 car c'est une commune vulnerable aussi bien conjoncturellement que structurelle car  deja les speculations sont deja limites en tubercules et mais en bonne periode et elle est toujours exposee a la secheresse d'une facon recu"/>
    <s v="Urgence_Résilience"/>
    <s v="Ancienne commune"/>
    <x v="0"/>
    <m/>
    <s v="Amboasary-Atsimo_Mahabo"/>
    <n v="5662.8693642250737"/>
    <n v="1132.5738728450146"/>
    <n v="1002"/>
    <m/>
    <n v="4.58"/>
    <n v="3"/>
    <s v="CBT"/>
  </r>
  <r>
    <s v="Androy"/>
    <s v="MG52518031a"/>
    <x v="0"/>
    <s v="Farafangana"/>
    <s v="Mahafasa Centre"/>
    <n v="2"/>
    <n v="18"/>
    <n v="16279.597089000001"/>
    <s v=" "/>
    <s v="Urgence_Resilience"/>
    <s v="Ancienne commune"/>
    <s v="zone FSRP"/>
    <s v="Urgence_Resilience"/>
    <s v="Ancienne commune"/>
    <x v="0"/>
    <s v="Zone FSRP"/>
    <s v="Farafangana_Mahafasa Centre"/>
    <n v="16279.597088730379"/>
    <n v="3255.9194177460759"/>
    <m/>
    <m/>
    <n v="3.92"/>
    <n v="2"/>
    <s v="Inkind"/>
  </r>
  <r>
    <s v="Androy"/>
    <s v="MG52516151"/>
    <x v="0"/>
    <s v="Mananjary"/>
    <s v="Mahatsara Iefaka"/>
    <n v="2"/>
    <n v="17"/>
    <n v="4370.1734139999999"/>
    <s v="Urg_Cycl"/>
    <s v="Urgence_Resilience"/>
    <s v="Ancienne commune"/>
    <s v=" "/>
    <s v="Urgence_Resilience"/>
    <s v="Ancienne commune"/>
    <x v="1"/>
    <m/>
    <s v="Mananjary_Mahatsara Iefaka"/>
    <n v="4370.1734136798796"/>
    <n v="874.03468273597593"/>
    <n v="719.96968318999996"/>
    <m/>
    <n v="7.07"/>
    <n v="4"/>
    <s v="CBT"/>
  </r>
  <r>
    <s v="Atsimo Atsinanana"/>
    <s v="MG25213510"/>
    <x v="0"/>
    <s v="Mananjary"/>
    <s v="Mahatsara Sud"/>
    <n v="3"/>
    <n v="20"/>
    <n v="7090.138645"/>
    <s v="Urg_Cycl"/>
    <s v="Resilience"/>
    <s v="Ancienne commune"/>
    <s v="zone Norvège et FSRP"/>
    <s v="Resilience"/>
    <s v="Ancienne commune"/>
    <x v="0"/>
    <s v="Zone FSRP"/>
    <s v="Mananjary_Mahatsara Sud"/>
    <n v="7090.1386448066542"/>
    <n v="1418.0277289613309"/>
    <n v="1230.1078167999999"/>
    <m/>
    <n v="4.4000000000000004"/>
    <n v="3"/>
    <s v="CBT + Mitigations"/>
  </r>
  <r>
    <s v="Atsimo Andrefana"/>
    <s v="MG51506270"/>
    <x v="0"/>
    <s v="Vondrozo"/>
    <s v="Mahatsinjo"/>
    <n v="1"/>
    <n v="1"/>
    <n v="10081.624994"/>
    <s v="Urg_Sech"/>
    <s v="Urgence"/>
    <s v="Ancienne commune"/>
    <s v="ok"/>
    <s v="Urgence"/>
    <s v="Ancienne commune"/>
    <x v="1"/>
    <m/>
    <s v="Vondrozo_Mahatsinjo"/>
    <n v="10081.624993775788"/>
    <n v="2016.3249987551576"/>
    <n v="1537.2898866999999"/>
    <m/>
    <n v="3.12"/>
    <n v="1"/>
    <s v="CBT + Mitigations"/>
  </r>
  <r>
    <s v="Vatovavy"/>
    <s v="MG23209370"/>
    <x v="0"/>
    <s v="Farafangana"/>
    <s v="Mahavelo"/>
    <n v="2"/>
    <n v="15"/>
    <n v="8306.2042390000006"/>
    <s v="Res_SO3"/>
    <s v="Urgence_Resilience"/>
    <s v="Ancienne commune"/>
    <s v="zone Norvège et FSRP"/>
    <s v="Urgence_Resilience"/>
    <s v="Ancienne commune"/>
    <x v="0"/>
    <s v="Zone FSRP"/>
    <s v="Farafangana_Mahavelo"/>
    <n v="8306.2042387774363"/>
    <n v="1661.2408477554873"/>
    <n v="2005"/>
    <m/>
    <n v="3.61"/>
    <n v="2"/>
    <s v="Inkind"/>
  </r>
  <r>
    <s v="Vatovavy"/>
    <s v="MG23207112"/>
    <x v="0"/>
    <s v="Vondrozo"/>
    <s v="Mahavelo"/>
    <n v="4"/>
    <n v="18"/>
    <n v="13425.099408"/>
    <s v=" "/>
    <s v="Non recommandé"/>
    <s v="Non recommandé"/>
    <s v="zone Norvège et FSRP"/>
    <s v="Urgence_Resilience"/>
    <s v="Ancienne commune"/>
    <x v="0"/>
    <s v="Zone FSRP"/>
    <s v="Vondrozo_Mahavelo"/>
    <n v="13425.099407658769"/>
    <n v="2685.0198815317535"/>
    <m/>
    <m/>
    <n v="4.0599999999999996"/>
    <n v="3"/>
    <s v="Inkind"/>
  </r>
  <r>
    <s v="Fitovinany"/>
    <s v="MG23210130"/>
    <x v="0"/>
    <s v="Mananjary"/>
    <s v="Mahavoky Nord"/>
    <n v="2"/>
    <n v="10"/>
    <n v="6810.7065910000001"/>
    <s v="Urg_Cycl"/>
    <s v="Urgence_Resilience"/>
    <s v="Ancienne commune"/>
    <s v="Zone FSRP où il y a une OP"/>
    <s v="Urgence_Resilience"/>
    <s v="Ancienne commune"/>
    <x v="0"/>
    <s v="Zone FSRP"/>
    <s v="Mananjary_Mahavoky Nord"/>
    <n v="6810.706590638868"/>
    <n v="1362.1413181277735"/>
    <n v="1196.8605785"/>
    <m/>
    <n v="3.61"/>
    <n v="2"/>
    <s v="Inkind"/>
  </r>
  <r>
    <s v="Fitovinany"/>
    <s v="MG23210171"/>
    <x v="0"/>
    <s v="Mananjary"/>
    <s v="Mahela"/>
    <n v="2"/>
    <n v="13"/>
    <n v="10560.852656999999"/>
    <s v="Urg_Cycl"/>
    <s v="Urgence_Resilience"/>
    <s v="Ancienne commune"/>
    <s v="Zone FSRP où il y a 4 OP"/>
    <s v="Urgence_Resilience"/>
    <s v="Ancienne commune"/>
    <x v="1"/>
    <s v="Zone FSRP"/>
    <s v="Mananjary_Mahela"/>
    <n v="10560.852656658897"/>
    <n v="2112.1705313317793"/>
    <n v="1836.3148206000001"/>
    <m/>
    <n v="3.59"/>
    <n v="2"/>
    <s v="Inkind"/>
  </r>
  <r>
    <s v="Androy"/>
    <s v="MG52516190"/>
    <x v="0"/>
    <s v="Farafangana"/>
    <s v="Maheriraty"/>
    <n v="2"/>
    <n v="16"/>
    <n v="11717.520973999999"/>
    <s v=" "/>
    <s v="Urgence_Resilience"/>
    <s v="Ancienne commune"/>
    <s v="c'est une zone où il y a une OP du projet FSRP, possibilité d'activité conjointe 3A"/>
    <s v="Urgence_Resilience"/>
    <s v="Ancienne commune"/>
    <x v="0"/>
    <s v="Zone FSRP"/>
    <s v="Farafangana_Maheriraty"/>
    <n v="11717.520974228486"/>
    <n v="2343.5041948456974"/>
    <m/>
    <m/>
    <n v="3.96"/>
    <n v="2"/>
    <s v="Inkind"/>
  </r>
  <r>
    <s v="Fitovinany"/>
    <s v="MG23210051"/>
    <x v="1"/>
    <s v="Toliary-II"/>
    <s v="Manorofify"/>
    <n v="1"/>
    <n v="3"/>
    <n v="5837.102457"/>
    <s v=" "/>
    <s v="Résilience"/>
    <s v="Ancienne commune"/>
    <s v="FFA"/>
    <s v="Résilience"/>
    <s v="Ancienne commune"/>
    <x v="0"/>
    <m/>
    <s v="Toliary-II_Manorofify"/>
    <n v="5837.1024572998504"/>
    <n v="1167.42049145997"/>
    <m/>
    <m/>
    <n v="4.95"/>
    <n v="3"/>
    <s v="CBT + Mitigations"/>
  </r>
  <r>
    <s v="Atsimo Atsinanana"/>
    <s v="MG25217150"/>
    <x v="1"/>
    <s v="Betioky Atsimo"/>
    <s v="Maroarivo Ankazomanga"/>
    <n v="2"/>
    <n v="12"/>
    <n v="10582.870419999999"/>
    <s v="Urg_Sech"/>
    <s v="Urgence_Resilience"/>
    <s v="Ancienne commune"/>
    <s v="ok"/>
    <s v="Urgence_Resilience"/>
    <s v="Ancienne commune"/>
    <x v="1"/>
    <m/>
    <s v="Betioky Atsimo_Maroarivo Ankazomanga"/>
    <n v="10582.870419620664"/>
    <n v="2116.5740839241325"/>
    <n v="1290.8666667"/>
    <m/>
    <n v="4.72"/>
    <n v="3"/>
    <s v="CBT"/>
  </r>
  <r>
    <s v="Fitovinany"/>
    <s v="MG23210410"/>
    <x v="0"/>
    <s v="Manakara Atsimo"/>
    <s v="Marofarihy"/>
    <n v="4"/>
    <n v="47"/>
    <n v="11209.662705000001"/>
    <s v=" "/>
    <s v="Non recommandé"/>
    <s v="Non recommandé"/>
    <s v="Zone FSRP où il y a une OP"/>
    <s v="Non recommandé"/>
    <s v="Non recommandé"/>
    <x v="0"/>
    <s v="Zone FSRP"/>
    <s v="Manakara Atsimo_Marofarihy"/>
    <n v="11209.662705177232"/>
    <n v="2241.9325410354463"/>
    <m/>
    <m/>
    <n v="3.46"/>
    <n v="1"/>
    <s v="Inkind"/>
  </r>
  <r>
    <s v="Fitovinany"/>
    <s v="MG23210430"/>
    <x v="0"/>
    <s v="Mananjary"/>
    <s v="Marokarima"/>
    <n v="3"/>
    <n v="23"/>
    <n v="10951.817676999999"/>
    <s v=" "/>
    <s v="Resilience"/>
    <s v=" "/>
    <s v="zone Norvege"/>
    <s v="Resilience"/>
    <s v=" "/>
    <x v="0"/>
    <m/>
    <s v="Mananjary_Marokarima"/>
    <n v="10951.817676653309"/>
    <n v="2190.3635353306618"/>
    <m/>
    <m/>
    <n v="3.55"/>
    <n v="2"/>
    <s v="Inkind"/>
  </r>
  <r>
    <s v="Vatovavy"/>
    <s v="MG23207113"/>
    <x v="2"/>
    <s v="Beloha"/>
    <s v="Marolinta"/>
    <n v="2"/>
    <n v="4"/>
    <n v="34422.479945999999"/>
    <s v=" "/>
    <s v="Urgence_Resilience"/>
    <s v="Ancienne commune"/>
    <s v="ok"/>
    <s v="Urgence_Resilience"/>
    <s v="Ancienne commune"/>
    <x v="0"/>
    <m/>
    <s v="Beloha_Marolinta"/>
    <n v="34422.479946097388"/>
    <n v="6884.4959892194775"/>
    <m/>
    <m/>
    <n v="4.5199999999999996"/>
    <n v="3"/>
    <s v="CBT"/>
  </r>
  <r>
    <s v="Fitovinany"/>
    <s v="MG23210292"/>
    <x v="0"/>
    <s v="Mananjary"/>
    <s v="Marosangy"/>
    <n v="2"/>
    <n v="14"/>
    <n v="7875.6665220000004"/>
    <s v="Urg_Cycl"/>
    <s v="Urgence_Resilience"/>
    <s v="Ancienne commune"/>
    <s v="Zone FSRP où il y a 4 OP"/>
    <s v="Urgence_Resilience"/>
    <s v="Ancienne commune"/>
    <x v="0"/>
    <s v="Zone FSRP"/>
    <s v="Mananjary_Marosangy"/>
    <n v="7875.6665224027902"/>
    <n v="1575.1333044805581"/>
    <n v="1323.5710830999999"/>
    <m/>
    <n v="3.61"/>
    <n v="2"/>
    <s v="Inkind"/>
  </r>
  <r>
    <s v="Atsimo Atsinanana"/>
    <s v="MG25213230"/>
    <x v="1"/>
    <s v="Betioky Atsimo"/>
    <s v="Marosavoa"/>
    <n v="2"/>
    <n v="17"/>
    <n v="6644.0751469999996"/>
    <s v="Urg_Sech"/>
    <s v="Urgence_Resilience"/>
    <s v="Ancienne commune"/>
    <s v="ok"/>
    <s v="Urgence_Resilience"/>
    <s v="Ancienne commune"/>
    <x v="0"/>
    <m/>
    <s v="Betioky Atsimo_Marosavoa"/>
    <n v="6644.0751472491393"/>
    <n v="1328.8150294498278"/>
    <n v="753.33333332999996"/>
    <m/>
    <n v="4.45"/>
    <n v="3"/>
    <s v="CBT + Mitigations"/>
  </r>
  <r>
    <s v="Vatovavy"/>
    <s v="MG23209110"/>
    <x v="1"/>
    <s v="Betioky Atsimo"/>
    <s v="Masiaboay"/>
    <n v="2"/>
    <n v="25"/>
    <n v="18173.537340999999"/>
    <s v=" "/>
    <s v="Urgence_Resilience"/>
    <s v="Ancienne commune"/>
    <s v="ok"/>
    <s v="Urgence_Resilience"/>
    <s v="Ancienne commune"/>
    <x v="0"/>
    <m/>
    <s v="Betioky Atsimo_Masiaboay"/>
    <n v="18173.537341270636"/>
    <n v="3634.707468254127"/>
    <m/>
    <m/>
    <n v="4.5"/>
    <n v="3"/>
    <s v="CBT + Mitigations"/>
  </r>
  <r>
    <s v="Atsimo Andrefana"/>
    <s v="MG51506230"/>
    <x v="0"/>
    <s v="Farafangana"/>
    <s v="Namohora Iaborano"/>
    <n v="2"/>
    <n v="17"/>
    <n v="6868.715048"/>
    <s v=" "/>
    <s v="Urgence_Resilience"/>
    <s v="Ancienne commune"/>
    <s v="zone FSRP"/>
    <s v="Urgence_Resilience"/>
    <s v="Ancienne commune"/>
    <x v="0"/>
    <s v="Zone FSRP"/>
    <s v="Farafangana_Namohora Iaborano"/>
    <n v="6868.7150478162612"/>
    <n v="1373.7430095632521"/>
    <m/>
    <m/>
    <n v="3.48"/>
    <n v="1"/>
    <s v="Inkind"/>
  </r>
  <r>
    <s v="Atsimo Atsinanana"/>
    <s v="MG25213390"/>
    <x v="0"/>
    <s v="Vohipeno"/>
    <s v="Savana"/>
    <n v="1"/>
    <n v="2"/>
    <n v="4911.0483340000001"/>
    <s v="Urg_Cycl"/>
    <s v="Urgence"/>
    <s v="Ancienne commune"/>
    <s v="ok"/>
    <s v="Urgence"/>
    <s v="Ancienne commune"/>
    <x v="1"/>
    <m/>
    <s v="Vohipeno_Savana"/>
    <n v="4911.0483339788989"/>
    <n v="982.20966679577975"/>
    <n v="602.35974849000002"/>
    <m/>
    <n v="3.54"/>
    <n v="2"/>
    <s v="Inkind"/>
  </r>
  <r>
    <s v="Fitovinany"/>
    <s v="MG23210471"/>
    <x v="0"/>
    <s v="Vangaindrano"/>
    <s v="Soamanova"/>
    <n v="2"/>
    <n v="17"/>
    <n v="11818.644435"/>
    <s v=" "/>
    <s v="Urgence_Resilience"/>
    <s v="Ancienne commune"/>
    <s v="zone FSRP, possibilité d'activité conjointe 3A"/>
    <s v="Urgence_Resilience"/>
    <s v="Ancienne commune"/>
    <x v="0"/>
    <s v="Zone FSRP"/>
    <s v="Vangaindrano_Soamanova"/>
    <n v="11818.644434679005"/>
    <n v="2363.7288869358008"/>
    <m/>
    <m/>
    <n v="3.63"/>
    <n v="2"/>
    <s v="Inkind"/>
  </r>
  <r>
    <s v="Atsimo Atsinanana"/>
    <s v="MG25213551"/>
    <x v="0"/>
    <s v="Farafangana"/>
    <s v="Tangainony"/>
    <n v="2"/>
    <n v="13"/>
    <n v="22312.443533000001"/>
    <s v=" "/>
    <s v="Urgence_Resilience"/>
    <s v="Ancienne commune"/>
    <s v="zone où il y a des OP pour FSRP"/>
    <s v="Urgence_Resilience"/>
    <s v="Ancienne commune"/>
    <x v="0"/>
    <s v="Zone FSRP"/>
    <s v="Farafangana_Tangainony"/>
    <n v="22312.443533075893"/>
    <n v="4462.4887066151787"/>
    <m/>
    <m/>
    <n v="3.43"/>
    <n v="1"/>
    <s v="Inkind"/>
  </r>
  <r>
    <s v="Fitovinany"/>
    <s v="MG23210451"/>
    <x v="2"/>
    <s v="Amboasary-Atsimo"/>
    <s v="Tomboarivo"/>
    <n v="2"/>
    <n v="7"/>
    <n v="0"/>
    <s v=" "/>
    <s v="Urgence_Resilience"/>
    <s v="Ancienne commune"/>
    <s v="Resilience"/>
    <s v="Urgence_Resilience"/>
    <s v="Ancienne commune"/>
    <x v="0"/>
    <m/>
    <s v="Amboasary-Atsimo_Tomboarivo"/>
    <n v="3767.1081823665827"/>
    <n v="753.42163647331654"/>
    <m/>
    <m/>
    <n v="3.68"/>
    <n v="2"/>
    <s v="Inkind"/>
  </r>
  <r>
    <s v="Atsimo Atsinanana"/>
    <s v="MG25215012"/>
    <x v="0"/>
    <s v="Mananjary"/>
    <s v="Tsarahafatra"/>
    <n v="4"/>
    <n v="29"/>
    <n v="7135.7112539999998"/>
    <s v="Urg_Cycl"/>
    <s v="Non recommandé"/>
    <s v="Non recommandé"/>
    <s v="zone FSRP"/>
    <s v="Non recommandé"/>
    <s v="Non recommandé"/>
    <x v="0"/>
    <s v="Zone FSRP"/>
    <s v="Mananjary_Tsarahafatra"/>
    <n v="7135.7112544992542"/>
    <n v="1427.1422508998508"/>
    <n v="1094.0272035999999"/>
    <m/>
    <n v="3.71"/>
    <n v="2"/>
    <s v="CBT + Mitigations"/>
  </r>
  <r>
    <s v="Vatovavy"/>
    <s v="MG23209310"/>
    <x v="0"/>
    <s v="Mananjary"/>
    <s v="Tsaravary"/>
    <n v="4"/>
    <n v="27"/>
    <n v="3975.6105560000001"/>
    <s v=" "/>
    <s v="Non recommandé"/>
    <s v="Non recommandé"/>
    <s v="zone Norvege et FSRP"/>
    <s v="Non recommandé"/>
    <s v="Non recommandé"/>
    <x v="0"/>
    <s v="Zone FSRP"/>
    <s v="Mananjary_Tsaravary"/>
    <n v="3975.6105560781562"/>
    <n v="795.12211121563121"/>
    <m/>
    <m/>
    <n v="4.1500000000000004"/>
    <n v="3"/>
    <s v="Inkind"/>
  </r>
  <r>
    <s v="Atsimo Atsinanana"/>
    <s v="MG25222053"/>
    <x v="0"/>
    <s v="Vangaindrano"/>
    <s v="Tsiately"/>
    <n v="3"/>
    <n v="23"/>
    <n v="19063.692361000001"/>
    <s v="Res_SO3"/>
    <s v="Resilience"/>
    <s v="Ancienne commune"/>
    <s v="zone FSRP"/>
    <s v="Resilience"/>
    <s v="Ancienne commune"/>
    <x v="0"/>
    <s v="Zone FSRP"/>
    <s v="Vangaindrano_Tsiately"/>
    <n v="19063.692360627578"/>
    <n v="3812.7384721255157"/>
    <n v="2895"/>
    <m/>
    <n v="4.07"/>
    <n v="3"/>
    <s v="Inkind"/>
  </r>
  <r>
    <s v="Fitovinany"/>
    <s v="MG23210172"/>
    <x v="0"/>
    <s v="Mananjary"/>
    <s v="Tsiatosika"/>
    <n v="3"/>
    <n v="26"/>
    <n v="14045.958019"/>
    <s v="Res_SO3"/>
    <s v="Resilience"/>
    <s v="Ancienne commune"/>
    <s v="zone Norvege"/>
    <s v="Resilience"/>
    <s v="Ancienne commune"/>
    <x v="0"/>
    <m/>
    <s v="Mananjary_Tsiatosika"/>
    <n v="14045.95801894038"/>
    <n v="2809.191603788076"/>
    <n v="1950"/>
    <m/>
    <n v="3.63"/>
    <n v="2"/>
    <s v="Inkind"/>
  </r>
  <r>
    <s v="Atsimo Atsinanana"/>
    <s v="MG25214091"/>
    <x v="2"/>
    <s v="Ambovombe-Androy"/>
    <s v="Tsimananada"/>
    <n v="2"/>
    <n v="9"/>
    <n v="0"/>
    <s v=" "/>
    <s v="Urgence_Resilience"/>
    <s v="Ancienne commune"/>
    <s v="ok"/>
    <s v="Urgence_Resilience"/>
    <s v="Ancienne commune"/>
    <x v="0"/>
    <m/>
    <s v="Ambovombe-Androy_Tsimananada"/>
    <n v="6668.8244801590608"/>
    <n v="1333.7648960318122"/>
    <m/>
    <m/>
    <n v="4.28"/>
    <n v="3"/>
    <s v="CBT + Mitigations"/>
  </r>
  <r>
    <s v="Atsimo Atsinanana"/>
    <s v="MG25214251"/>
    <x v="2"/>
    <s v="Amboasary-Atsimo"/>
    <s v="Tsivory"/>
    <n v="2"/>
    <n v="6"/>
    <n v="0"/>
    <s v="RRT"/>
    <s v="Urgence_Resilience"/>
    <s v="Ancienne commune"/>
    <s v="Resilience"/>
    <s v="Urgence_Resilience"/>
    <s v="Ancienne commune"/>
    <x v="0"/>
    <m/>
    <s v="Amboasary-Atsimo_Tsivory"/>
    <n v="22119.248303461594"/>
    <n v="4423.849660692319"/>
    <m/>
    <m/>
    <n v="3.32"/>
    <n v="1"/>
    <s v="Inkind"/>
  </r>
  <r>
    <s v="Atsimo Atsinanana"/>
    <s v="MG25222031"/>
    <x v="0"/>
    <s v="Vangaindrano"/>
    <s v="Vangaindrano"/>
    <n v="4"/>
    <n v="31"/>
    <n v="54129.212305000001"/>
    <s v=" "/>
    <s v="Non recommandé"/>
    <s v="Non recommandé"/>
    <s v="zone FSRP"/>
    <s v="Non recommandé"/>
    <s v="Non recommandé"/>
    <x v="0"/>
    <s v="Zone FSRP"/>
    <s v="Vangaindrano_Vangaindrano"/>
    <n v="54129.212304697401"/>
    <n v="10825.842460939481"/>
    <m/>
    <m/>
    <n v="4.21"/>
    <n v="3"/>
    <s v="Inkind"/>
  </r>
  <r>
    <s v="Fitovinany"/>
    <s v="MG23210070"/>
    <x v="1"/>
    <s v="Betioky Atsimo"/>
    <s v="Vatolatsaka"/>
    <n v="2"/>
    <n v="18"/>
    <n v="12971.765764"/>
    <s v=" "/>
    <s v="Urgence_Resilience"/>
    <s v="Ancienne commune"/>
    <s v="ok"/>
    <s v="Urgence_Resilience"/>
    <s v="Ancienne commune"/>
    <x v="0"/>
    <m/>
    <s v="Betioky Atsimo_Vatolatsaka"/>
    <n v="12971.765763676891"/>
    <n v="2594.353152735378"/>
    <m/>
    <m/>
    <n v="4.49"/>
    <n v="3"/>
    <s v="CBT + Mitigations"/>
  </r>
  <r>
    <s v="Atsimo Andrefana"/>
    <s v="MG51507290"/>
    <x v="0"/>
    <s v="Farafangana"/>
    <s v="Vohilava manampatra"/>
    <n v="3"/>
    <n v="28"/>
    <n v="9355.8401570000005"/>
    <s v=" "/>
    <s v="Resilience"/>
    <s v=" "/>
    <s v="implantation de l'UPSI"/>
    <s v="Resilience"/>
    <s v=" "/>
    <x v="0"/>
    <m/>
    <s v="Farafangana_Vohilava manampatra"/>
    <n v="9355.8401573777592"/>
    <n v="1871.1680314755517"/>
    <m/>
    <m/>
    <n v="3.71"/>
    <n v="2"/>
    <s v="CBT + Mitigations"/>
  </r>
  <r>
    <s v="Atsimo Atsinanana"/>
    <s v="MG25213090"/>
    <x v="0"/>
    <s v="Farafangana"/>
    <s v="Vohilengo"/>
    <n v="2"/>
    <n v="14"/>
    <n v="18559.355102000001"/>
    <s v=" "/>
    <s v="Urgence_Resilience"/>
    <s v="Ancienne commune"/>
    <s v="zone où il y a des OP pour FSRP"/>
    <s v="Urgence_Resilience"/>
    <s v="Ancienne commune"/>
    <x v="0"/>
    <s v="Zone FSRP"/>
    <s v="Farafangana_Vohilengo"/>
    <n v="18559.355102178153"/>
    <n v="3711.8710204356307"/>
    <m/>
    <m/>
    <n v="3.48"/>
    <n v="1"/>
    <s v="Inkind"/>
  </r>
  <r>
    <s v="Atsimo Atsinanana"/>
    <s v="MG25214111"/>
    <x v="1"/>
    <s v="Betioky Atsimo"/>
    <s v="Vohimary"/>
    <n v="2"/>
    <n v="14"/>
    <n v="7623.9705560000002"/>
    <s v=" "/>
    <s v="Urgence_Resilience"/>
    <s v="Ancienne commune"/>
    <s v="ok"/>
    <s v="Urgence_Resilience"/>
    <s v="Ancienne commune"/>
    <x v="0"/>
    <m/>
    <s v="Betioky Atsimo_Vohimary"/>
    <n v="7623.9705564732749"/>
    <n v="1524.7941112946551"/>
    <m/>
    <m/>
    <n v="4.3099999999999996"/>
    <n v="3"/>
    <s v="Inkind"/>
  </r>
  <r>
    <s v="Androy"/>
    <s v="MG52516012"/>
    <x v="0"/>
    <s v="Manakara Atsimo"/>
    <s v="Vohimasina Nord"/>
    <n v="3"/>
    <n v="33"/>
    <n v="7099.7328779999998"/>
    <s v="Urg_Cycl"/>
    <s v="Resilience"/>
    <s v="Ancienne commune"/>
    <s v=" "/>
    <s v="Résilience"/>
    <s v="Ancienne commune"/>
    <x v="0"/>
    <m/>
    <s v="Manakara Atsimo_Vohimasina Nord"/>
    <n v="7099.732878426149"/>
    <n v="1419.9465756852298"/>
    <n v="1273.3822898000001"/>
    <m/>
    <n v="3.55"/>
    <n v="2"/>
    <s v="Inkind"/>
  </r>
  <r>
    <s v="Atsimo Atsinanana"/>
    <s v="MG25215051"/>
    <x v="0"/>
    <s v="Manakara Atsimo"/>
    <s v="Vohimasy"/>
    <n v="1"/>
    <n v="10"/>
    <n v="9174.4858989999993"/>
    <s v=" "/>
    <s v="Urgence"/>
    <s v="Ancienne commune"/>
    <s v="zone FSRP"/>
    <s v="Urgence"/>
    <s v="Ancienne commune"/>
    <x v="0"/>
    <s v="Zone FSRP"/>
    <s v="Manakara Atsimo_Vohimasy"/>
    <n v="9174.4858986418985"/>
    <n v="1834.8971797283798"/>
    <m/>
    <m/>
    <n v="4.43"/>
    <n v="3"/>
    <s v="CBT + Mitigations"/>
  </r>
  <r>
    <s v="Androy"/>
    <s v="MG52518151"/>
    <x v="0"/>
    <s v="Farafangana"/>
    <s v="Vohimasy"/>
    <n v="3"/>
    <n v="26"/>
    <n v="9451.8434429999998"/>
    <s v=" "/>
    <s v="Resilience"/>
    <s v=" "/>
    <s v="zone FSRP"/>
    <s v="Urgence"/>
    <s v="Ancienne commune"/>
    <x v="0"/>
    <s v="Zone FSRP"/>
    <s v="Farafangana_Vohimasy"/>
    <n v="9451.8434426155927"/>
    <n v="1890.3686885231186"/>
    <m/>
    <m/>
    <n v="3.95"/>
    <n v="2"/>
    <s v="CBT + Mitigations"/>
  </r>
  <r>
    <s v="Fitovinany"/>
    <s v="MG23210490"/>
    <x v="0"/>
    <s v="Vangaindrano"/>
    <s v="Vohitrambo"/>
    <n v="2"/>
    <n v="11"/>
    <n v="20179.890556999999"/>
    <s v="Urg_Cycl"/>
    <s v="Urgence_Resilience"/>
    <s v="Ancienne commune"/>
    <s v="zone FSRP, possibilité d'activité conjointe 3A"/>
    <s v="Urgence_Resilience"/>
    <s v="Ancienne commune"/>
    <x v="0"/>
    <s v="Zone FSRP"/>
    <s v="Vangaindrano_Vohitrambo"/>
    <n v="20179.890556992799"/>
    <n v="4035.97811139856"/>
    <n v="2825"/>
    <m/>
    <n v="3.75"/>
    <n v="2"/>
    <s v="Inkind"/>
  </r>
  <r>
    <s v="Androy"/>
    <s v="MG52518092"/>
    <x v="0"/>
    <s v="Farafangana"/>
    <s v="Vohitromby"/>
    <n v="3"/>
    <n v="25"/>
    <n v="12238.498802"/>
    <s v=" "/>
    <s v="Resilience"/>
    <s v=" "/>
    <s v="zone FSRP"/>
    <s v="Resilience"/>
    <s v=" "/>
    <x v="0"/>
    <s v="Zone FSRP"/>
    <s v="Farafangana_Vohitromby"/>
    <n v="12238.498802119135"/>
    <n v="2447.6997604238268"/>
    <m/>
    <m/>
    <n v="4.3099999999999996"/>
    <n v="3"/>
    <s v="Inkind"/>
  </r>
  <r>
    <s v="Androy"/>
    <s v="MG52518270"/>
    <x v="2"/>
    <s v="Bekily"/>
    <s v="Bevitiky"/>
    <n v="2"/>
    <n v="10"/>
    <n v="3448.2071129999999"/>
    <s v="Urg_Sech"/>
    <s v="Urgence_Resilience"/>
    <m/>
    <s v="Urgence_Resilience"/>
    <s v="Ancienne commune"/>
    <m/>
    <x v="0"/>
    <m/>
    <s v="Bekily_Bevitiky"/>
    <n v="3448.2071129999999"/>
    <n v="689.64142259999994"/>
    <n v="1802.2123636363635"/>
    <m/>
    <n v="520.67927406299998"/>
    <n v="75.5"/>
    <s v="Inki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Androy "/>
    <s v="MG23210390"/>
    <x v="0"/>
    <s v="Bekily"/>
    <s v="Ambahita"/>
    <n v="1"/>
    <n v="2"/>
    <s v="Urg_sech"/>
    <s v="Urgence"/>
    <s v="Ancienne commune"/>
    <s v="Urgence"/>
    <s v="Urgence"/>
    <s v="Ancienne commune"/>
    <x v="0"/>
    <m/>
    <s v="Bekily_Ambahita"/>
    <n v="29541.768341057414"/>
    <n v="5908.3536682114827"/>
    <n v="3640.6727273000001"/>
    <n v="61.61907244801187"/>
    <n v="4460.8070194996699"/>
    <n v="75.500000000000014"/>
    <n v="820.13429219966974"/>
    <s v="Rajout d'enregistrement"/>
    <n v="4460.8070194996699"/>
    <n v="1772.5061004634447"/>
    <n v="1477.0884170528707"/>
    <n v="3249.5945175163151"/>
    <n v="535.29684233996034"/>
    <n v="133.82421058499008"/>
    <n v="5129.928072424621"/>
    <n v="3607.0499144431096"/>
    <n v="1489.2553451246208"/>
    <n v="49.641844837487362"/>
    <n v="5"/>
    <n v="3.57"/>
    <n v="2"/>
    <s v="Inkind"/>
    <n v="133.82421058499008"/>
    <n v="20.073631587748512"/>
    <n v="11.709618426186632"/>
    <n v="6.6912105292495045"/>
    <n v="26.764842116998018"/>
    <n v="13.382421058499009"/>
    <n v="401.47263175497028"/>
    <n v="60.220894763245539"/>
    <n v="35.128855278559897"/>
    <n v="20.073631587748515"/>
    <n v="80.294526350994062"/>
    <n v="40.147263175497031"/>
  </r>
  <r>
    <s v="Atsimo Antsinanana"/>
    <s v="MG51506330a"/>
    <x v="1"/>
    <s v="Farafangana"/>
    <s v="Ambalavato Nord"/>
    <n v="1"/>
    <n v="2"/>
    <s v=" "/>
    <s v="Urgence"/>
    <s v="Ancienne commune"/>
    <s v="ok"/>
    <s v="Urgence"/>
    <s v="Ancienne commune"/>
    <x v="1"/>
    <m/>
    <s v="Farafangana_Ambalavato Nord"/>
    <n v="17251.150335337265"/>
    <n v="3450.2300670674531"/>
    <m/>
    <n v="0"/>
    <n v="2611.824160770062"/>
    <n v="75.7"/>
    <n v="2611.824160770062"/>
    <s v="Nouveau enrégistrement"/>
    <n v="2611.824160770062"/>
    <n v="1035.0690201202358"/>
    <n v="862.55751676686327"/>
    <n v="1897.6265368870991"/>
    <n v="313.41889929240745"/>
    <n v="78.354724823101861"/>
    <n v="3003.5977848855714"/>
    <n v="2106.36545594468"/>
    <n v="3003.5977848855714"/>
    <n v="100.11992616285238"/>
    <n v="11"/>
    <n v="4.55"/>
    <n v="3"/>
    <s v="CBT"/>
    <m/>
    <m/>
    <m/>
    <m/>
    <m/>
    <m/>
    <n v="0"/>
    <n v="0"/>
    <n v="0"/>
    <n v="0"/>
    <n v="0"/>
    <n v="0"/>
  </r>
  <r>
    <s v="Androy "/>
    <s v="MG25214212"/>
    <x v="0"/>
    <s v="Ambovombe-Androy"/>
    <s v="Ambanisarika"/>
    <n v="1"/>
    <n v="2"/>
    <s v="AA"/>
    <s v="Urgence"/>
    <s v="Ancienne commune"/>
    <s v="ok"/>
    <s v="Urgence"/>
    <s v="Ancienne commune"/>
    <x v="1"/>
    <m/>
    <s v="Ambovombe-Androy_Ambanisarika"/>
    <n v="16589.713896938221"/>
    <n v="3317.9427793876444"/>
    <n v="944"/>
    <n v="28.45136467887561"/>
    <n v="2505.0467984376714"/>
    <n v="75.5"/>
    <n v="1561.0467984376714"/>
    <s v="Rajout d'enregistrement"/>
    <n v="2505.0467984376714"/>
    <n v="995.38283381629321"/>
    <n v="829.48569484691109"/>
    <n v="1824.8685286632044"/>
    <n v="300.60561581252057"/>
    <n v="75.151403953130142"/>
    <n v="2880.8038182033224"/>
    <n v="2025.604066816157"/>
    <n v="1936.8038182033224"/>
    <n v="64.560127273444081"/>
    <n v="7"/>
    <n v="4.3099999999999996"/>
    <n v="3"/>
    <s v="Inkind"/>
    <n v="75.151403953130142"/>
    <n v="11.272710592969521"/>
    <n v="6.5757478458988867"/>
    <n v="3.7575701976565075"/>
    <n v="15.03028079062603"/>
    <n v="7.5151403953130149"/>
    <n v="225.45421185939043"/>
    <n v="33.818131778908565"/>
    <n v="19.727243537696658"/>
    <n v="11.272710592969522"/>
    <n v="45.09084237187809"/>
    <n v="22.545421185939045"/>
  </r>
  <r>
    <s v="Atsimo Antsinanana"/>
    <s v="MG53519110"/>
    <x v="1"/>
    <s v="Vangaindrano"/>
    <s v="Ambatolava"/>
    <n v="2"/>
    <n v="10"/>
    <s v="Urg_cycl"/>
    <s v="Urgence_Resilience"/>
    <s v="Ancienne commune"/>
    <s v=" "/>
    <s v="Urgence_Resilience"/>
    <s v="Ancienne commune"/>
    <x v="0"/>
    <m/>
    <s v="Vangaindrano_Ambatolava"/>
    <n v="8313.8845015964616"/>
    <n v="1662.7769003192923"/>
    <n v="1333.1354768000001"/>
    <n v="80.175246393187606"/>
    <n v="1333.1354768000001"/>
    <n v="80.175246393187606"/>
    <n v="0"/>
    <s v="MAJ : plainte et validation"/>
    <n v="1333.1354768000001"/>
    <n v="498.83307009578766"/>
    <n v="415.69422507982313"/>
    <n v="914.52729517561079"/>
    <n v="159.97625721599999"/>
    <n v="39.994064303999998"/>
    <n v="1533.1057983200001"/>
    <n v="1015.125297644928"/>
    <n v="199.97032151999997"/>
    <n v="6.6656773839999994"/>
    <n v="1"/>
    <n v="3.73"/>
    <n v="2"/>
    <s v="Inkind"/>
    <n v="39.994064303999998"/>
    <n v="5.9991096455999999"/>
    <n v="3.4994806266"/>
    <n v="1.9997032152000003"/>
    <n v="7.9988128608000011"/>
    <n v="3.9994064304000005"/>
    <n v="119.98219291199999"/>
    <n v="17.997328936799999"/>
    <n v="10.4984418798"/>
    <n v="5.9991096456000008"/>
    <n v="23.996438582400003"/>
    <n v="11.998219291200002"/>
  </r>
  <r>
    <s v="Androy "/>
    <s v="MG51520111"/>
    <x v="0"/>
    <s v="Beloha"/>
    <s v="Ambatotsivala"/>
    <n v="1"/>
    <n v="2"/>
    <s v=" "/>
    <s v="Urgence"/>
    <s v="Ancienne commune"/>
    <s v="ok"/>
    <s v="Urgence"/>
    <s v="Ancienne commune"/>
    <x v="1"/>
    <m/>
    <s v="Beloha_Ambatotsivala"/>
    <n v="10526.076742203237"/>
    <n v="2105.2153484406472"/>
    <m/>
    <n v="0"/>
    <n v="1593.6480187695699"/>
    <n v="75.7"/>
    <n v="1593.6480187695699"/>
    <s v="Nouveau enrégistrement"/>
    <n v="1593.6480187695699"/>
    <n v="631.56460453219415"/>
    <n v="526.30383711016191"/>
    <n v="1157.8684416423562"/>
    <n v="191.23776225234838"/>
    <n v="47.809440563087094"/>
    <n v="1832.6952215850054"/>
    <n v="1285.2339702230154"/>
    <n v="1832.6952215850054"/>
    <n v="61.089840719500181"/>
    <n v="7"/>
    <n v="5.03"/>
    <n v="4"/>
    <s v="CBT"/>
    <m/>
    <m/>
    <m/>
    <m/>
    <m/>
    <m/>
    <n v="0"/>
    <n v="0"/>
    <n v="0"/>
    <n v="0"/>
    <n v="0"/>
    <n v="0"/>
  </r>
  <r>
    <s v="Vatovavy "/>
    <s v="MG52516033"/>
    <x v="1"/>
    <s v="Mananjary"/>
    <s v="Ambohitsara Est"/>
    <n v="2"/>
    <n v="16"/>
    <s v="Urg_cycl"/>
    <s v="Urgence_Resilience"/>
    <s v="Ancienne commune"/>
    <s v=" "/>
    <s v="Urgence_Resilience"/>
    <s v="Ancienne commune"/>
    <x v="1"/>
    <m/>
    <s v="Mananjary_Ambohitsara Est"/>
    <n v="7650.2020323446632"/>
    <n v="1530.0404064689326"/>
    <n v="1145.039597"/>
    <n v="74.83721293626175"/>
    <n v="1145.039597"/>
    <n v="74.83721293626175"/>
    <n v="0"/>
    <s v="MAJ : plainte et validation"/>
    <n v="1145.039597"/>
    <n v="459.01212194067978"/>
    <n v="382.5101016172332"/>
    <n v="841.52222355791298"/>
    <n v="137.40475164"/>
    <n v="34.35118791"/>
    <n v="1316.79553655"/>
    <n v="934.0896681492834"/>
    <n v="171.75593954999999"/>
    <n v="5.7251979849999994"/>
    <n v="1"/>
    <n v="4.32"/>
    <n v="3"/>
    <s v="CBT + Mitigations"/>
    <m/>
    <m/>
    <m/>
    <m/>
    <m/>
    <m/>
    <n v="0"/>
    <n v="0"/>
    <n v="0"/>
    <n v="0"/>
    <n v="0"/>
    <n v="0"/>
  </r>
  <r>
    <s v="Atsimo Antsinanana"/>
    <s v="MG25213050a"/>
    <x v="1"/>
    <s v="Vangaindrano"/>
    <s v="Ambongo"/>
    <n v="2"/>
    <n v="9"/>
    <s v=" "/>
    <s v="Urgence_Resilience"/>
    <s v="Ancienne commune"/>
    <s v=" "/>
    <s v="Urgence_Resilience"/>
    <s v="Ancienne commune"/>
    <x v="0"/>
    <m/>
    <s v="Vangaindrano_Ambongo"/>
    <n v="10315.873009756104"/>
    <n v="2063.1746019512207"/>
    <m/>
    <n v="0"/>
    <n v="1561.823173677074"/>
    <n v="75.7"/>
    <n v="1561.823173677074"/>
    <s v="Nouveau enrégistrement"/>
    <n v="1561.823173677074"/>
    <n v="618.9523805853662"/>
    <n v="515.79365048780517"/>
    <n v="1134.7460310731713"/>
    <n v="187.41878084124886"/>
    <n v="46.854695210312215"/>
    <n v="1796.0966497286352"/>
    <n v="1259.5680944912201"/>
    <n v="1796.0966497286352"/>
    <n v="59.869888324287835"/>
    <n v="6"/>
    <n v="3.54"/>
    <n v="2"/>
    <s v="Inkind"/>
    <n v="46.854695210312215"/>
    <n v="7.0282042815468326"/>
    <n v="4.0997858309023192"/>
    <n v="2.342734760515611"/>
    <n v="9.3709390420624441"/>
    <n v="4.6854695210312221"/>
    <n v="140.56408563093663"/>
    <n v="21.084612844640496"/>
    <n v="12.299357492706957"/>
    <n v="7.0282042815468326"/>
    <n v="28.112817126187331"/>
    <n v="14.056408563093665"/>
  </r>
  <r>
    <s v="Fitovinany"/>
    <s v="MG52516032"/>
    <x v="1"/>
    <s v="Vohipeno"/>
    <s v="Amborobe"/>
    <n v="2"/>
    <n v="6"/>
    <s v="Urg_cycl"/>
    <s v="Urgence_Resilience"/>
    <s v="Ancienne commune"/>
    <s v=" "/>
    <s v="Urgence_Resilience"/>
    <s v="Ancienne commune"/>
    <x v="1"/>
    <m/>
    <s v="Vohipeno_Amborobe"/>
    <n v="4967.4144564934304"/>
    <n v="993.48289129868613"/>
    <n v="609.27327914"/>
    <n v="61.327002656639081"/>
    <n v="750.07958293050808"/>
    <n v="75.5"/>
    <n v="140.80630379050808"/>
    <s v="Rajout d'enregistrement"/>
    <n v="750.07958293050808"/>
    <n v="298.04486738960583"/>
    <n v="248.37072282467153"/>
    <n v="546.41559021427736"/>
    <n v="90.009549951660972"/>
    <n v="22.502387487915243"/>
    <n v="862.59152037008425"/>
    <n v="606.52130513784789"/>
    <n v="253.31824123008425"/>
    <n v="8.4439413743361413"/>
    <n v="1"/>
    <n v="4.0999999999999996"/>
    <n v="3"/>
    <s v="Inkind"/>
    <n v="22.502387487915243"/>
    <n v="3.375358123187286"/>
    <n v="1.9689589051925835"/>
    <n v="1.1251193743957622"/>
    <n v="4.5004774975830486"/>
    <n v="2.2502387487915243"/>
    <n v="67.507162463745729"/>
    <n v="10.126074369561858"/>
    <n v="5.9068767155777504"/>
    <n v="3.3753581231872865"/>
    <n v="13.501432492749146"/>
    <n v="6.7507162463745729"/>
  </r>
  <r>
    <s v="Atsimo Andrefana"/>
    <s v="MG51520191"/>
    <x v="2"/>
    <s v="Ampanihy Ouest"/>
    <s v="Ampanihy Ouest"/>
    <n v="1"/>
    <n v="15"/>
    <s v=" "/>
    <s v="Urgence"/>
    <s v="Ancienne commune"/>
    <s v="ok"/>
    <s v="Urgence"/>
    <s v="Ancienne commune"/>
    <x v="0"/>
    <m/>
    <s v="Ampanihy Ouest_Ampanihy Ouest"/>
    <n v="52754.23846914513"/>
    <n v="10550.847693829026"/>
    <m/>
    <n v="0"/>
    <n v="7986.9917042285724"/>
    <n v="75.7"/>
    <n v="7986.9917042285724"/>
    <s v="Nouveau enrégistrement"/>
    <n v="7986.9917042285724"/>
    <n v="3165.2543081487079"/>
    <n v="2637.7119234572565"/>
    <n v="5802.9662316059639"/>
    <n v="958.43900450742865"/>
    <n v="239.60975112685716"/>
    <n v="9185.0404598628575"/>
    <n v="6441.2925170826202"/>
    <n v="9185.0404598628575"/>
    <n v="306.1680153287619"/>
    <n v="31"/>
    <n v="2.09"/>
    <n v="1"/>
    <s v="CBT + Mitigations"/>
    <m/>
    <m/>
    <m/>
    <m/>
    <m/>
    <m/>
    <n v="0"/>
    <n v="0"/>
    <n v="0"/>
    <n v="0"/>
    <n v="0"/>
    <n v="0"/>
  </r>
  <r>
    <s v="Atsimo Andrefana"/>
    <s v="MG23207172"/>
    <x v="2"/>
    <s v="Ampanihy Ouest"/>
    <s v="Anavoha"/>
    <n v="1"/>
    <n v="5"/>
    <s v="AA"/>
    <s v="Urgence"/>
    <s v="Ancienne commune"/>
    <s v="ok"/>
    <s v="Urgence"/>
    <s v="Ancienne commune"/>
    <x v="0"/>
    <m/>
    <s v="Ampanihy Ouest_Anavoha"/>
    <n v="12187.849436297582"/>
    <n v="2437.5698872595162"/>
    <n v="400"/>
    <n v="16.409785913859789"/>
    <n v="1840.3652648809348"/>
    <n v="75.5"/>
    <n v="1440.3652648809348"/>
    <s v="Rajout d'enregistrement"/>
    <n v="1840.3652648809348"/>
    <n v="731.27096617785492"/>
    <n v="609.39247181487906"/>
    <n v="1340.6634379927341"/>
    <n v="220.84383178571215"/>
    <n v="55.210957946428039"/>
    <n v="2116.4200546130751"/>
    <n v="1488.1364161719348"/>
    <n v="1716.4200546130751"/>
    <n v="57.214001820435833"/>
    <n v="6"/>
    <n v="4.3099999999999996"/>
    <n v="3"/>
    <s v="Inkind"/>
    <n v="55.210957946428039"/>
    <n v="8.2816436919642058"/>
    <n v="4.8309588203124534"/>
    <n v="2.7605478973214024"/>
    <n v="11.04219158928561"/>
    <n v="5.5210957946428048"/>
    <n v="165.63287383928412"/>
    <n v="24.844931075892617"/>
    <n v="14.49287646093736"/>
    <n v="8.2816436919642076"/>
    <n v="33.12657476785683"/>
    <n v="16.563287383928415"/>
  </r>
  <r>
    <s v="Atsimo Antsinanana"/>
    <s v="MG51506113"/>
    <x v="1"/>
    <s v="Vondrozo"/>
    <s v="Andakana"/>
    <n v="1"/>
    <n v="5"/>
    <s v=" "/>
    <s v="Urgence"/>
    <s v="Ancienne commune"/>
    <s v="ok"/>
    <s v="Urgence"/>
    <s v="Ancienne commune"/>
    <x v="0"/>
    <m/>
    <s v="Vondrozo_Andakana"/>
    <n v="9390.4013400633794"/>
    <n v="1878.0802680126758"/>
    <m/>
    <n v="0"/>
    <n v="1421.7067628855957"/>
    <n v="75.7"/>
    <n v="1421.7067628855957"/>
    <s v="Nouveau enrégistrement"/>
    <n v="1421.7067628855957"/>
    <n v="563.42408040380269"/>
    <n v="469.520067003169"/>
    <n v="1032.9441474069718"/>
    <n v="170.60481154627149"/>
    <n v="42.651202886567873"/>
    <n v="1634.9627773184352"/>
    <n v="1146.5680036217386"/>
    <n v="1634.9627773184352"/>
    <n v="54.498759243947838"/>
    <n v="6"/>
    <n v="4.62"/>
    <n v="3"/>
    <s v="CBT"/>
    <m/>
    <m/>
    <m/>
    <m/>
    <m/>
    <m/>
    <n v="0"/>
    <n v="0"/>
    <n v="0"/>
    <n v="0"/>
    <n v="0"/>
    <n v="0"/>
  </r>
  <r>
    <s v="Androy "/>
    <s v="MG23210052"/>
    <x v="0"/>
    <s v="Antanimora Sud"/>
    <s v="Andalatanosy"/>
    <n v="1"/>
    <n v="4"/>
    <s v="Urg_sech"/>
    <s v="Urgence"/>
    <s v="Ancienne commune"/>
    <s v="ok"/>
    <s v="Urgence"/>
    <s v="Ancienne commune"/>
    <x v="1"/>
    <m/>
    <s v="Antanimora Sud_Andalatanosy"/>
    <n v="49864.559994823205"/>
    <n v="9972.9119989646406"/>
    <n v="6765.6"/>
    <n v="67.839764360724189"/>
    <n v="7529.548559218304"/>
    <n v="75.5"/>
    <n v="763.94855921830367"/>
    <s v="Rajout d'enregistrement"/>
    <n v="7529.548559218304"/>
    <n v="2991.873599689392"/>
    <n v="2493.2279997411606"/>
    <n v="5485.1015994305526"/>
    <n v="903.5458271061965"/>
    <n v="225.88645677654912"/>
    <n v="8658.9808431010497"/>
    <n v="6088.4627753679133"/>
    <n v="1893.3808431010493"/>
    <n v="63.112694770034977"/>
    <n v="7"/>
    <n v="3.61"/>
    <n v="2"/>
    <s v="Inkind"/>
    <n v="225.88645677654912"/>
    <n v="33.882968516482364"/>
    <n v="19.765064967948046"/>
    <n v="11.294322838827457"/>
    <n v="45.177291355309826"/>
    <n v="22.588645677654913"/>
    <n v="677.65937032964734"/>
    <n v="101.64890554944709"/>
    <n v="59.295194903844134"/>
    <n v="33.882968516482372"/>
    <n v="135.53187406592949"/>
    <n v="67.765937032964743"/>
  </r>
  <r>
    <s v="Atsimo Andrefana"/>
    <s v="MG25214230"/>
    <x v="2"/>
    <s v="Ampanihy Ouest"/>
    <s v="Androipano"/>
    <n v="1"/>
    <n v="3"/>
    <s v="Urg_sech"/>
    <s v="Urgence"/>
    <s v="Ancienne commune"/>
    <s v="ok"/>
    <s v="Urgence"/>
    <s v="Ancienne commune"/>
    <x v="1"/>
    <m/>
    <s v="Ampanihy Ouest_Androipano"/>
    <n v="20666.18631689177"/>
    <n v="4133.2372633783543"/>
    <n v="2311"/>
    <n v="55.912589883869252"/>
    <n v="3120.5941338506573"/>
    <n v="75.5"/>
    <n v="809.59413385065727"/>
    <s v="Rajout d'enregistrement"/>
    <n v="3120.5941338506573"/>
    <n v="1239.9711790135061"/>
    <n v="1033.3093158445886"/>
    <n v="2273.2804948580947"/>
    <n v="374.47129606207886"/>
    <n v="93.617824015519716"/>
    <n v="3588.6832539282559"/>
    <n v="2523.3413492924851"/>
    <n v="1277.6832539282559"/>
    <n v="42.589441797608529"/>
    <n v="5"/>
    <n v="3.32"/>
    <n v="1"/>
    <s v="Inkind"/>
    <n v="93.617824015519716"/>
    <n v="14.042673602327957"/>
    <n v="8.1915596013579748"/>
    <n v="4.680891200775986"/>
    <n v="18.723564803103944"/>
    <n v="9.3617824015519719"/>
    <n v="280.85347204655915"/>
    <n v="42.128020806983869"/>
    <n v="24.574678804073926"/>
    <n v="14.042673602327959"/>
    <n v="56.170694409311835"/>
    <n v="28.085347204655918"/>
  </r>
  <r>
    <s v="Atsimo Andrefana"/>
    <s v="MG25214112"/>
    <x v="2"/>
    <s v="Ampanihy Ouest"/>
    <s v="Androka"/>
    <n v="1"/>
    <n v="16"/>
    <s v="Urg_sech"/>
    <s v="Urgence"/>
    <s v="Ancienne commune"/>
    <s v="ok"/>
    <s v="Urgence"/>
    <s v="Ancienne commune"/>
    <x v="1"/>
    <m/>
    <s v="Ampanihy Ouest_Androka"/>
    <n v="49359.82953523146"/>
    <n v="9871.9659070462912"/>
    <n v="7000"/>
    <n v="70.907862384366879"/>
    <n v="7453.3342598199497"/>
    <n v="75.5"/>
    <n v="453.33425981994969"/>
    <s v="Rajout d'enregistrement"/>
    <n v="7453.3342598199497"/>
    <n v="2961.5897721138876"/>
    <n v="2467.9914767615733"/>
    <n v="5429.5812488754609"/>
    <n v="894.4001111783939"/>
    <n v="223.60002779459847"/>
    <n v="8571.334398792942"/>
    <n v="6026.8351862517611"/>
    <n v="1571.334398792942"/>
    <n v="52.377813293098065"/>
    <n v="6"/>
    <n v="3.98"/>
    <n v="2"/>
    <s v="Inkind"/>
    <n v="223.60002779459847"/>
    <n v="33.540004169189771"/>
    <n v="19.565002432027367"/>
    <n v="11.180001389729926"/>
    <n v="44.720005558919702"/>
    <n v="22.360002779459851"/>
    <n v="670.80008338379548"/>
    <n v="100.62001250756931"/>
    <n v="58.695007296082096"/>
    <n v="33.540004169189778"/>
    <n v="134.16001667675911"/>
    <n v="67.080008338379557"/>
  </r>
  <r>
    <s v="Androy "/>
    <s v="MG25217071"/>
    <x v="0"/>
    <s v="Ambovombe-Androy"/>
    <s v="Anjeky Ankilikira"/>
    <n v="1"/>
    <n v="1"/>
    <s v="Urg_sech"/>
    <s v="Urgence"/>
    <s v="Ancienne commune"/>
    <s v="ok"/>
    <s v="Urgence"/>
    <s v="Ancienne commune"/>
    <x v="0"/>
    <m/>
    <s v="Ambovombe-Androy_Anjeky Ankilikira"/>
    <n v="19993.402439928064"/>
    <n v="3998.6804879856127"/>
    <n v="3397"/>
    <n v="84.953024134000842"/>
    <n v="3397"/>
    <n v="84.953024134000842"/>
    <n v="0"/>
    <s v="MAJ : plainte et validation"/>
    <n v="3397"/>
    <n v="1199.6041463956838"/>
    <n v="999.67012199640328"/>
    <n v="2199.2742683920869"/>
    <n v="407.64"/>
    <n v="101.91"/>
    <n v="3906.5499999999997"/>
    <n v="2441.1944379152164"/>
    <n v="509.54999999999973"/>
    <n v="16.984999999999992"/>
    <n v="2"/>
    <n v="2.5299999999999998"/>
    <n v="1"/>
    <s v="CBT + Mitigations"/>
    <m/>
    <m/>
    <m/>
    <m/>
    <m/>
    <m/>
    <n v="0"/>
    <n v="0"/>
    <n v="0"/>
    <n v="0"/>
    <n v="0"/>
    <n v="0"/>
  </r>
  <r>
    <s v="Atsimo Andrefana"/>
    <s v="MG25213370"/>
    <x v="3"/>
    <s v="Betioky Atsimo"/>
    <s v="Ankazomanga Ouest"/>
    <n v="2"/>
    <n v="20"/>
    <s v="Urg_sech"/>
    <s v="Urgence_Resilience"/>
    <s v="Ancienne commune"/>
    <s v="ok"/>
    <s v="Urgence_Resilience"/>
    <s v="Ancienne commune"/>
    <x v="1"/>
    <m/>
    <s v="Betioky Atsimo_Ankazomanga Ouest"/>
    <n v="7435.6769288184405"/>
    <n v="1487.1353857636882"/>
    <n v="725.33333332999996"/>
    <n v="48.773860152451405"/>
    <n v="1122.7872162515846"/>
    <n v="75.5"/>
    <n v="397.45388292158464"/>
    <s v="Rajout d'enregistrement"/>
    <n v="1122.7872162515846"/>
    <n v="446.1406157291064"/>
    <n v="371.78384644092205"/>
    <n v="817.92446217002839"/>
    <n v="134.73446595019016"/>
    <n v="33.683616487547539"/>
    <n v="1291.2052986893223"/>
    <n v="907.89615300873152"/>
    <n v="565.8719653593223"/>
    <n v="18.862398845310743"/>
    <n v="2"/>
    <n v="4.1500000000000004"/>
    <n v="3"/>
    <s v="CBT + Mitigations"/>
    <m/>
    <m/>
    <m/>
    <m/>
    <m/>
    <m/>
    <n v="0"/>
    <n v="0"/>
    <n v="0"/>
    <n v="0"/>
    <n v="0"/>
    <n v="0"/>
  </r>
  <r>
    <s v="Atsimo Andrefana"/>
    <s v="MG25213190"/>
    <x v="3"/>
    <s v="Betioky Atsimo"/>
    <s v="Ankazombalala"/>
    <n v="2"/>
    <n v="16"/>
    <s v="Urg_sech"/>
    <s v="Urgence_Resilience"/>
    <s v="Ancienne commune"/>
    <s v="ok"/>
    <s v="Urgence_Resilience"/>
    <s v="Ancienne commune"/>
    <x v="1"/>
    <m/>
    <s v="Betioky Atsimo_Ankazombalala"/>
    <n v="25604.090633962413"/>
    <n v="5120.8181267924829"/>
    <n v="2400"/>
    <n v="46.867511022174952"/>
    <n v="3866.2176857283248"/>
    <n v="75.5"/>
    <n v="1466.2176857283248"/>
    <s v="Rajout d'enregistrement"/>
    <n v="3866.2176857283248"/>
    <n v="1536.2454380377446"/>
    <n v="1280.2045316981207"/>
    <n v="2816.4499697358651"/>
    <n v="463.94612228739896"/>
    <n v="115.98653057184974"/>
    <n v="4446.1503385875731"/>
    <n v="3126.2594664068101"/>
    <n v="2046.1503385875731"/>
    <n v="68.205011286252429"/>
    <n v="7"/>
    <n v="4.47"/>
    <n v="3"/>
    <s v="CBT + Mitigations"/>
    <m/>
    <m/>
    <m/>
    <m/>
    <m/>
    <m/>
    <n v="0"/>
    <n v="0"/>
    <n v="0"/>
    <n v="0"/>
    <n v="0"/>
    <n v="0"/>
  </r>
  <r>
    <s v="Fitovinany"/>
    <s v="MG25213350"/>
    <x v="1"/>
    <s v="Vohipeno"/>
    <s v="Anoloka"/>
    <n v="1"/>
    <n v="4"/>
    <s v="Urg_cycl"/>
    <s v="Urgence"/>
    <s v="Ancienne commune"/>
    <s v="ok"/>
    <s v="Urgence"/>
    <s v="Ancienne commune"/>
    <x v="1"/>
    <m/>
    <s v="Vohipeno_Anoloka"/>
    <n v="3885.6646158953922"/>
    <n v="777.13292317907849"/>
    <n v="582.96027370000002"/>
    <n v="75.014229395305861"/>
    <n v="582.96027370000002"/>
    <n v="75.014229395305861"/>
    <n v="0"/>
    <s v="MAJ : plainte et validation"/>
    <n v="582.96027370000002"/>
    <n v="233.13987695372353"/>
    <n v="194.28323079476962"/>
    <n v="427.42310774849318"/>
    <n v="69.955232843999994"/>
    <n v="17.488808210999998"/>
    <n v="670.40431475499997"/>
    <n v="474.43964960082741"/>
    <n v="87.444041054999957"/>
    <n v="2.9148013684999987"/>
    <n v="1"/>
    <n v="3.34"/>
    <n v="1"/>
    <s v="Inkind"/>
    <n v="17.488808210999998"/>
    <n v="2.6233212316499999"/>
    <n v="1.5302707184625"/>
    <n v="0.87444041054999999"/>
    <n v="3.4977616422"/>
    <n v="1.7488808211"/>
    <n v="52.466424632999995"/>
    <n v="7.86996369495"/>
    <n v="4.5908121553874999"/>
    <n v="2.6233212316499999"/>
    <n v="10.493284926599999"/>
    <n v="5.2466424632999997"/>
  </r>
  <r>
    <s v="Fitovinany"/>
    <s v="MG53517350"/>
    <x v="1"/>
    <s v="Manakara Atsimo"/>
    <s v="Anosiala"/>
    <n v="2"/>
    <n v="25"/>
    <s v="Urg_cycl"/>
    <s v="Urgence_Resilience"/>
    <s v="Ancienne commune"/>
    <s v=" "/>
    <s v="Urgence_Resilience"/>
    <s v="Ancienne commune"/>
    <x v="0"/>
    <m/>
    <s v="Manakara Atsimo_Anosiala"/>
    <n v="11040.564337633636"/>
    <n v="2208.1128675267273"/>
    <n v="1958.9111882"/>
    <n v="88.714268958277742"/>
    <n v="1958.9111882"/>
    <n v="88.714268958277742"/>
    <n v="0"/>
    <s v="MAJ : plainte et validation"/>
    <n v="1958.9111882"/>
    <n v="662.43386025801817"/>
    <n v="552.02821688168183"/>
    <n v="1214.4620771396999"/>
    <n v="235.069342584"/>
    <n v="58.767335645999999"/>
    <n v="2252.7478664300002"/>
    <n v="1348.0529056250668"/>
    <n v="293.83667823000019"/>
    <n v="9.7945559410000058"/>
    <n v="1"/>
    <n v="4.6100000000000003"/>
    <n v="3"/>
    <s v="CBT"/>
    <m/>
    <m/>
    <m/>
    <m/>
    <m/>
    <m/>
    <n v="0"/>
    <n v="0"/>
    <n v="0"/>
    <n v="0"/>
    <n v="0"/>
    <n v="0"/>
  </r>
  <r>
    <s v="Androy "/>
    <s v="MG23210032"/>
    <x v="0"/>
    <s v="Antanimora Sud"/>
    <s v="Antanimora Atsimo"/>
    <n v="1"/>
    <n v="5"/>
    <s v="Urg_sech"/>
    <s v="Urgence"/>
    <s v="Ancienne commune"/>
    <s v="ok"/>
    <s v="Urgence"/>
    <s v="Ancienne commune"/>
    <x v="1"/>
    <m/>
    <s v="Antanimora Sud_Antanimora Atsimo"/>
    <n v="39572.454162449147"/>
    <n v="7914.4908324898297"/>
    <n v="5280.6"/>
    <n v="66.720653441438998"/>
    <n v="5975.4405785298222"/>
    <n v="75.5"/>
    <n v="694.84057852982187"/>
    <s v="Rajout d'enregistrement"/>
    <n v="5975.4405785298222"/>
    <n v="2374.3472497469488"/>
    <n v="1978.6227081224574"/>
    <n v="4352.9699578694062"/>
    <n v="717.05286942357861"/>
    <n v="179.26321735589465"/>
    <n v="6871.7566653092954"/>
    <n v="4831.796653235041"/>
    <n v="1591.156665309295"/>
    <n v="53.038555510309834"/>
    <n v="6"/>
    <n v="3.55"/>
    <n v="2"/>
    <s v="Inkind"/>
    <n v="179.26321735589465"/>
    <n v="26.889482603384199"/>
    <n v="15.685531518640781"/>
    <n v="8.9631608677947341"/>
    <n v="35.852643471178936"/>
    <n v="17.926321735589468"/>
    <n v="537.78965206768396"/>
    <n v="80.6684478101526"/>
    <n v="47.056594555922345"/>
    <n v="26.889482603384202"/>
    <n v="107.55793041353681"/>
    <n v="53.778965206768405"/>
  </r>
  <r>
    <s v="Androy "/>
    <s v="MG23206012"/>
    <x v="0"/>
    <s v="Bekily"/>
    <s v="Antsakoamaro"/>
    <n v="1"/>
    <n v="3"/>
    <s v="Urg_sech"/>
    <s v="Urgence"/>
    <s v="Ancienne commune"/>
    <s v="ok"/>
    <s v="Urgence"/>
    <s v="Ancienne commune"/>
    <x v="0"/>
    <m/>
    <s v="Bekily_Antsakoamaro"/>
    <n v="10954.805560214247"/>
    <n v="2190.9611120428494"/>
    <n v="1781.1181818"/>
    <n v="81.29392037174442"/>
    <n v="1781.1181818"/>
    <n v="81.29392037174442"/>
    <n v="0"/>
    <s v="MAJ : plainte et validation"/>
    <n v="1781.1181818"/>
    <n v="657.28833361285479"/>
    <n v="547.74027801071236"/>
    <n v="1205.028611623567"/>
    <n v="213.73418181599999"/>
    <n v="53.433545453999997"/>
    <n v="2048.2859090699999"/>
    <n v="1337.5817589021594"/>
    <n v="267.16772726999989"/>
    <n v="8.9055909089999954"/>
    <n v="1"/>
    <n v="3.37"/>
    <n v="1"/>
    <s v="Inkind"/>
    <n v="53.433545453999997"/>
    <n v="8.0150318180999989"/>
    <n v="4.6754352272249999"/>
    <n v="2.6716772727000002"/>
    <n v="10.686709090800001"/>
    <n v="5.3433545454000004"/>
    <n v="160.30063636199998"/>
    <n v="24.045095454299997"/>
    <n v="14.026305681675"/>
    <n v="8.0150318181000006"/>
    <n v="32.060127272400003"/>
    <n v="16.030063636200001"/>
  </r>
  <r>
    <s v="Androy "/>
    <s v="MG23207010"/>
    <x v="0"/>
    <s v="Beloha"/>
    <s v="Behabobo"/>
    <n v="1"/>
    <n v="1"/>
    <s v=" "/>
    <s v="Urgence"/>
    <s v="Ancienne commune"/>
    <s v="ok"/>
    <s v="Urgence"/>
    <s v="Ancienne commune"/>
    <x v="1"/>
    <m/>
    <s v="Beloha_Behabobo"/>
    <n v="9007.2264783959399"/>
    <n v="1801.4452956791879"/>
    <m/>
    <n v="0"/>
    <n v="1363.6940888291451"/>
    <n v="75.7"/>
    <n v="1363.6940888291451"/>
    <s v="Nouveau enrégistrement"/>
    <n v="1363.6940888291451"/>
    <n v="540.43358870375641"/>
    <n v="450.36132391979703"/>
    <n v="990.7949126235535"/>
    <n v="163.64329065949741"/>
    <n v="40.910822664874352"/>
    <n v="1568.2482021535168"/>
    <n v="1099.7823530121443"/>
    <n v="1568.2482021535168"/>
    <n v="52.274940071783895"/>
    <n v="6"/>
    <n v="4.8499999999999996"/>
    <n v="3"/>
    <s v="CBT + Mitigations"/>
    <m/>
    <m/>
    <m/>
    <m/>
    <m/>
    <m/>
    <n v="0"/>
    <n v="0"/>
    <n v="0"/>
    <n v="0"/>
    <n v="0"/>
    <n v="0"/>
  </r>
  <r>
    <s v="Anosy"/>
    <s v="MG25222031a"/>
    <x v="0"/>
    <s v="Amboasary-Atsimo"/>
    <s v="Ebelo"/>
    <n v="2"/>
    <n v="8"/>
    <s v="Urg_sech"/>
    <s v="Urgence_Resilience"/>
    <s v="Ancienne commune"/>
    <s v="ok"/>
    <s v="Urgence_Resilience"/>
    <s v="Ancienne commune"/>
    <x v="1"/>
    <m/>
    <s v="Amboasary-Atsimo_Ebelo"/>
    <n v="13316.715217575194"/>
    <n v="2663.343043515039"/>
    <n v="2540"/>
    <n v="95.368863811390483"/>
    <n v="2540"/>
    <n v="95.368863811390483"/>
    <n v="0"/>
    <s v="MAJ : plainte et validation"/>
    <n v="2540"/>
    <n v="799.00291305451162"/>
    <n v="665.83576087875974"/>
    <n v="1464.8386739332714"/>
    <n v="304.8"/>
    <n v="76.2"/>
    <n v="2921"/>
    <n v="1625.9709280659313"/>
    <n v="381"/>
    <n v="12.7"/>
    <n v="2"/>
    <n v="4.2"/>
    <n v="3"/>
    <s v="Inkind"/>
    <n v="76.2"/>
    <n v="11.43"/>
    <n v="6.6674999999999995"/>
    <n v="3.81"/>
    <n v="15.24"/>
    <n v="7.62"/>
    <n v="228.60000000000002"/>
    <n v="34.29"/>
    <n v="20.002499999999998"/>
    <n v="11.43"/>
    <n v="45.72"/>
    <n v="22.86"/>
  </r>
  <r>
    <s v="Atsimo Andrefana"/>
    <s v="MG25214092"/>
    <x v="2"/>
    <s v="Ampanihy Ouest"/>
    <s v="Ejeda"/>
    <n v="1"/>
    <n v="2"/>
    <s v="AA"/>
    <s v="Urgence"/>
    <s v="Ancienne commune"/>
    <s v="ok"/>
    <s v="Urgence"/>
    <s v="Ancienne commune"/>
    <x v="1"/>
    <m/>
    <s v="Ampanihy Ouest_Ejeda"/>
    <n v="65728.566050885347"/>
    <n v="13145.713210177069"/>
    <n v="400"/>
    <n v="3.0428170279139395"/>
    <n v="9925.0134736836881"/>
    <n v="75.5"/>
    <n v="9525.0134736836881"/>
    <s v="Rajout d'enregistrement"/>
    <n v="9925.0134736836881"/>
    <n v="3943.7139630531206"/>
    <n v="3286.4283025442674"/>
    <n v="7230.1422655973874"/>
    <n v="1191.0016168420425"/>
    <n v="297.75040421051062"/>
    <n v="11413.765494736241"/>
    <n v="8025.4579148130997"/>
    <n v="11013.765494736241"/>
    <n v="367.12551649120803"/>
    <n v="37"/>
    <n v="3.32"/>
    <n v="1"/>
    <s v="Inkind"/>
    <n v="297.75040421051062"/>
    <n v="44.662560631576596"/>
    <n v="26.053160368419679"/>
    <n v="14.887520210525532"/>
    <n v="59.550080842102126"/>
    <n v="29.775040421051063"/>
    <n v="893.25121263153187"/>
    <n v="133.9876818947298"/>
    <n v="78.159481105259033"/>
    <n v="44.662560631576596"/>
    <n v="178.65024252630639"/>
    <n v="89.325121263153193"/>
  </r>
  <r>
    <s v="Atsimo Andrefana"/>
    <s v="MG25214131"/>
    <x v="2"/>
    <s v="Ampanihy Ouest"/>
    <s v="Fotadrevo"/>
    <n v="1"/>
    <n v="6"/>
    <s v="AA"/>
    <s v="Urgence"/>
    <s v="Ancienne commune"/>
    <s v="ok"/>
    <s v="Urgence"/>
    <s v="Ancienne commune"/>
    <x v="1"/>
    <m/>
    <s v="Ampanihy Ouest_Fotadrevo"/>
    <n v="65535.148787103855"/>
    <n v="13107.029757420771"/>
    <n v="500"/>
    <n v="3.8147468133801739"/>
    <n v="9895.8074668526824"/>
    <n v="75.5"/>
    <n v="9395.8074668526824"/>
    <s v="Rajout d'enregistrement"/>
    <n v="9895.8074668526824"/>
    <n v="3932.1089272262311"/>
    <n v="3276.7574393551931"/>
    <n v="7208.8663665814238"/>
    <n v="1187.4968960223218"/>
    <n v="296.87422400558046"/>
    <n v="11380.178586880584"/>
    <n v="8001.8416669053804"/>
    <n v="10880.178586880584"/>
    <n v="362.67261956268612"/>
    <n v="37"/>
    <n v="3.41"/>
    <n v="1"/>
    <s v="Inkind"/>
    <n v="296.87422400558046"/>
    <n v="44.531133600837066"/>
    <n v="25.976494600488287"/>
    <n v="14.843711200279024"/>
    <n v="59.374844801116097"/>
    <n v="29.687422400558049"/>
    <n v="890.62267201674138"/>
    <n v="133.59340080251121"/>
    <n v="77.929483801464869"/>
    <n v="44.531133600837073"/>
    <n v="178.12453440334829"/>
    <n v="89.062267201674146"/>
  </r>
  <r>
    <s v="Atsimo Antsinanana"/>
    <s v="MG51506015"/>
    <x v="1"/>
    <s v="Vondrozo"/>
    <s v="Iamonta"/>
    <n v="1"/>
    <n v="4"/>
    <s v=" "/>
    <s v="Urgence"/>
    <s v="Ancienne commune"/>
    <s v="ok"/>
    <s v="Urgence"/>
    <s v="Ancienne commune"/>
    <x v="0"/>
    <m/>
    <s v="Vondrozo_Iamonta"/>
    <n v="6247.8938032782653"/>
    <n v="1249.578760655653"/>
    <m/>
    <n v="0"/>
    <n v="945.93112181632944"/>
    <n v="75.7"/>
    <n v="945.93112181632944"/>
    <s v="Nouveau enrégistrement"/>
    <n v="945.93112181632944"/>
    <n v="374.8736281966959"/>
    <n v="312.39469016391331"/>
    <n v="687.26831836060921"/>
    <n v="113.51173461795953"/>
    <n v="28.377933654489883"/>
    <n v="1087.8207900887789"/>
    <n v="762.86783338027624"/>
    <n v="1087.8207900887789"/>
    <n v="36.2606930029593"/>
    <n v="4"/>
    <n v="4.5199999999999996"/>
    <n v="3"/>
    <s v="CBT"/>
    <m/>
    <m/>
    <m/>
    <m/>
    <m/>
    <m/>
    <n v="0"/>
    <n v="0"/>
    <n v="0"/>
    <n v="0"/>
    <n v="0"/>
    <n v="0"/>
  </r>
  <r>
    <s v="Anosy"/>
    <s v="MG51507270"/>
    <x v="0"/>
    <s v="Amboasary-Atsimo"/>
    <s v="Ifotaka"/>
    <n v="2"/>
    <n v="16"/>
    <s v="AA"/>
    <s v="Urgence_Resilience"/>
    <s v="Ancienne commune"/>
    <s v="ok"/>
    <s v="Urgence_Resilience"/>
    <s v="Ancienne commune"/>
    <x v="1"/>
    <m/>
    <s v="Amboasary-Atsimo_Ifotaka"/>
    <n v="28158.096060482811"/>
    <n v="5631.6192120965625"/>
    <n v="1402"/>
    <n v="24.895149107179382"/>
    <n v="4251.8725051329047"/>
    <n v="75.5"/>
    <n v="2849.8725051329047"/>
    <s v="Rajout d'enregistrement"/>
    <n v="4251.8725051329047"/>
    <n v="1689.4857636289685"/>
    <n v="1407.9048030241406"/>
    <n v="3097.3905666531091"/>
    <n v="510.22470061594856"/>
    <n v="127.55617515398714"/>
    <n v="4889.6533809028406"/>
    <n v="3438.103528984951"/>
    <n v="3487.6533809028406"/>
    <n v="116.25511269676136"/>
    <n v="12"/>
    <n v="3.73"/>
    <n v="2"/>
    <s v="Inkind"/>
    <n v="127.55617515398714"/>
    <n v="19.13342627309807"/>
    <n v="11.161165325973874"/>
    <n v="6.3778087576993574"/>
    <n v="25.51123503079743"/>
    <n v="12.755617515398715"/>
    <n v="382.66852546196139"/>
    <n v="57.400278819294215"/>
    <n v="33.483495977921621"/>
    <n v="19.133426273098074"/>
    <n v="76.533705092392296"/>
    <n v="38.266852546196148"/>
  </r>
  <r>
    <s v="Androy "/>
    <s v="MG53519250"/>
    <x v="0"/>
    <s v="Tsihombe"/>
    <s v="Imongy"/>
    <n v="1"/>
    <n v="2"/>
    <s v=" "/>
    <s v="Urgence"/>
    <s v="Ancienne commune"/>
    <s v="ok"/>
    <s v="Urgence"/>
    <s v="Ancienne commune"/>
    <x v="0"/>
    <m/>
    <s v="Tsihombe_Imongy"/>
    <n v="18126.863561514281"/>
    <n v="3625.3727123028561"/>
    <m/>
    <n v="0"/>
    <n v="2744.4071432132623"/>
    <n v="75.7"/>
    <n v="2744.4071432132623"/>
    <s v="Nouveau enrégistrement"/>
    <n v="2744.4071432132623"/>
    <n v="1087.6118136908569"/>
    <n v="906.34317807571415"/>
    <n v="1993.9549917665711"/>
    <n v="329.32885718559146"/>
    <n v="82.332214296397865"/>
    <n v="3156.0682146952518"/>
    <n v="2213.2900408608939"/>
    <n v="3156.0682146952518"/>
    <n v="105.20227382317506"/>
    <n v="11"/>
    <n v="3.56"/>
    <n v="2"/>
    <s v="Inkind"/>
    <n v="82.332214296397865"/>
    <n v="12.349832144459679"/>
    <n v="7.2040687509348125"/>
    <n v="4.1166107148198936"/>
    <n v="16.466442859279574"/>
    <n v="8.2332214296397872"/>
    <n v="246.99664288919359"/>
    <n v="37.049496433379034"/>
    <n v="21.612206252804437"/>
    <n v="12.349832144459681"/>
    <n v="49.399328577838723"/>
    <n v="24.699664288919362"/>
  </r>
  <r>
    <s v="Fitovinany"/>
    <s v="MG25213270"/>
    <x v="1"/>
    <s v="Vohipeno"/>
    <s v="Ivato"/>
    <n v="1"/>
    <n v="3"/>
    <s v="AA"/>
    <s v="Urgence"/>
    <s v="Ancienne commune"/>
    <s v="ok"/>
    <s v="Urgence"/>
    <s v="Ancienne commune"/>
    <x v="1"/>
    <m/>
    <s v="Vohipeno_Ivato"/>
    <n v="3676.9900346713807"/>
    <n v="735.39800693427617"/>
    <n v="1045"/>
    <n v="142.0999227828195"/>
    <n v="1045"/>
    <n v="142.0999227828195"/>
    <n v="0"/>
    <s v="MAJ : plainte et validation"/>
    <n v="1045"/>
    <n v="220.61940208028284"/>
    <n v="183.84950173356904"/>
    <n v="404.46890381385185"/>
    <n v="125.39999999999999"/>
    <n v="31.349999999999998"/>
    <n v="1201.75"/>
    <n v="448.96048323337556"/>
    <n v="156.75"/>
    <n v="5.2249999999999996"/>
    <n v="1"/>
    <n v="2.56"/>
    <n v="1"/>
    <s v="CBT + Mitigations"/>
    <m/>
    <m/>
    <m/>
    <m/>
    <m/>
    <m/>
    <n v="0"/>
    <n v="0"/>
    <n v="0"/>
    <n v="0"/>
    <n v="0"/>
    <n v="0"/>
  </r>
  <r>
    <s v="Androy "/>
    <s v="MG23210351"/>
    <x v="0"/>
    <s v="Antanimora Sud"/>
    <s v="Jafaro"/>
    <n v="1"/>
    <n v="3"/>
    <s v="Urg_sech"/>
    <s v="Urgence"/>
    <s v="Ancienne commune"/>
    <s v="ok"/>
    <s v="Urgence"/>
    <s v="Ancienne commune"/>
    <x v="1"/>
    <m/>
    <s v="Antanimora Sud_Jafaro"/>
    <n v="40065.230883150827"/>
    <n v="8013.0461766301651"/>
    <n v="5335.4"/>
    <n v="66.583916807575022"/>
    <n v="6049.8498633557747"/>
    <n v="75.5"/>
    <n v="714.44986335577505"/>
    <s v="Rajout d'enregistrement"/>
    <n v="6049.8498633557747"/>
    <n v="2403.9138529890497"/>
    <n v="2003.2615441575415"/>
    <n v="4407.1753971465914"/>
    <n v="725.98198360269294"/>
    <n v="181.49549590067323"/>
    <n v="6957.327342859141"/>
    <n v="4891.9646908327168"/>
    <n v="1621.9273428591414"/>
    <n v="54.064244761971381"/>
    <n v="6"/>
    <n v="3.61"/>
    <n v="2"/>
    <s v="Inkind"/>
    <n v="181.49549590067323"/>
    <n v="27.224324385100985"/>
    <n v="15.880855891308906"/>
    <n v="9.0747747950336617"/>
    <n v="36.299099180134647"/>
    <n v="18.149549590067323"/>
    <n v="544.48648770201976"/>
    <n v="81.672973155302955"/>
    <n v="47.64256767392672"/>
    <n v="27.224324385100985"/>
    <n v="108.89729754040394"/>
    <n v="54.44864877020197"/>
  </r>
  <r>
    <s v="Atsimo Andrefana"/>
    <s v="MG25213570"/>
    <x v="3"/>
    <s v="Betioky Atsimo"/>
    <s v="Lazarivo"/>
    <n v="2"/>
    <n v="10"/>
    <s v="Urg_sech"/>
    <s v="Urgence_Resilience"/>
    <s v="Ancienne commune"/>
    <s v="ok"/>
    <s v="Urgence_Resilience"/>
    <s v="Ancienne commune"/>
    <x v="1"/>
    <m/>
    <s v="Betioky Atsimo_Lazarivo"/>
    <n v="23286.926195679458"/>
    <n v="4657.3852391358914"/>
    <n v="2180"/>
    <n v="46.807379850855256"/>
    <n v="3516.3258555475977"/>
    <n v="75.5"/>
    <n v="1336.3258555475977"/>
    <s v="Rajout d'enregistrement"/>
    <n v="3516.3258555475977"/>
    <n v="1397.2155717407675"/>
    <n v="1164.3463097839729"/>
    <n v="2561.5618815247403"/>
    <n v="421.95910266571173"/>
    <n v="105.48977566642793"/>
    <n v="4043.7747338797371"/>
    <n v="2843.333688492462"/>
    <n v="1863.7747338797371"/>
    <n v="62.125824462657903"/>
    <n v="7"/>
    <n v="2.2400000000000002"/>
    <n v="1"/>
    <s v="CBT + Mitigations"/>
    <m/>
    <m/>
    <m/>
    <m/>
    <m/>
    <m/>
    <n v="0"/>
    <n v="0"/>
    <n v="0"/>
    <n v="0"/>
    <n v="0"/>
    <n v="0"/>
  </r>
  <r>
    <s v="Androy "/>
    <s v="MG23209090"/>
    <x v="0"/>
    <s v="Beloha"/>
    <s v="Mahaenegne"/>
    <n v="1"/>
    <n v="3"/>
    <s v=" "/>
    <s v="Urgence"/>
    <s v="Ancienne commune"/>
    <s v="ok"/>
    <s v="Urgence"/>
    <s v="Ancienne commune"/>
    <x v="0"/>
    <m/>
    <s v="Beloha_Mahaenegne"/>
    <n v="10076.434323313641"/>
    <n v="2015.286864662728"/>
    <m/>
    <n v="0"/>
    <n v="1525.5721565496851"/>
    <n v="75.7"/>
    <n v="1525.5721565496851"/>
    <s v="Nouveau enrégistrement"/>
    <n v="1525.5721565496851"/>
    <n v="604.58605939881841"/>
    <n v="503.82171616568206"/>
    <n v="1108.4077755645005"/>
    <n v="183.06865878596221"/>
    <n v="45.767164696490553"/>
    <n v="1754.4079800321379"/>
    <n v="1230.3326308765957"/>
    <n v="1754.4079800321379"/>
    <n v="58.480266001071264"/>
    <n v="6"/>
    <n v="3.61"/>
    <n v="2"/>
    <s v="Inkind"/>
    <n v="45.767164696490553"/>
    <n v="6.8650747044735825"/>
    <n v="4.0046269109429229"/>
    <n v="2.2883582348245279"/>
    <n v="9.1534329392981117"/>
    <n v="4.5767164696490559"/>
    <n v="137.30149408947165"/>
    <n v="20.595224113420748"/>
    <n v="12.013880732828769"/>
    <n v="6.8650747044735834"/>
    <n v="27.460298817894333"/>
    <n v="13.730149408947167"/>
  </r>
  <r>
    <s v="Anosy"/>
    <s v="MG51506170"/>
    <x v="0"/>
    <s v="Amboasary-Atsimo"/>
    <s v="Mahaly"/>
    <n v="2"/>
    <n v="9"/>
    <s v="Urg_sech"/>
    <s v="Urgence_Resilience"/>
    <s v="Ancienne commune"/>
    <s v="Nous ramenons en priorite  1 car c'est une commune vulnerable aussi bien conjoncturellement que structurelle car  deja les speculations sont deja limites en tubercules et mais en bonne periode et elle est toujours exposee a la secheresse d'une facon recu"/>
    <s v="Urgence_Resilience"/>
    <s v="Ancienne commune"/>
    <x v="0"/>
    <m/>
    <s v="Amboasary-Atsimo_Mahaly"/>
    <n v="20400.489936393496"/>
    <n v="4080.0979872786993"/>
    <n v="3767"/>
    <n v="92.326214020964571"/>
    <n v="3767"/>
    <n v="92.326214020964571"/>
    <n v="0"/>
    <s v="MAJ : plainte et validation"/>
    <n v="3767"/>
    <n v="1224.0293961836098"/>
    <n v="1020.0244968196748"/>
    <n v="2244.0538930032844"/>
    <n v="452.03999999999996"/>
    <n v="113.00999999999999"/>
    <n v="4332.05"/>
    <n v="2490.8998212336455"/>
    <n v="565.05000000000018"/>
    <n v="18.835000000000004"/>
    <n v="2"/>
    <n v="4.5199999999999996"/>
    <n v="3"/>
    <s v="CBT"/>
    <m/>
    <m/>
    <m/>
    <m/>
    <m/>
    <m/>
    <n v="0"/>
    <n v="0"/>
    <n v="0"/>
    <n v="0"/>
    <n v="0"/>
    <n v="0"/>
  </r>
  <r>
    <s v="Vatovavy "/>
    <s v="MG52516151"/>
    <x v="1"/>
    <s v="Mananjary"/>
    <s v="Mahatsara Iefaka"/>
    <n v="2"/>
    <n v="17"/>
    <s v="Urg_cycl"/>
    <s v="Urgence_Resilience"/>
    <s v="Ancienne commune"/>
    <s v=" "/>
    <s v="Urgence_Resilience"/>
    <s v="Ancienne commune"/>
    <x v="1"/>
    <m/>
    <s v="Mananjary_Mahatsara Iefaka"/>
    <n v="4370.1734136798796"/>
    <n v="874.03468273597593"/>
    <n v="719.96968318999996"/>
    <n v="82.373125164357447"/>
    <n v="719.96968318999996"/>
    <n v="82.373125164357447"/>
    <n v="0"/>
    <s v="MAJ : plainte et validation"/>
    <n v="719.96968318999996"/>
    <n v="262.21040482079275"/>
    <n v="218.50867068399398"/>
    <n v="480.7190755047867"/>
    <n v="86.396361982799988"/>
    <n v="21.599090495699997"/>
    <n v="827.9651356684999"/>
    <n v="533.59817381031326"/>
    <n v="107.99545247849994"/>
    <n v="3.5998484159499982"/>
    <n v="1"/>
    <n v="7.07"/>
    <n v="4"/>
    <s v="CBT"/>
    <m/>
    <m/>
    <m/>
    <m/>
    <m/>
    <m/>
    <n v="0"/>
    <n v="0"/>
    <n v="0"/>
    <n v="0"/>
    <n v="0"/>
    <n v="0"/>
  </r>
  <r>
    <s v="Atsimo Antsinanana"/>
    <s v="MG51506270"/>
    <x v="1"/>
    <s v="Vondrozo"/>
    <s v="Mahatsinjo"/>
    <n v="1"/>
    <n v="1"/>
    <s v="Urg_sech"/>
    <s v="Urgence"/>
    <s v="Ancienne commune"/>
    <s v="ok"/>
    <s v="Urgence"/>
    <s v="Ancienne commune"/>
    <x v="1"/>
    <m/>
    <s v="Vondrozo_Mahatsinjo"/>
    <n v="10081.624993775788"/>
    <n v="2016.3249987551576"/>
    <n v="1537.2898866999999"/>
    <n v="76.242167688695758"/>
    <n v="1537.2898866999999"/>
    <n v="76.242167688695758"/>
    <n v="0"/>
    <s v="MAJ : plainte et validation"/>
    <n v="1537.2898866999999"/>
    <n v="604.89749962654719"/>
    <n v="504.0812496887894"/>
    <n v="1108.9787493153367"/>
    <n v="184.47478640399999"/>
    <n v="46.118696600999996"/>
    <n v="1767.883369705"/>
    <n v="1230.9664117400237"/>
    <n v="230.59348300500005"/>
    <n v="7.6864494335000018"/>
    <n v="1"/>
    <n v="3.12"/>
    <n v="1"/>
    <s v="CBT + Mitigations"/>
    <m/>
    <m/>
    <m/>
    <m/>
    <m/>
    <m/>
    <n v="0"/>
    <n v="0"/>
    <n v="0"/>
    <n v="0"/>
    <n v="0"/>
    <n v="0"/>
  </r>
  <r>
    <s v="Vatovavy "/>
    <s v="MG23210171"/>
    <x v="1"/>
    <s v="Mananjary"/>
    <s v="Mahela"/>
    <n v="2"/>
    <n v="13"/>
    <s v="Urg_cycl"/>
    <s v="Urgence_Resilience"/>
    <s v="Ancienne commune"/>
    <s v="Zone FSRP où il y a 4 OP"/>
    <s v="Urgence_Resilience"/>
    <s v="Ancienne commune"/>
    <x v="1"/>
    <s v="Zone FSRP"/>
    <s v="Mananjary_Mahela"/>
    <n v="10560.852656658897"/>
    <n v="2112.1705313317793"/>
    <n v="1836.3148206000001"/>
    <n v="86.939704600563431"/>
    <n v="1836.3148206000001"/>
    <n v="86.939704600563431"/>
    <n v="0"/>
    <s v="MAJ : plainte et validation"/>
    <n v="1836.3148206000001"/>
    <n v="633.65115939953375"/>
    <n v="528.04263283294483"/>
    <n v="1161.6937922324787"/>
    <n v="220.35777847200001"/>
    <n v="55.089444618000002"/>
    <n v="2111.7620436900002"/>
    <n v="1289.4801093780513"/>
    <n v="275.44722309000008"/>
    <n v="9.1815741030000027"/>
    <n v="1"/>
    <n v="3.59"/>
    <n v="2"/>
    <s v="Inkind"/>
    <n v="55.089444618000002"/>
    <n v="8.2634166926999999"/>
    <n v="4.8203264040749998"/>
    <n v="2.7544722309000003"/>
    <n v="11.017888923600001"/>
    <n v="5.5089444618000005"/>
    <n v="165.26833385399999"/>
    <n v="24.790250078100001"/>
    <n v="14.460979212224998"/>
    <n v="8.2634166927000017"/>
    <n v="33.053666770800007"/>
    <n v="16.526833385400003"/>
  </r>
  <r>
    <s v="Fitovinany"/>
    <s v="MG52516092"/>
    <x v="1"/>
    <s v="Manakara Atsimo"/>
    <s v="Mangatsiotra"/>
    <n v="2"/>
    <n v="18"/>
    <s v="Urg_cycl"/>
    <s v="Urgence_Resilience"/>
    <s v="Ancienne commune"/>
    <s v=" "/>
    <s v="Urgence_Resilience"/>
    <s v="Ancienne commune"/>
    <x v="1"/>
    <m/>
    <s v="Manakara Atsimo_Mangatsiotra"/>
    <n v="5423.1405534194337"/>
    <n v="1084.6281106838867"/>
    <n v="677.43656840000006"/>
    <n v="62.457957868421687"/>
    <n v="818.8942235663344"/>
    <n v="75.5"/>
    <n v="141.45765516633435"/>
    <s v="Rajout d'enregistrement"/>
    <n v="818.8942235663344"/>
    <n v="325.388433205166"/>
    <n v="271.15702767097167"/>
    <n v="596.54546087613767"/>
    <n v="98.267306827960127"/>
    <n v="24.566826706990032"/>
    <n v="941.72835710128459"/>
    <n v="662.16546157251287"/>
    <n v="264.29178870128453"/>
    <n v="8.8097262900428177"/>
    <n v="1"/>
    <n v="4.38"/>
    <n v="3"/>
    <s v="CBT + Mitigations"/>
    <m/>
    <m/>
    <m/>
    <m/>
    <m/>
    <m/>
    <n v="0"/>
    <n v="0"/>
    <n v="0"/>
    <n v="0"/>
    <n v="0"/>
    <n v="0"/>
  </r>
  <r>
    <s v="Fitovinany"/>
    <s v="MG23212053"/>
    <x v="1"/>
    <s v="Manakara Atsimo"/>
    <s v="Manjarivo"/>
    <n v="2"/>
    <n v="20"/>
    <s v="Urg_cycl"/>
    <s v="Urgence_Resilience"/>
    <s v="Ancienne commune"/>
    <s v="Urg_Cycl"/>
    <s v="Urgence_Resilience"/>
    <s v="Ancienne commune"/>
    <x v="0"/>
    <m/>
    <s v="Manakara Atsimo_Manjarivo"/>
    <n v="8950.2206877862081"/>
    <n v="1790.0441375572416"/>
    <n v="1504.5376690999999"/>
    <n v="84.050311248366526"/>
    <n v="1504.5376690999999"/>
    <n v="84.050311248366526"/>
    <n v="0"/>
    <s v="MAJ : plainte et validation"/>
    <n v="1504.5376690999999"/>
    <n v="537.01324126717248"/>
    <n v="447.51103438931045"/>
    <n v="984.52427565648293"/>
    <n v="180.54452029199999"/>
    <n v="45.136130072999997"/>
    <n v="1730.2183194649999"/>
    <n v="1092.821945978696"/>
    <n v="225.68065036500002"/>
    <n v="7.5226883455000007"/>
    <n v="1"/>
    <n v="3.99"/>
    <n v="2"/>
    <s v="Inkind"/>
    <n v="45.136130072999997"/>
    <n v="6.7704195109499992"/>
    <n v="3.9494113813874994"/>
    <n v="2.25680650365"/>
    <n v="9.0272260146000001"/>
    <n v="4.5136130073"/>
    <n v="135.40839021899998"/>
    <n v="20.311258532849997"/>
    <n v="11.848234144162499"/>
    <n v="6.7704195109500001"/>
    <n v="27.0816780438"/>
    <n v="13.5408390219"/>
  </r>
  <r>
    <s v="Androy "/>
    <s v="MG23210370"/>
    <x v="0"/>
    <s v="Ambovombe-Androy"/>
    <s v="Maroalomainty"/>
    <n v="1"/>
    <n v="5"/>
    <s v="Res_SO3"/>
    <s v="Urgence"/>
    <s v="Ancienne commune"/>
    <s v="ok"/>
    <s v="Urgence"/>
    <s v="Ancienne commune"/>
    <x v="0"/>
    <m/>
    <s v="Ambovombe-Androy_Maroalomainty"/>
    <n v="16818.456406547753"/>
    <n v="3363.6912813095505"/>
    <n v="2517"/>
    <n v="74.828508013972169"/>
    <n v="2517"/>
    <n v="74.828508013972169"/>
    <n v="0"/>
    <s v="MAJ : plainte et validation"/>
    <n v="2517"/>
    <n v="1009.1073843928651"/>
    <n v="840.92282032738774"/>
    <n v="1850.0302047202529"/>
    <n v="302.03999999999996"/>
    <n v="75.509999999999991"/>
    <n v="2894.55"/>
    <n v="2053.5335272394805"/>
    <n v="377.55000000000018"/>
    <n v="12.585000000000006"/>
    <n v="2"/>
    <n v="4.55"/>
    <n v="3"/>
    <s v="CBT"/>
    <m/>
    <m/>
    <m/>
    <m/>
    <m/>
    <m/>
    <n v="0"/>
    <n v="0"/>
    <n v="0"/>
    <n v="0"/>
    <n v="0"/>
    <n v="0"/>
  </r>
  <r>
    <s v="Atsimo Andrefana"/>
    <s v="MG25217150"/>
    <x v="3"/>
    <s v="Betioky Atsimo"/>
    <s v="Maroarivo Ankazomanga"/>
    <n v="2"/>
    <n v="12"/>
    <s v="Urg_sech"/>
    <s v="Urgence_Resilience"/>
    <s v="Ancienne commune"/>
    <s v="ok"/>
    <s v="Urgence_Resilience"/>
    <s v="Ancienne commune"/>
    <x v="1"/>
    <m/>
    <s v="Betioky Atsimo_Maroarivo Ankazomanga"/>
    <n v="10582.870419620664"/>
    <n v="2116.5740839241325"/>
    <n v="1290.8666667"/>
    <n v="60.988494402555034"/>
    <n v="1598.01343336272"/>
    <n v="75.5"/>
    <n v="307.14676666271998"/>
    <s v="Rajout d'enregistrement"/>
    <n v="1598.01343336272"/>
    <n v="634.97222517723981"/>
    <n v="529.14352098103325"/>
    <n v="1164.1157461582729"/>
    <n v="191.76161200352638"/>
    <n v="47.940403000881595"/>
    <n v="1837.7154483671279"/>
    <n v="1292.1684782356829"/>
    <n v="546.84878166712792"/>
    <n v="18.228292722237597"/>
    <n v="2"/>
    <n v="4.72"/>
    <n v="3"/>
    <s v="CBT"/>
    <m/>
    <m/>
    <m/>
    <m/>
    <m/>
    <m/>
    <n v="0"/>
    <n v="0"/>
    <n v="0"/>
    <n v="0"/>
    <n v="0"/>
    <n v="0"/>
  </r>
  <r>
    <s v="Anosy"/>
    <s v="MG25222032"/>
    <x v="0"/>
    <s v="Amboasary-Atsimo"/>
    <s v="Ranobe"/>
    <n v="1"/>
    <n v="5"/>
    <s v="Urg_sech"/>
    <s v="Urgence"/>
    <s v="Ancienne commune"/>
    <s v="ok"/>
    <s v="Urgence"/>
    <s v="Ancienne commune"/>
    <x v="0"/>
    <m/>
    <s v="Amboasary-Atsimo_Ranobe"/>
    <n v="8321.5737132835366"/>
    <n v="1664.3147426567073"/>
    <n v="1692.4"/>
    <n v="101.68749675908421"/>
    <n v="1692.4"/>
    <n v="101.68749675908421"/>
    <n v="0"/>
    <s v="MAJ : plainte et validation"/>
    <n v="1692.4"/>
    <n v="499.2944227970122"/>
    <n v="416.07868566417687"/>
    <n v="915.37310846118908"/>
    <n v="203.08799999999999"/>
    <n v="50.771999999999998"/>
    <n v="1946.26"/>
    <n v="1016.0641503919198"/>
    <n v="253.8599999999999"/>
    <n v="8.4619999999999962"/>
    <n v="1"/>
    <n v="4.0999999999999996"/>
    <n v="3"/>
    <s v="CBT + Mitigations"/>
    <m/>
    <m/>
    <m/>
    <m/>
    <m/>
    <m/>
    <n v="0"/>
    <n v="0"/>
    <n v="0"/>
    <n v="0"/>
    <n v="0"/>
    <n v="0"/>
  </r>
  <r>
    <s v="Atsimo Andrefana"/>
    <s v="MG23209270"/>
    <x v="3"/>
    <s v="Betioky Atsimo"/>
    <s v="Sakamasay"/>
    <n v="1"/>
    <n v="6"/>
    <s v=" "/>
    <s v="Urgence"/>
    <s v="Ancienne commune"/>
    <s v="ok"/>
    <s v="Urgence"/>
    <s v="Ancienne commune"/>
    <x v="0"/>
    <m/>
    <s v="Betioky Atsimo_Sakamasay"/>
    <n v="7798.1741847797875"/>
    <n v="1559.6348369559576"/>
    <m/>
    <n v="0"/>
    <n v="1180.64357157566"/>
    <n v="75.700000000000017"/>
    <n v="1180.64357157566"/>
    <s v="Nouveau enrégistrement"/>
    <n v="1180.64357157566"/>
    <n v="467.89045108678721"/>
    <n v="389.90870923898939"/>
    <n v="857.7991603257766"/>
    <n v="141.67722858907919"/>
    <n v="35.419307147269798"/>
    <n v="1357.7401073120091"/>
    <n v="952.15706796161203"/>
    <n v="1357.7401073120091"/>
    <n v="45.258003577066965"/>
    <n v="5"/>
    <n v="3.61"/>
    <n v="2"/>
    <s v="Inkind"/>
    <n v="35.419307147269798"/>
    <n v="5.312896072090469"/>
    <n v="3.0991893753861071"/>
    <n v="1.77096535736349"/>
    <n v="7.0838614294539601"/>
    <n v="3.5419307147269801"/>
    <n v="106.2579214418094"/>
    <n v="15.938688216271407"/>
    <n v="9.2975681261583212"/>
    <n v="5.3128960720904699"/>
    <n v="21.25158428836188"/>
    <n v="10.62579214418094"/>
  </r>
  <r>
    <s v="Atsimo Andrefana"/>
    <s v="MG23209050"/>
    <x v="3"/>
    <s v="Betioky Atsimo"/>
    <s v="Salobe"/>
    <n v="1"/>
    <n v="4"/>
    <s v="Urg_sech"/>
    <s v="Urgence"/>
    <s v="Ancienne commune"/>
    <s v="ok"/>
    <s v="Urgence"/>
    <s v="Ancienne commune"/>
    <x v="0"/>
    <m/>
    <s v="Betioky Atsimo_Salobe"/>
    <n v="9117.5104873952896"/>
    <n v="1823.502097479058"/>
    <n v="889.33333332999996"/>
    <n v="48.770622998431378"/>
    <n v="1376.7440835966888"/>
    <n v="75.5"/>
    <n v="487.41075026668886"/>
    <s v="Rajout d'enregistrement"/>
    <n v="1376.7440835966888"/>
    <n v="547.05062924371737"/>
    <n v="455.87552436976449"/>
    <n v="1002.9261536134818"/>
    <n v="165.20929003160265"/>
    <n v="41.302322507900662"/>
    <n v="1583.2556961361922"/>
    <n v="1113.2480305109648"/>
    <n v="693.92236280619227"/>
    <n v="23.130745426873077"/>
    <n v="3"/>
    <n v="3.66"/>
    <n v="2"/>
    <s v="Inkind"/>
    <n v="41.302322507900662"/>
    <n v="6.1953483761850991"/>
    <n v="3.6139532194413078"/>
    <n v="2.0651161253950332"/>
    <n v="8.2604645015801328"/>
    <n v="4.1302322507900664"/>
    <n v="123.90696752370198"/>
    <n v="18.586045128555298"/>
    <n v="10.841859658323923"/>
    <n v="6.1953483761851"/>
    <n v="24.7813935047404"/>
    <n v="12.3906967523702"/>
  </r>
  <r>
    <s v="Fitovinany"/>
    <s v="MG25213390"/>
    <x v="1"/>
    <s v="Vohipeno"/>
    <s v="Savana"/>
    <n v="1"/>
    <n v="2"/>
    <s v="Urg_cycl"/>
    <s v="Urgence"/>
    <s v="Ancienne commune"/>
    <s v="ok"/>
    <s v="Urgence"/>
    <s v="Ancienne commune"/>
    <x v="1"/>
    <m/>
    <s v="Vohipeno_Savana"/>
    <n v="4911.0483339788989"/>
    <n v="982.20966679577975"/>
    <n v="602.35974849000002"/>
    <n v="61.327002660750857"/>
    <n v="741.56829843081368"/>
    <n v="75.5"/>
    <n v="139.20854994081367"/>
    <s v="Rajout d'enregistrement"/>
    <n v="741.56829843081368"/>
    <n v="294.66290003873394"/>
    <n v="245.55241669894497"/>
    <n v="540.2153167376789"/>
    <n v="88.988195811697636"/>
    <n v="22.247048952924409"/>
    <n v="852.80354319543574"/>
    <n v="599.63900157882358"/>
    <n v="250.44379470543572"/>
    <n v="8.3481264901811905"/>
    <n v="1"/>
    <n v="3.54"/>
    <n v="2"/>
    <s v="Inkind"/>
    <n v="22.247048952924409"/>
    <n v="3.3370573429386612"/>
    <n v="1.9466167833808856"/>
    <n v="1.1123524476462205"/>
    <n v="4.4494097905848822"/>
    <n v="2.2247048952924411"/>
    <n v="66.74114685877322"/>
    <n v="10.011172028815984"/>
    <n v="5.8398503501426564"/>
    <n v="3.3370573429386616"/>
    <n v="13.348229371754647"/>
    <n v="6.6741146858773233"/>
  </r>
  <r>
    <s v="Androy "/>
    <s v="MG25217051"/>
    <x v="0"/>
    <s v="Ambovombe-Androy"/>
    <s v="Sihanamaro"/>
    <n v="1"/>
    <n v="6"/>
    <s v="Res_SO3"/>
    <s v="Urgence"/>
    <s v="Ancienne commune"/>
    <s v="ok"/>
    <s v="Urgence"/>
    <s v="Ancienne commune"/>
    <x v="1"/>
    <m/>
    <s v="Ambovombe-Androy_Sihanamaro"/>
    <n v="30813.576694486415"/>
    <n v="6162.7153388972829"/>
    <n v="1960"/>
    <n v="31.80416248709469"/>
    <n v="4652.8500808674489"/>
    <n v="75.5"/>
    <n v="2692.8500808674489"/>
    <s v="Rajout d'enregistrement"/>
    <n v="4652.8500808674489"/>
    <n v="1848.8146016691849"/>
    <n v="1540.678834724321"/>
    <n v="3389.4934363935058"/>
    <n v="558.34200970409381"/>
    <n v="139.58550242602345"/>
    <n v="5350.777592997566"/>
    <n v="3762.3377143967914"/>
    <n v="3390.777592997566"/>
    <n v="113.02591976658553"/>
    <n v="12"/>
    <n v="4.78"/>
    <n v="3"/>
    <s v="CBT"/>
    <m/>
    <m/>
    <m/>
    <m/>
    <m/>
    <m/>
    <n v="0"/>
    <n v="0"/>
    <n v="0"/>
    <n v="0"/>
    <n v="0"/>
    <n v="0"/>
  </r>
  <r>
    <s v="Atsimo Andrefana"/>
    <s v="MG23209070"/>
    <x v="3"/>
    <s v="Betioky Atsimo"/>
    <s v="Soamanonga"/>
    <n v="1"/>
    <n v="5"/>
    <s v=" "/>
    <s v="Urgence"/>
    <s v="Ancienne commune"/>
    <s v="ok"/>
    <s v="Urgence"/>
    <s v="Ancienne commune"/>
    <x v="0"/>
    <m/>
    <s v="Betioky Atsimo_Soamanonga"/>
    <n v="22055.972616248877"/>
    <n v="4411.1945232497756"/>
    <m/>
    <n v="0"/>
    <n v="3339.2742541000798"/>
    <n v="75.7"/>
    <n v="3339.2742541000798"/>
    <s v="Nouveau enrégistrement"/>
    <n v="3339.2742541000798"/>
    <n v="1323.3583569749326"/>
    <n v="1102.7986308124439"/>
    <n v="2426.1569877873762"/>
    <n v="400.71291049200954"/>
    <n v="100.17822762300239"/>
    <n v="3840.1653922150917"/>
    <n v="2693.0342564439875"/>
    <n v="3840.1653922150917"/>
    <n v="128.0055130738364"/>
    <n v="13"/>
    <n v="3.88"/>
    <n v="2"/>
    <s v="Inkind"/>
    <n v="100.17822762300239"/>
    <n v="15.026734143450359"/>
    <n v="8.7655949170127094"/>
    <n v="5.0089113811501198"/>
    <n v="20.035645524600479"/>
    <n v="10.01782276230024"/>
    <n v="300.53468286900716"/>
    <n v="45.080202430351079"/>
    <n v="26.296784751038128"/>
    <n v="15.026734143450359"/>
    <n v="60.106936573801434"/>
    <n v="30.053468286900717"/>
  </r>
  <r>
    <s v="Fitovinany"/>
    <s v="MG23212070"/>
    <x v="1"/>
    <s v="Manakara Atsimo"/>
    <s v="Sorombo"/>
    <n v="2"/>
    <n v="15"/>
    <s v="Urg_cycl"/>
    <s v="Urgence_Resilience"/>
    <s v="Ancienne commune"/>
    <s v=" "/>
    <s v="Urgence_Resilience"/>
    <s v="Ancienne commune"/>
    <x v="1"/>
    <m/>
    <s v="Manakara Atsimo_Sorombo"/>
    <n v="11712.160690998273"/>
    <n v="2342.4321381996547"/>
    <n v="2042.8042617000001"/>
    <n v="87.208684870164802"/>
    <n v="2042.8042617000001"/>
    <n v="87.208684870164802"/>
    <n v="0"/>
    <s v="MAJ : plainte et validation"/>
    <n v="2042.8042617000001"/>
    <n v="702.72964145989636"/>
    <n v="585.60803454991367"/>
    <n v="1288.3376760098099"/>
    <n v="245.136511404"/>
    <n v="61.284127851000001"/>
    <n v="2349.2249009550001"/>
    <n v="1430.054820370889"/>
    <n v="306.42063925499997"/>
    <n v="10.2140213085"/>
    <n v="2"/>
    <n v="3.77"/>
    <n v="2"/>
    <s v="Inkind"/>
    <n v="61.284127851000001"/>
    <n v="9.1926191776500001"/>
    <n v="5.3623611869624996"/>
    <n v="3.06420639255"/>
    <n v="12.2568255702"/>
    <n v="6.1284127851000001"/>
    <n v="183.85238355300001"/>
    <n v="27.577857532949999"/>
    <n v="16.0870835608875"/>
    <n v="9.1926191776500001"/>
    <n v="36.770476710600001"/>
    <n v="18.3852383553"/>
  </r>
  <r>
    <s v="Atsimo Andrefana"/>
    <s v="MG25213552"/>
    <x v="3"/>
    <s v="Betioky Atsimo"/>
    <s v="Tanambao Haut"/>
    <n v="2"/>
    <n v="19"/>
    <s v="Urg_sech"/>
    <s v="Urgence_Resilience"/>
    <s v="Ancienne commune"/>
    <s v="ok"/>
    <s v="Urgence_Resilience"/>
    <s v="Ancienne commune"/>
    <x v="0"/>
    <m/>
    <s v="Betioky Atsimo_Tanambao Haut"/>
    <n v="10554.690420924022"/>
    <n v="2110.9380841848042"/>
    <n v="1152.8"/>
    <n v="54.610791696677587"/>
    <n v="1593.7582535595272"/>
    <n v="75.5"/>
    <n v="440.95825355952729"/>
    <s v="Rajout d'enregistrement"/>
    <n v="1593.7582535595272"/>
    <n v="633.28142525544126"/>
    <n v="527.73452104620117"/>
    <n v="1161.0159463016425"/>
    <n v="191.25099042714325"/>
    <n v="47.812747606785813"/>
    <n v="1832.8219915934562"/>
    <n v="1288.7277003948232"/>
    <n v="680.02199159345628"/>
    <n v="22.667399719781876"/>
    <n v="3"/>
    <n v="3.81"/>
    <n v="2"/>
    <s v="Inkind"/>
    <n v="47.812747606785813"/>
    <n v="7.1719121410178719"/>
    <n v="4.1836154155937582"/>
    <n v="2.3906373803392911"/>
    <n v="9.5625495213571643"/>
    <n v="4.7812747606785821"/>
    <n v="143.43824282035743"/>
    <n v="21.515736423053617"/>
    <n v="12.550846246781274"/>
    <n v="7.1719121410178737"/>
    <n v="28.687648564071495"/>
    <n v="14.343824282035747"/>
  </r>
  <r>
    <s v="Atsimo Antsinanana"/>
    <s v="MG51506311"/>
    <x v="1"/>
    <s v="Vangaindrano"/>
    <s v="Vatanato"/>
    <n v="1"/>
    <n v="2"/>
    <s v="Urg_cycl"/>
    <s v="Urgence"/>
    <s v="Ancienne commune"/>
    <s v="ok"/>
    <s v="Urgence"/>
    <s v="Ancienne commune"/>
    <x v="0"/>
    <m/>
    <s v="Vangaindrano_Vatanato"/>
    <n v="7310.3301599102997"/>
    <n v="1462.0660319820599"/>
    <n v="1089.8101988000001"/>
    <n v="74.539054663802787"/>
    <n v="1089.8101988000001"/>
    <n v="74.539054663802787"/>
    <n v="0"/>
    <s v="MAJ : plainte et validation"/>
    <n v="1089.8101988000001"/>
    <n v="438.61980959461795"/>
    <n v="365.51650799551498"/>
    <n v="804.13631759013288"/>
    <n v="130.77722385600001"/>
    <n v="32.694305964000002"/>
    <n v="1253.2817286200002"/>
    <n v="892.59131252504744"/>
    <n v="163.47152982000011"/>
    <n v="5.4490509940000038"/>
    <n v="1"/>
    <n v="3.63"/>
    <n v="2"/>
    <s v="CBT + Mitigations"/>
    <m/>
    <m/>
    <m/>
    <m/>
    <m/>
    <m/>
    <n v="0"/>
    <n v="0"/>
    <n v="0"/>
    <n v="0"/>
    <n v="0"/>
    <n v="0"/>
  </r>
  <r>
    <s v="Androy "/>
    <s v="MG23210250"/>
    <x v="0"/>
    <s v="Bekily"/>
    <s v="Beteza"/>
    <n v="1"/>
    <n v="1"/>
    <m/>
    <s v="Urgence"/>
    <s v="Urgence"/>
    <m/>
    <s v="Urgence"/>
    <s v="Ancienne commune"/>
    <x v="1"/>
    <m/>
    <s v="Bekily_Beteza"/>
    <n v="17678.528242679597"/>
    <n v="3535.7056485359194"/>
    <m/>
    <n v="0"/>
    <n v="2669.4577646446191"/>
    <n v="75.5"/>
    <n v="2669.4577646446191"/>
    <s v="Nouveau enrégistrement"/>
    <n v="2669.4577646446191"/>
    <n v="1060.7116945607759"/>
    <n v="883.92641213397985"/>
    <n v="1944.6381066947556"/>
    <n v="320.3349317573543"/>
    <n v="80.083732939338574"/>
    <n v="3069.8764293413119"/>
    <n v="2158.5482984311789"/>
    <n v="3069.8764293413119"/>
    <n v="102.32921431137706"/>
    <n v="11"/>
    <m/>
    <m/>
    <s v="CBT + Mitigations"/>
    <m/>
    <m/>
    <m/>
    <m/>
    <m/>
    <m/>
    <m/>
    <m/>
    <m/>
    <m/>
    <m/>
    <m/>
  </r>
  <r>
    <s v="Androy "/>
    <s v="MG23210452"/>
    <x v="0"/>
    <s v="Bekily"/>
    <s v="Mikaikarivo ambatomainty"/>
    <n v="1"/>
    <n v="6"/>
    <m/>
    <s v="Urgence"/>
    <s v="Urgence"/>
    <m/>
    <s v="Urgence"/>
    <s v="Ancienne commune"/>
    <x v="1"/>
    <m/>
    <s v="Bekily_Mikaikarivo ambatomainty"/>
    <n v="6407"/>
    <n v="1281.4000000000001"/>
    <m/>
    <n v="0"/>
    <n v="967.45700000000011"/>
    <n v="75.5"/>
    <n v="967.45700000000011"/>
    <s v="Nouveau enrégistrement"/>
    <n v="967.45700000000011"/>
    <n v="384.41999999999996"/>
    <n v="320.35000000000002"/>
    <n v="704.77"/>
    <n v="116.09484"/>
    <n v="29.023710000000001"/>
    <n v="1112.57555"/>
    <n v="782.29469999999992"/>
    <n v="1112.57555"/>
    <n v="37.08585166666667"/>
    <n v="4"/>
    <m/>
    <m/>
    <s v="Inkind"/>
    <n v="29.023710000000001"/>
    <n v="4.3535564999999998"/>
    <n v="2.5395746250000002"/>
    <n v="1.4511855000000002"/>
    <n v="5.804742000000001"/>
    <n v="2.9023710000000005"/>
    <n v="87.071130000000011"/>
    <n v="13.060669499999999"/>
    <n v="7.6187238750000006"/>
    <n v="4.3535565000000007"/>
    <n v="17.414226000000003"/>
    <n v="8.7071130000000014"/>
  </r>
  <r>
    <s v="Androy "/>
    <s v="MG23210531"/>
    <x v="0"/>
    <s v="Bekily"/>
    <s v="Morafeno Bekily"/>
    <n v="1"/>
    <n v="4"/>
    <m/>
    <s v="Urgence"/>
    <s v="Urgence"/>
    <m/>
    <s v="Urgence"/>
    <s v="Ancienne commune"/>
    <x v="1"/>
    <m/>
    <s v="Bekily_Morafeno Bekily"/>
    <n v="29000.628918324008"/>
    <n v="5800.1257836648019"/>
    <m/>
    <n v="0"/>
    <n v="4379.0949666669258"/>
    <n v="75.5"/>
    <n v="4379.0949666669258"/>
    <s v="Nouveau enrégistrement"/>
    <n v="4379.0949666669258"/>
    <n v="1740.0377350994404"/>
    <n v="1450.0314459162005"/>
    <n v="3190.0691810156409"/>
    <n v="525.49139600003105"/>
    <n v="131.37284900000776"/>
    <n v="5035.9592116669646"/>
    <n v="3540.9767909273614"/>
    <n v="5035.9592116669646"/>
    <n v="167.86530705556549"/>
    <n v="17"/>
    <m/>
    <m/>
    <s v="CBT"/>
    <m/>
    <m/>
    <m/>
    <m/>
    <m/>
    <m/>
    <m/>
    <m/>
    <m/>
    <m/>
    <m/>
    <m/>
  </r>
  <r>
    <s v="Androy "/>
    <s v="MG23210472"/>
    <x v="0"/>
    <s v="Bekily"/>
    <s v="Tsirandrany"/>
    <n v="1"/>
    <n v="5"/>
    <m/>
    <s v="Urgence"/>
    <s v="Urgence"/>
    <m/>
    <s v="Urgence"/>
    <s v="Ancienne commune"/>
    <x v="1"/>
    <m/>
    <s v="Bekily_Tsirandrany"/>
    <n v="5421.8510277733794"/>
    <n v="1084.370205554676"/>
    <m/>
    <n v="0"/>
    <n v="818.6995051937804"/>
    <n v="75.5"/>
    <n v="818.6995051937804"/>
    <s v="Nouveau enrégistrement"/>
    <n v="818.6995051937804"/>
    <n v="325.31106166640274"/>
    <n v="271.09255138866899"/>
    <n v="596.40361305507167"/>
    <n v="98.24394062325365"/>
    <n v="24.560985155813412"/>
    <n v="941.50443097284744"/>
    <n v="662.00801049112954"/>
    <n v="941.50443097284744"/>
    <n v="31.383481032428246"/>
    <n v="4"/>
    <m/>
    <m/>
    <s v="Inkind"/>
    <n v="24.560985155813412"/>
    <n v="3.6841477733720116"/>
    <n v="2.1490862011336733"/>
    <n v="1.2280492577906705"/>
    <n v="4.9121970311626821"/>
    <n v="2.4560985155813411"/>
    <n v="73.682955467440237"/>
    <n v="11.052443320116035"/>
    <n v="6.4472586034010195"/>
    <n v="3.6841477733720116"/>
    <n v="14.736591093488046"/>
    <n v="7.368295546744023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Androy "/>
    <s v="MG23210390"/>
    <x v="0"/>
    <s v="Bekily"/>
    <s v="Ambahita"/>
    <n v="1"/>
    <n v="2"/>
    <s v="Urg_sech"/>
    <s v="Urgence"/>
    <s v="Ancienne commune"/>
    <s v="Urgence"/>
    <s v="Urgence"/>
    <s v="Ancienne commune"/>
    <s v="Urgence"/>
    <m/>
    <s v="Bekily_Ambahita"/>
    <n v="29541.768341057414"/>
    <n v="5908.3536682114827"/>
    <n v="3640.6727273000001"/>
    <n v="61.61907244801187"/>
    <n v="4460.8070194996699"/>
    <n v="75.500000000000014"/>
    <n v="820.13429219966974"/>
    <s v="Rajout d'enregistrement"/>
    <n v="4460.8070194996699"/>
    <n v="1772.5061004634447"/>
    <n v="1477.0884170528707"/>
    <n v="3249.5945175163151"/>
    <n v="535.29684233996034"/>
    <n v="133.82421058499008"/>
    <n v="5129.928072424621"/>
    <n v="3607.0499144431096"/>
    <n v="1489.2553451246208"/>
    <n v="49.641844837487362"/>
    <n v="5"/>
    <n v="3.57"/>
    <n v="2"/>
    <s v="Inkind"/>
    <n v="133.82421058499008"/>
    <n v="20.073631587748512"/>
    <n v="11.709618426186632"/>
    <n v="6.6912105292495045"/>
    <n v="26.764842116998018"/>
    <n v="13.382421058499009"/>
    <n v="401.47263175497028"/>
    <n v="60.220894763245539"/>
    <n v="35.128855278559897"/>
    <n v="20.073631587748515"/>
    <n v="80.294526350994062"/>
    <n v="40.147263175497031"/>
  </r>
  <r>
    <s v="Atsimo Antsinanana"/>
    <s v="MG51506330a"/>
    <x v="1"/>
    <s v="Farafangana"/>
    <s v="Ambalavato Nord"/>
    <n v="1"/>
    <n v="2"/>
    <s v=" "/>
    <s v="Urgence"/>
    <s v="Ancienne commune"/>
    <s v="ok"/>
    <s v="Urgence"/>
    <s v="Ancienne commune"/>
    <s v="Convergence"/>
    <m/>
    <s v="Farafangana_Ambalavato Nord"/>
    <n v="17251.150335337265"/>
    <n v="3450.2300670674531"/>
    <m/>
    <n v="0"/>
    <n v="2611.824160770062"/>
    <n v="75.7"/>
    <n v="2611.824160770062"/>
    <s v="Nouveau enrégistrement"/>
    <n v="2611.824160770062"/>
    <n v="1035.0690201202358"/>
    <n v="862.55751676686327"/>
    <n v="1897.6265368870991"/>
    <n v="313.41889929240745"/>
    <n v="78.354724823101861"/>
    <n v="3003.5977848855714"/>
    <n v="2106.36545594468"/>
    <n v="3003.5977848855714"/>
    <n v="100.11992616285238"/>
    <n v="11"/>
    <n v="4.55"/>
    <n v="3"/>
    <s v="CBT"/>
    <m/>
    <m/>
    <m/>
    <m/>
    <m/>
    <m/>
    <n v="0"/>
    <n v="0"/>
    <n v="0"/>
    <n v="0"/>
    <n v="0"/>
    <n v="0"/>
  </r>
  <r>
    <s v="Androy "/>
    <s v="MG25214212"/>
    <x v="0"/>
    <s v="Ambovombe-Androy"/>
    <s v="Ambanisarika"/>
    <n v="1"/>
    <n v="2"/>
    <s v="AA"/>
    <s v="Urgence"/>
    <s v="Ancienne commune"/>
    <s v="ok"/>
    <s v="Urgence"/>
    <s v="Ancienne commune"/>
    <s v="Convergence"/>
    <m/>
    <s v="Ambovombe-Androy_Ambanisarika"/>
    <n v="16589.713896938221"/>
    <n v="3317.9427793876444"/>
    <n v="944"/>
    <n v="28.45136467887561"/>
    <n v="2505.0467984376714"/>
    <n v="75.5"/>
    <n v="1561.0467984376714"/>
    <s v="Rajout d'enregistrement"/>
    <n v="2505.0467984376714"/>
    <n v="995.38283381629321"/>
    <n v="829.48569484691109"/>
    <n v="1824.8685286632044"/>
    <n v="300.60561581252057"/>
    <n v="75.151403953130142"/>
    <n v="2880.8038182033224"/>
    <n v="2025.604066816157"/>
    <n v="1936.8038182033224"/>
    <n v="64.560127273444081"/>
    <n v="7"/>
    <n v="4.3099999999999996"/>
    <n v="3"/>
    <s v="Inkind"/>
    <n v="75.151403953130142"/>
    <n v="11.272710592969521"/>
    <n v="6.5757478458988867"/>
    <n v="3.7575701976565075"/>
    <n v="15.03028079062603"/>
    <n v="7.5151403953130149"/>
    <n v="225.45421185939043"/>
    <n v="33.818131778908565"/>
    <n v="19.727243537696658"/>
    <n v="11.272710592969522"/>
    <n v="45.09084237187809"/>
    <n v="22.545421185939045"/>
  </r>
  <r>
    <s v="Atsimo Antsinanana"/>
    <s v="MG53519110"/>
    <x v="1"/>
    <s v="Vangaindrano"/>
    <s v="Ambatolava"/>
    <n v="2"/>
    <n v="10"/>
    <s v="Urg_cycl"/>
    <s v="Urgence_Resilience"/>
    <s v="Ancienne commune"/>
    <s v=" "/>
    <s v="Urgence_Resilience"/>
    <s v="Ancienne commune"/>
    <s v="Urgence"/>
    <m/>
    <s v="Vangaindrano_Ambatolava"/>
    <n v="8313.8845015964616"/>
    <n v="1662.7769003192923"/>
    <n v="1333.1354768000001"/>
    <n v="80.175246393187606"/>
    <n v="1333.1354768000001"/>
    <n v="80.175246393187606"/>
    <n v="0"/>
    <s v="MAJ : plainte et validation"/>
    <n v="1333.1354768000001"/>
    <n v="498.83307009578766"/>
    <n v="415.69422507982313"/>
    <n v="914.52729517561079"/>
    <n v="159.97625721599999"/>
    <n v="39.994064303999998"/>
    <n v="1533.1057983200001"/>
    <n v="1015.125297644928"/>
    <n v="199.97032151999997"/>
    <n v="6.6656773839999994"/>
    <n v="1"/>
    <n v="3.73"/>
    <n v="2"/>
    <s v="Inkind"/>
    <n v="39.994064303999998"/>
    <n v="5.9991096455999999"/>
    <n v="3.4994806266"/>
    <n v="1.9997032152000003"/>
    <n v="7.9988128608000011"/>
    <n v="3.9994064304000005"/>
    <n v="119.98219291199999"/>
    <n v="17.997328936799999"/>
    <n v="10.4984418798"/>
    <n v="5.9991096456000008"/>
    <n v="23.996438582400003"/>
    <n v="11.998219291200002"/>
  </r>
  <r>
    <s v="Androy "/>
    <s v="MG51520111"/>
    <x v="0"/>
    <s v="Beloha"/>
    <s v="Ambatotsivala"/>
    <n v="1"/>
    <n v="2"/>
    <s v=" "/>
    <s v="Urgence"/>
    <s v="Ancienne commune"/>
    <s v="ok"/>
    <s v="Urgence"/>
    <s v="Ancienne commune"/>
    <s v="Convergence"/>
    <m/>
    <s v="Beloha_Ambatotsivala"/>
    <n v="10526.076742203237"/>
    <n v="2105.2153484406472"/>
    <m/>
    <n v="0"/>
    <n v="1593.6480187695699"/>
    <n v="75.7"/>
    <n v="1593.6480187695699"/>
    <s v="Nouveau enrégistrement"/>
    <n v="1593.6480187695699"/>
    <n v="631.56460453219415"/>
    <n v="526.30383711016191"/>
    <n v="1157.8684416423562"/>
    <n v="191.23776225234838"/>
    <n v="47.809440563087094"/>
    <n v="1832.6952215850054"/>
    <n v="1285.2339702230154"/>
    <n v="1832.6952215850054"/>
    <n v="61.089840719500181"/>
    <n v="7"/>
    <n v="5.03"/>
    <n v="4"/>
    <s v="CBT"/>
    <m/>
    <m/>
    <m/>
    <m/>
    <m/>
    <m/>
    <n v="0"/>
    <n v="0"/>
    <n v="0"/>
    <n v="0"/>
    <n v="0"/>
    <n v="0"/>
  </r>
  <r>
    <s v="Vatovavy "/>
    <s v="MG52516033"/>
    <x v="1"/>
    <s v="Mananjary"/>
    <s v="Ambohitsara Est"/>
    <n v="2"/>
    <n v="16"/>
    <s v="Urg_cycl"/>
    <s v="Urgence_Resilience"/>
    <s v="Ancienne commune"/>
    <s v=" "/>
    <s v="Urgence_Resilience"/>
    <s v="Ancienne commune"/>
    <s v="Convergence"/>
    <m/>
    <s v="Mananjary_Ambohitsara Est"/>
    <n v="7650.2020323446632"/>
    <n v="1530.0404064689326"/>
    <n v="1145.039597"/>
    <n v="74.83721293626175"/>
    <n v="1145.039597"/>
    <n v="74.83721293626175"/>
    <n v="0"/>
    <s v="MAJ : plainte et validation"/>
    <n v="1145.039597"/>
    <n v="459.01212194067978"/>
    <n v="382.5101016172332"/>
    <n v="841.52222355791298"/>
    <n v="137.40475164"/>
    <n v="34.35118791"/>
    <n v="1316.79553655"/>
    <n v="934.0896681492834"/>
    <n v="171.75593954999999"/>
    <n v="5.7251979849999994"/>
    <n v="1"/>
    <n v="4.32"/>
    <n v="3"/>
    <s v="CBT + Mitigations"/>
    <m/>
    <m/>
    <m/>
    <m/>
    <m/>
    <m/>
    <n v="0"/>
    <n v="0"/>
    <n v="0"/>
    <n v="0"/>
    <n v="0"/>
    <n v="0"/>
  </r>
  <r>
    <s v="Atsimo Antsinanana"/>
    <s v="MG25213050a"/>
    <x v="1"/>
    <s v="Vangaindrano"/>
    <s v="Ambongo"/>
    <n v="2"/>
    <n v="9"/>
    <s v=" "/>
    <s v="Urgence_Resilience"/>
    <s v="Ancienne commune"/>
    <s v=" "/>
    <s v="Urgence_Resilience"/>
    <s v="Ancienne commune"/>
    <s v="Urgence"/>
    <m/>
    <s v="Vangaindrano_Ambongo"/>
    <n v="10315.873009756104"/>
    <n v="2063.1746019512207"/>
    <m/>
    <n v="0"/>
    <n v="1561.823173677074"/>
    <n v="75.7"/>
    <n v="1561.823173677074"/>
    <s v="Nouveau enrégistrement"/>
    <n v="1561.823173677074"/>
    <n v="618.9523805853662"/>
    <n v="515.79365048780517"/>
    <n v="1134.7460310731713"/>
    <n v="187.41878084124886"/>
    <n v="46.854695210312215"/>
    <n v="1796.0966497286352"/>
    <n v="1259.5680944912201"/>
    <n v="1796.0966497286352"/>
    <n v="59.869888324287835"/>
    <n v="6"/>
    <n v="3.54"/>
    <n v="2"/>
    <s v="Inkind"/>
    <n v="46.854695210312215"/>
    <n v="7.0282042815468326"/>
    <n v="4.0997858309023192"/>
    <n v="2.342734760515611"/>
    <n v="9.3709390420624441"/>
    <n v="4.6854695210312221"/>
    <n v="140.56408563093663"/>
    <n v="21.084612844640496"/>
    <n v="12.299357492706957"/>
    <n v="7.0282042815468326"/>
    <n v="28.112817126187331"/>
    <n v="14.056408563093665"/>
  </r>
  <r>
    <s v="Fitovinany"/>
    <s v="MG52516032"/>
    <x v="1"/>
    <s v="Vohipeno"/>
    <s v="Amborobe"/>
    <n v="2"/>
    <n v="6"/>
    <s v="Urg_cycl"/>
    <s v="Urgence_Resilience"/>
    <s v="Ancienne commune"/>
    <s v=" "/>
    <s v="Urgence_Resilience"/>
    <s v="Ancienne commune"/>
    <s v="Convergence"/>
    <m/>
    <s v="Vohipeno_Amborobe"/>
    <n v="4967.4144564934304"/>
    <n v="993.48289129868613"/>
    <n v="609.27327914"/>
    <n v="61.327002656639081"/>
    <n v="750.07958293050808"/>
    <n v="75.5"/>
    <n v="140.80630379050808"/>
    <s v="Rajout d'enregistrement"/>
    <n v="750.07958293050808"/>
    <n v="298.04486738960583"/>
    <n v="248.37072282467153"/>
    <n v="546.41559021427736"/>
    <n v="90.009549951660972"/>
    <n v="22.502387487915243"/>
    <n v="862.59152037008425"/>
    <n v="606.52130513784789"/>
    <n v="253.31824123008425"/>
    <n v="8.4439413743361413"/>
    <n v="1"/>
    <n v="4.0999999999999996"/>
    <n v="3"/>
    <s v="Inkind"/>
    <n v="22.502387487915243"/>
    <n v="3.375358123187286"/>
    <n v="1.9689589051925835"/>
    <n v="1.1251193743957622"/>
    <n v="4.5004774975830486"/>
    <n v="2.2502387487915243"/>
    <n v="67.507162463745729"/>
    <n v="10.126074369561858"/>
    <n v="5.9068767155777504"/>
    <n v="3.3753581231872865"/>
    <n v="13.501432492749146"/>
    <n v="6.7507162463745729"/>
  </r>
  <r>
    <s v="Atsimo Andrefana"/>
    <s v="MG51520191"/>
    <x v="2"/>
    <s v="Ampanihy Ouest"/>
    <s v="Ampanihy Ouest"/>
    <n v="1"/>
    <n v="15"/>
    <s v=" "/>
    <s v="Urgence"/>
    <s v="Ancienne commune"/>
    <s v="ok"/>
    <s v="Urgence"/>
    <s v="Ancienne commune"/>
    <s v="Urgence"/>
    <m/>
    <s v="Ampanihy Ouest_Ampanihy Ouest"/>
    <n v="52754.23846914513"/>
    <n v="10550.847693829026"/>
    <m/>
    <n v="0"/>
    <n v="7986.9917042285724"/>
    <n v="75.7"/>
    <n v="7986.9917042285724"/>
    <s v="Nouveau enrégistrement"/>
    <n v="7986.9917042285724"/>
    <n v="3165.2543081487079"/>
    <n v="2637.7119234572565"/>
    <n v="5802.9662316059639"/>
    <n v="958.43900450742865"/>
    <n v="239.60975112685716"/>
    <n v="9185.0404598628575"/>
    <n v="6441.2925170826202"/>
    <n v="9185.0404598628575"/>
    <n v="306.1680153287619"/>
    <n v="31"/>
    <n v="2.09"/>
    <n v="1"/>
    <s v="CBT + Mitigations"/>
    <m/>
    <m/>
    <m/>
    <m/>
    <m/>
    <m/>
    <n v="0"/>
    <n v="0"/>
    <n v="0"/>
    <n v="0"/>
    <n v="0"/>
    <n v="0"/>
  </r>
  <r>
    <s v="Atsimo Andrefana"/>
    <s v="MG23207172"/>
    <x v="2"/>
    <s v="Ampanihy Ouest"/>
    <s v="Anavoha"/>
    <n v="1"/>
    <n v="5"/>
    <s v="AA"/>
    <s v="Urgence"/>
    <s v="Ancienne commune"/>
    <s v="ok"/>
    <s v="Urgence"/>
    <s v="Ancienne commune"/>
    <s v="Urgence"/>
    <m/>
    <s v="Ampanihy Ouest_Anavoha"/>
    <n v="12187.849436297582"/>
    <n v="2437.5698872595162"/>
    <n v="400"/>
    <n v="16.409785913859789"/>
    <n v="1840.3652648809348"/>
    <n v="75.5"/>
    <n v="1440.3652648809348"/>
    <s v="Rajout d'enregistrement"/>
    <n v="1840.3652648809348"/>
    <n v="731.27096617785492"/>
    <n v="609.39247181487906"/>
    <n v="1340.6634379927341"/>
    <n v="220.84383178571215"/>
    <n v="55.210957946428039"/>
    <n v="2116.4200546130751"/>
    <n v="1488.1364161719348"/>
    <n v="1716.4200546130751"/>
    <n v="57.214001820435833"/>
    <n v="6"/>
    <n v="4.3099999999999996"/>
    <n v="3"/>
    <s v="Inkind"/>
    <n v="55.210957946428039"/>
    <n v="8.2816436919642058"/>
    <n v="4.8309588203124534"/>
    <n v="2.7605478973214024"/>
    <n v="11.04219158928561"/>
    <n v="5.5210957946428048"/>
    <n v="165.63287383928412"/>
    <n v="24.844931075892617"/>
    <n v="14.49287646093736"/>
    <n v="8.2816436919642076"/>
    <n v="33.12657476785683"/>
    <n v="16.563287383928415"/>
  </r>
  <r>
    <s v="Atsimo Antsinanana"/>
    <s v="MG51506113"/>
    <x v="1"/>
    <s v="Vondrozo"/>
    <s v="Andakana"/>
    <n v="1"/>
    <n v="5"/>
    <s v=" "/>
    <s v="Urgence"/>
    <s v="Ancienne commune"/>
    <s v="ok"/>
    <s v="Urgence"/>
    <s v="Ancienne commune"/>
    <s v="Urgence"/>
    <m/>
    <s v="Vondrozo_Andakana"/>
    <n v="9390.4013400633794"/>
    <n v="1878.0802680126758"/>
    <m/>
    <n v="0"/>
    <n v="1421.7067628855957"/>
    <n v="75.7"/>
    <n v="1421.7067628855957"/>
    <s v="Nouveau enrégistrement"/>
    <n v="1421.7067628855957"/>
    <n v="563.42408040380269"/>
    <n v="469.520067003169"/>
    <n v="1032.9441474069718"/>
    <n v="170.60481154627149"/>
    <n v="42.651202886567873"/>
    <n v="1634.9627773184352"/>
    <n v="1146.5680036217386"/>
    <n v="1634.9627773184352"/>
    <n v="54.498759243947838"/>
    <n v="6"/>
    <n v="4.62"/>
    <n v="3"/>
    <s v="CBT"/>
    <m/>
    <m/>
    <m/>
    <m/>
    <m/>
    <m/>
    <n v="0"/>
    <n v="0"/>
    <n v="0"/>
    <n v="0"/>
    <n v="0"/>
    <n v="0"/>
  </r>
  <r>
    <s v="Androy "/>
    <s v="MG23210052"/>
    <x v="0"/>
    <s v="Antanimora Sud"/>
    <s v="Andalatanosy"/>
    <n v="1"/>
    <n v="4"/>
    <s v="Urg_sech"/>
    <s v="Urgence"/>
    <s v="Ancienne commune"/>
    <s v="ok"/>
    <s v="Urgence"/>
    <s v="Ancienne commune"/>
    <s v="Convergence"/>
    <m/>
    <s v="Antanimora Sud_Andalatanosy"/>
    <n v="49864.559994823205"/>
    <n v="9972.9119989646406"/>
    <n v="6765.6"/>
    <n v="67.839764360724189"/>
    <n v="7529.548559218304"/>
    <n v="75.5"/>
    <n v="763.94855921830367"/>
    <s v="Rajout d'enregistrement"/>
    <n v="7529.548559218304"/>
    <n v="2991.873599689392"/>
    <n v="2493.2279997411606"/>
    <n v="5485.1015994305526"/>
    <n v="903.5458271061965"/>
    <n v="225.88645677654912"/>
    <n v="8658.9808431010497"/>
    <n v="6088.4627753679133"/>
    <n v="1893.3808431010493"/>
    <n v="63.112694770034977"/>
    <n v="7"/>
    <n v="3.61"/>
    <n v="2"/>
    <s v="Inkind"/>
    <n v="225.88645677654912"/>
    <n v="33.882968516482364"/>
    <n v="19.765064967948046"/>
    <n v="11.294322838827457"/>
    <n v="45.177291355309826"/>
    <n v="22.588645677654913"/>
    <n v="677.65937032964734"/>
    <n v="101.64890554944709"/>
    <n v="59.295194903844134"/>
    <n v="33.882968516482372"/>
    <n v="135.53187406592949"/>
    <n v="67.765937032964743"/>
  </r>
  <r>
    <s v="Atsimo Andrefana"/>
    <s v="MG25214230"/>
    <x v="2"/>
    <s v="Ampanihy Ouest"/>
    <s v="Androipano"/>
    <n v="1"/>
    <n v="3"/>
    <s v="Urg_sech"/>
    <s v="Urgence"/>
    <s v="Ancienne commune"/>
    <s v="ok"/>
    <s v="Urgence"/>
    <s v="Ancienne commune"/>
    <s v="Convergence"/>
    <m/>
    <s v="Ampanihy Ouest_Androipano"/>
    <n v="20666.18631689177"/>
    <n v="4133.2372633783543"/>
    <n v="2311"/>
    <n v="55.912589883869252"/>
    <n v="3120.5941338506573"/>
    <n v="75.5"/>
    <n v="809.59413385065727"/>
    <s v="Rajout d'enregistrement"/>
    <n v="3120.5941338506573"/>
    <n v="1239.9711790135061"/>
    <n v="1033.3093158445886"/>
    <n v="2273.2804948580947"/>
    <n v="374.47129606207886"/>
    <n v="93.617824015519716"/>
    <n v="3588.6832539282559"/>
    <n v="2523.3413492924851"/>
    <n v="1277.6832539282559"/>
    <n v="42.589441797608529"/>
    <n v="5"/>
    <n v="3.32"/>
    <n v="1"/>
    <s v="Inkind"/>
    <n v="93.617824015519716"/>
    <n v="14.042673602327957"/>
    <n v="8.1915596013579748"/>
    <n v="4.680891200775986"/>
    <n v="18.723564803103944"/>
    <n v="9.3617824015519719"/>
    <n v="280.85347204655915"/>
    <n v="42.128020806983869"/>
    <n v="24.574678804073926"/>
    <n v="14.042673602327959"/>
    <n v="56.170694409311835"/>
    <n v="28.085347204655918"/>
  </r>
  <r>
    <s v="Atsimo Andrefana"/>
    <s v="MG25214112"/>
    <x v="2"/>
    <s v="Ampanihy Ouest"/>
    <s v="Androka"/>
    <n v="1"/>
    <n v="16"/>
    <s v="Urg_sech"/>
    <s v="Urgence"/>
    <s v="Ancienne commune"/>
    <s v="ok"/>
    <s v="Urgence"/>
    <s v="Ancienne commune"/>
    <s v="Convergence"/>
    <m/>
    <s v="Ampanihy Ouest_Androka"/>
    <n v="49359.82953523146"/>
    <n v="9871.9659070462912"/>
    <n v="7000"/>
    <n v="70.907862384366879"/>
    <n v="7453.3342598199497"/>
    <n v="75.5"/>
    <n v="453.33425981994969"/>
    <s v="Rajout d'enregistrement"/>
    <n v="7453.3342598199497"/>
    <n v="2961.5897721138876"/>
    <n v="2467.9914767615733"/>
    <n v="5429.5812488754609"/>
    <n v="894.4001111783939"/>
    <n v="223.60002779459847"/>
    <n v="8571.334398792942"/>
    <n v="6026.8351862517611"/>
    <n v="1571.334398792942"/>
    <n v="52.377813293098065"/>
    <n v="6"/>
    <n v="3.98"/>
    <n v="2"/>
    <s v="Inkind"/>
    <n v="223.60002779459847"/>
    <n v="33.540004169189771"/>
    <n v="19.565002432027367"/>
    <n v="11.180001389729926"/>
    <n v="44.720005558919702"/>
    <n v="22.360002779459851"/>
    <n v="670.80008338379548"/>
    <n v="100.62001250756931"/>
    <n v="58.695007296082096"/>
    <n v="33.540004169189778"/>
    <n v="134.16001667675911"/>
    <n v="67.080008338379557"/>
  </r>
  <r>
    <s v="Androy "/>
    <s v="MG25217071"/>
    <x v="0"/>
    <s v="Ambovombe-Androy"/>
    <s v="Anjeky Ankilikira"/>
    <n v="1"/>
    <n v="1"/>
    <s v="Urg_sech"/>
    <s v="Urgence"/>
    <s v="Ancienne commune"/>
    <s v="ok"/>
    <s v="Urgence"/>
    <s v="Ancienne commune"/>
    <s v="Urgence"/>
    <m/>
    <s v="Ambovombe-Androy_Anjeky Ankilikira"/>
    <n v="19993.402439928064"/>
    <n v="3998.6804879856127"/>
    <n v="3397"/>
    <n v="84.953024134000842"/>
    <n v="3397"/>
    <n v="84.953024134000842"/>
    <n v="0"/>
    <s v="MAJ : plainte et validation"/>
    <n v="3397"/>
    <n v="1199.6041463956838"/>
    <n v="999.67012199640328"/>
    <n v="2199.2742683920869"/>
    <n v="407.64"/>
    <n v="101.91"/>
    <n v="3906.5499999999997"/>
    <n v="2441.1944379152164"/>
    <n v="509.54999999999973"/>
    <n v="16.984999999999992"/>
    <n v="2"/>
    <n v="2.5299999999999998"/>
    <n v="1"/>
    <s v="CBT + Mitigations"/>
    <m/>
    <m/>
    <m/>
    <m/>
    <m/>
    <m/>
    <n v="0"/>
    <n v="0"/>
    <n v="0"/>
    <n v="0"/>
    <n v="0"/>
    <n v="0"/>
  </r>
  <r>
    <s v="Atsimo Andrefana"/>
    <s v="MG25213370"/>
    <x v="3"/>
    <s v="Betioky Atsimo"/>
    <s v="Ankazomanga Ouest"/>
    <n v="2"/>
    <n v="20"/>
    <s v="Urg_sech"/>
    <s v="Urgence_Resilience"/>
    <s v="Ancienne commune"/>
    <s v="ok"/>
    <s v="Urgence_Resilience"/>
    <s v="Ancienne commune"/>
    <s v="Convergence"/>
    <m/>
    <s v="Betioky Atsimo_Ankazomanga Ouest"/>
    <n v="7435.6769288184405"/>
    <n v="1487.1353857636882"/>
    <n v="725.33333332999996"/>
    <n v="48.773860152451405"/>
    <n v="1122.7872162515846"/>
    <n v="75.5"/>
    <n v="397.45388292158464"/>
    <s v="Rajout d'enregistrement"/>
    <n v="1122.7872162515846"/>
    <n v="446.1406157291064"/>
    <n v="371.78384644092205"/>
    <n v="817.92446217002839"/>
    <n v="134.73446595019016"/>
    <n v="33.683616487547539"/>
    <n v="1291.2052986893223"/>
    <n v="907.89615300873152"/>
    <n v="565.8719653593223"/>
    <n v="18.862398845310743"/>
    <n v="2"/>
    <n v="4.1500000000000004"/>
    <n v="3"/>
    <s v="CBT + Mitigations"/>
    <m/>
    <m/>
    <m/>
    <m/>
    <m/>
    <m/>
    <n v="0"/>
    <n v="0"/>
    <n v="0"/>
    <n v="0"/>
    <n v="0"/>
    <n v="0"/>
  </r>
  <r>
    <s v="Atsimo Andrefana"/>
    <s v="MG25213190"/>
    <x v="3"/>
    <s v="Betioky Atsimo"/>
    <s v="Ankazombalala"/>
    <n v="2"/>
    <n v="16"/>
    <s v="Urg_sech"/>
    <s v="Urgence_Resilience"/>
    <s v="Ancienne commune"/>
    <s v="ok"/>
    <s v="Urgence_Resilience"/>
    <s v="Ancienne commune"/>
    <s v="Convergence"/>
    <m/>
    <s v="Betioky Atsimo_Ankazombalala"/>
    <n v="25604.090633962413"/>
    <n v="5120.8181267924829"/>
    <n v="2400"/>
    <n v="46.867511022174952"/>
    <n v="3866.2176857283248"/>
    <n v="75.5"/>
    <n v="1466.2176857283248"/>
    <s v="Rajout d'enregistrement"/>
    <n v="3866.2176857283248"/>
    <n v="1536.2454380377446"/>
    <n v="1280.2045316981207"/>
    <n v="2816.4499697358651"/>
    <n v="463.94612228739896"/>
    <n v="115.98653057184974"/>
    <n v="4446.1503385875731"/>
    <n v="3126.2594664068101"/>
    <n v="2046.1503385875731"/>
    <n v="68.205011286252429"/>
    <n v="7"/>
    <n v="4.47"/>
    <n v="3"/>
    <s v="CBT + Mitigations"/>
    <m/>
    <m/>
    <m/>
    <m/>
    <m/>
    <m/>
    <n v="0"/>
    <n v="0"/>
    <n v="0"/>
    <n v="0"/>
    <n v="0"/>
    <n v="0"/>
  </r>
  <r>
    <s v="Fitovinany"/>
    <s v="MG25213350"/>
    <x v="1"/>
    <s v="Vohipeno"/>
    <s v="Anoloka"/>
    <n v="1"/>
    <n v="4"/>
    <s v="Urg_cycl"/>
    <s v="Urgence"/>
    <s v="Ancienne commune"/>
    <s v="ok"/>
    <s v="Urgence"/>
    <s v="Ancienne commune"/>
    <s v="Convergence"/>
    <m/>
    <s v="Vohipeno_Anoloka"/>
    <n v="3885.6646158953922"/>
    <n v="777.13292317907849"/>
    <n v="582.96027370000002"/>
    <n v="75.014229395305861"/>
    <n v="582.96027370000002"/>
    <n v="75.014229395305861"/>
    <n v="0"/>
    <s v="MAJ : plainte et validation"/>
    <n v="582.96027370000002"/>
    <n v="233.13987695372353"/>
    <n v="194.28323079476962"/>
    <n v="427.42310774849318"/>
    <n v="69.955232843999994"/>
    <n v="17.488808210999998"/>
    <n v="670.40431475499997"/>
    <n v="474.43964960082741"/>
    <n v="87.444041054999957"/>
    <n v="2.9148013684999987"/>
    <n v="1"/>
    <n v="3.34"/>
    <n v="1"/>
    <s v="Inkind"/>
    <n v="17.488808210999998"/>
    <n v="2.6233212316499999"/>
    <n v="1.5302707184625"/>
    <n v="0.87444041054999999"/>
    <n v="3.4977616422"/>
    <n v="1.7488808211"/>
    <n v="52.466424632999995"/>
    <n v="7.86996369495"/>
    <n v="4.5908121553874999"/>
    <n v="2.6233212316499999"/>
    <n v="10.493284926599999"/>
    <n v="5.2466424632999997"/>
  </r>
  <r>
    <s v="Fitovinany"/>
    <s v="MG53517350"/>
    <x v="1"/>
    <s v="Manakara Atsimo"/>
    <s v="Anosiala"/>
    <n v="2"/>
    <n v="25"/>
    <s v="Urg_cycl"/>
    <s v="Urgence_Resilience"/>
    <s v="Ancienne commune"/>
    <s v=" "/>
    <s v="Urgence_Resilience"/>
    <s v="Ancienne commune"/>
    <s v="Urgence"/>
    <m/>
    <s v="Manakara Atsimo_Anosiala"/>
    <n v="11040.564337633636"/>
    <n v="2208.1128675267273"/>
    <n v="1958.9111882"/>
    <n v="88.714268958277742"/>
    <n v="1958.9111882"/>
    <n v="88.714268958277742"/>
    <n v="0"/>
    <s v="MAJ : plainte et validation"/>
    <n v="1958.9111882"/>
    <n v="662.43386025801817"/>
    <n v="552.02821688168183"/>
    <n v="1214.4620771396999"/>
    <n v="235.069342584"/>
    <n v="58.767335645999999"/>
    <n v="2252.7478664300002"/>
    <n v="1348.0529056250668"/>
    <n v="293.83667823000019"/>
    <n v="9.7945559410000058"/>
    <n v="1"/>
    <n v="4.6100000000000003"/>
    <n v="3"/>
    <s v="CBT"/>
    <m/>
    <m/>
    <m/>
    <m/>
    <m/>
    <m/>
    <n v="0"/>
    <n v="0"/>
    <n v="0"/>
    <n v="0"/>
    <n v="0"/>
    <n v="0"/>
  </r>
  <r>
    <s v="Androy "/>
    <s v="MG23210032"/>
    <x v="0"/>
    <s v="Antanimora Sud"/>
    <s v="Antanimora Atsimo"/>
    <n v="1"/>
    <n v="5"/>
    <s v="Urg_sech"/>
    <s v="Urgence"/>
    <s v="Ancienne commune"/>
    <s v="ok"/>
    <s v="Urgence"/>
    <s v="Ancienne commune"/>
    <s v="Convergence"/>
    <m/>
    <s v="Antanimora Sud_Antanimora Atsimo"/>
    <n v="39572.454162449147"/>
    <n v="7914.4908324898297"/>
    <n v="5280.6"/>
    <n v="66.720653441438998"/>
    <n v="5975.4405785298222"/>
    <n v="75.5"/>
    <n v="694.84057852982187"/>
    <s v="Rajout d'enregistrement"/>
    <n v="5975.4405785298222"/>
    <n v="2374.3472497469488"/>
    <n v="1978.6227081224574"/>
    <n v="4352.9699578694062"/>
    <n v="717.05286942357861"/>
    <n v="179.26321735589465"/>
    <n v="6871.7566653092954"/>
    <n v="4831.796653235041"/>
    <n v="1591.156665309295"/>
    <n v="53.038555510309834"/>
    <n v="6"/>
    <n v="3.55"/>
    <n v="2"/>
    <s v="Inkind"/>
    <n v="179.26321735589465"/>
    <n v="26.889482603384199"/>
    <n v="15.685531518640781"/>
    <n v="8.9631608677947341"/>
    <n v="35.852643471178936"/>
    <n v="17.926321735589468"/>
    <n v="537.78965206768396"/>
    <n v="80.6684478101526"/>
    <n v="47.056594555922345"/>
    <n v="26.889482603384202"/>
    <n v="107.55793041353681"/>
    <n v="53.778965206768405"/>
  </r>
  <r>
    <s v="Androy "/>
    <s v="MG23206012"/>
    <x v="0"/>
    <s v="Bekily"/>
    <s v="Antsakoamaro"/>
    <n v="1"/>
    <n v="3"/>
    <s v="Urg_sech"/>
    <s v="Urgence"/>
    <s v="Ancienne commune"/>
    <s v="ok"/>
    <s v="Urgence"/>
    <s v="Ancienne commune"/>
    <s v="Urgence"/>
    <m/>
    <s v="Bekily_Antsakoamaro"/>
    <n v="10954.805560214247"/>
    <n v="2190.9611120428494"/>
    <n v="1781.1181818"/>
    <n v="81.29392037174442"/>
    <n v="1781.1181818"/>
    <n v="81.29392037174442"/>
    <n v="0"/>
    <s v="MAJ : plainte et validation"/>
    <n v="1781.1181818"/>
    <n v="657.28833361285479"/>
    <n v="547.74027801071236"/>
    <n v="1205.028611623567"/>
    <n v="213.73418181599999"/>
    <n v="53.433545453999997"/>
    <n v="2048.2859090699999"/>
    <n v="1337.5817589021594"/>
    <n v="267.16772726999989"/>
    <n v="8.9055909089999954"/>
    <n v="1"/>
    <n v="3.37"/>
    <n v="1"/>
    <s v="Inkind"/>
    <n v="53.433545453999997"/>
    <n v="8.0150318180999989"/>
    <n v="4.6754352272249999"/>
    <n v="2.6716772727000002"/>
    <n v="10.686709090800001"/>
    <n v="5.3433545454000004"/>
    <n v="160.30063636199998"/>
    <n v="24.045095454299997"/>
    <n v="14.026305681675"/>
    <n v="8.0150318181000006"/>
    <n v="32.060127272400003"/>
    <n v="16.030063636200001"/>
  </r>
  <r>
    <s v="Androy "/>
    <s v="MG23207010"/>
    <x v="0"/>
    <s v="Beloha"/>
    <s v="Behabobo"/>
    <n v="1"/>
    <n v="1"/>
    <s v=" "/>
    <s v="Urgence"/>
    <s v="Ancienne commune"/>
    <s v="ok"/>
    <s v="Urgence"/>
    <s v="Ancienne commune"/>
    <s v="Convergence"/>
    <m/>
    <s v="Beloha_Behabobo"/>
    <n v="9007.2264783959399"/>
    <n v="1801.4452956791879"/>
    <m/>
    <n v="0"/>
    <n v="1363.6940888291451"/>
    <n v="75.7"/>
    <n v="1363.6940888291451"/>
    <s v="Nouveau enrégistrement"/>
    <n v="1363.6940888291451"/>
    <n v="540.43358870375641"/>
    <n v="450.36132391979703"/>
    <n v="990.7949126235535"/>
    <n v="163.64329065949741"/>
    <n v="40.910822664874352"/>
    <n v="1568.2482021535168"/>
    <n v="1099.7823530121443"/>
    <n v="1568.2482021535168"/>
    <n v="52.274940071783895"/>
    <n v="6"/>
    <n v="4.8499999999999996"/>
    <n v="3"/>
    <s v="CBT + Mitigations"/>
    <m/>
    <m/>
    <m/>
    <m/>
    <m/>
    <m/>
    <n v="0"/>
    <n v="0"/>
    <n v="0"/>
    <n v="0"/>
    <n v="0"/>
    <n v="0"/>
  </r>
  <r>
    <s v="Anosy"/>
    <s v="MG25222031a"/>
    <x v="0"/>
    <s v="Amboasary-Atsimo"/>
    <s v="Ebelo"/>
    <n v="2"/>
    <n v="8"/>
    <s v="Urg_sech"/>
    <s v="Urgence_Resilience"/>
    <s v="Ancienne commune"/>
    <s v="ok"/>
    <s v="Urgence_Resilience"/>
    <s v="Ancienne commune"/>
    <s v="Convergence"/>
    <m/>
    <s v="Amboasary-Atsimo_Ebelo"/>
    <n v="13316.715217575194"/>
    <n v="2663.343043515039"/>
    <n v="2540"/>
    <n v="95.368863811390483"/>
    <n v="2540"/>
    <n v="95.368863811390483"/>
    <n v="0"/>
    <s v="MAJ : plainte et validation"/>
    <n v="2540"/>
    <n v="799.00291305451162"/>
    <n v="665.83576087875974"/>
    <n v="1464.8386739332714"/>
    <n v="304.8"/>
    <n v="76.2"/>
    <n v="2921"/>
    <n v="1625.9709280659313"/>
    <n v="381"/>
    <n v="12.7"/>
    <n v="2"/>
    <n v="4.2"/>
    <n v="3"/>
    <s v="Inkind"/>
    <n v="76.2"/>
    <n v="11.43"/>
    <n v="6.6674999999999995"/>
    <n v="3.81"/>
    <n v="15.24"/>
    <n v="7.62"/>
    <n v="228.60000000000002"/>
    <n v="34.29"/>
    <n v="20.002499999999998"/>
    <n v="11.43"/>
    <n v="45.72"/>
    <n v="22.86"/>
  </r>
  <r>
    <s v="Atsimo Andrefana"/>
    <s v="MG25214092"/>
    <x v="2"/>
    <s v="Ampanihy Ouest"/>
    <s v="Ejeda"/>
    <n v="1"/>
    <n v="2"/>
    <s v="AA"/>
    <s v="Urgence"/>
    <s v="Ancienne commune"/>
    <s v="ok"/>
    <s v="Urgence"/>
    <s v="Ancienne commune"/>
    <s v="Convergence"/>
    <m/>
    <s v="Ampanihy Ouest_Ejeda"/>
    <n v="65728.566050885347"/>
    <n v="13145.713210177069"/>
    <n v="400"/>
    <n v="3.0428170279139395"/>
    <n v="9925.0134736836881"/>
    <n v="75.5"/>
    <n v="9525.0134736836881"/>
    <s v="Rajout d'enregistrement"/>
    <n v="9925.0134736836881"/>
    <n v="3943.7139630531206"/>
    <n v="3286.4283025442674"/>
    <n v="7230.1422655973874"/>
    <n v="1191.0016168420425"/>
    <n v="297.75040421051062"/>
    <n v="11413.765494736241"/>
    <n v="8025.4579148130997"/>
    <n v="11013.765494736241"/>
    <n v="367.12551649120803"/>
    <n v="37"/>
    <n v="3.32"/>
    <n v="1"/>
    <s v="Inkind"/>
    <n v="297.75040421051062"/>
    <n v="44.662560631576596"/>
    <n v="26.053160368419679"/>
    <n v="14.887520210525532"/>
    <n v="59.550080842102126"/>
    <n v="29.775040421051063"/>
    <n v="893.25121263153187"/>
    <n v="133.9876818947298"/>
    <n v="78.159481105259033"/>
    <n v="44.662560631576596"/>
    <n v="178.65024252630639"/>
    <n v="89.325121263153193"/>
  </r>
  <r>
    <s v="Atsimo Andrefana"/>
    <s v="MG25214131"/>
    <x v="2"/>
    <s v="Ampanihy Ouest"/>
    <s v="Fotadrevo"/>
    <n v="1"/>
    <n v="6"/>
    <s v="AA"/>
    <s v="Urgence"/>
    <s v="Ancienne commune"/>
    <s v="ok"/>
    <s v="Urgence"/>
    <s v="Ancienne commune"/>
    <s v="Convergence"/>
    <m/>
    <s v="Ampanihy Ouest_Fotadrevo"/>
    <n v="65535.148787103855"/>
    <n v="13107.029757420771"/>
    <n v="500"/>
    <n v="3.8147468133801739"/>
    <n v="9895.8074668526824"/>
    <n v="75.5"/>
    <n v="9395.8074668526824"/>
    <s v="Rajout d'enregistrement"/>
    <n v="9895.8074668526824"/>
    <n v="3932.1089272262311"/>
    <n v="3276.7574393551931"/>
    <n v="7208.8663665814238"/>
    <n v="1187.4968960223218"/>
    <n v="296.87422400558046"/>
    <n v="11380.178586880584"/>
    <n v="8001.8416669053804"/>
    <n v="10880.178586880584"/>
    <n v="362.67261956268612"/>
    <n v="37"/>
    <n v="3.41"/>
    <n v="1"/>
    <s v="Inkind"/>
    <n v="296.87422400558046"/>
    <n v="44.531133600837066"/>
    <n v="25.976494600488287"/>
    <n v="14.843711200279024"/>
    <n v="59.374844801116097"/>
    <n v="29.687422400558049"/>
    <n v="890.62267201674138"/>
    <n v="133.59340080251121"/>
    <n v="77.929483801464869"/>
    <n v="44.531133600837073"/>
    <n v="178.12453440334829"/>
    <n v="89.062267201674146"/>
  </r>
  <r>
    <s v="Atsimo Antsinanana"/>
    <s v="MG51506015"/>
    <x v="1"/>
    <s v="Vondrozo"/>
    <s v="Iamonta"/>
    <n v="1"/>
    <n v="4"/>
    <s v=" "/>
    <s v="Urgence"/>
    <s v="Ancienne commune"/>
    <s v="ok"/>
    <s v="Urgence"/>
    <s v="Ancienne commune"/>
    <s v="Urgence"/>
    <m/>
    <s v="Vondrozo_Iamonta"/>
    <n v="6247.8938032782653"/>
    <n v="1249.578760655653"/>
    <m/>
    <n v="0"/>
    <n v="945.93112181632944"/>
    <n v="75.7"/>
    <n v="945.93112181632944"/>
    <s v="Nouveau enrégistrement"/>
    <n v="945.93112181632944"/>
    <n v="374.8736281966959"/>
    <n v="312.39469016391331"/>
    <n v="687.26831836060921"/>
    <n v="113.51173461795953"/>
    <n v="28.377933654489883"/>
    <n v="1087.8207900887789"/>
    <n v="762.86783338027624"/>
    <n v="1087.8207900887789"/>
    <n v="36.2606930029593"/>
    <n v="4"/>
    <n v="4.5199999999999996"/>
    <n v="3"/>
    <s v="CBT"/>
    <m/>
    <m/>
    <m/>
    <m/>
    <m/>
    <m/>
    <n v="0"/>
    <n v="0"/>
    <n v="0"/>
    <n v="0"/>
    <n v="0"/>
    <n v="0"/>
  </r>
  <r>
    <s v="Anosy"/>
    <s v="MG51507270"/>
    <x v="0"/>
    <s v="Amboasary-Atsimo"/>
    <s v="Ifotaka"/>
    <n v="2"/>
    <n v="16"/>
    <s v="AA"/>
    <s v="Urgence_Resilience"/>
    <s v="Ancienne commune"/>
    <s v="ok"/>
    <s v="Urgence_Resilience"/>
    <s v="Ancienne commune"/>
    <s v="Convergence"/>
    <m/>
    <s v="Amboasary-Atsimo_Ifotaka"/>
    <n v="28158.096060482811"/>
    <n v="5631.6192120965625"/>
    <n v="1402"/>
    <n v="24.895149107179382"/>
    <n v="4251.8725051329047"/>
    <n v="75.5"/>
    <n v="2849.8725051329047"/>
    <s v="Rajout d'enregistrement"/>
    <n v="4251.8725051329047"/>
    <n v="1689.4857636289685"/>
    <n v="1407.9048030241406"/>
    <n v="3097.3905666531091"/>
    <n v="510.22470061594856"/>
    <n v="127.55617515398714"/>
    <n v="4889.6533809028406"/>
    <n v="3438.103528984951"/>
    <n v="3487.6533809028406"/>
    <n v="116.25511269676136"/>
    <n v="12"/>
    <n v="3.73"/>
    <n v="2"/>
    <s v="Inkind"/>
    <n v="127.55617515398714"/>
    <n v="19.13342627309807"/>
    <n v="11.161165325973874"/>
    <n v="6.3778087576993574"/>
    <n v="25.51123503079743"/>
    <n v="12.755617515398715"/>
    <n v="382.66852546196139"/>
    <n v="57.400278819294215"/>
    <n v="33.483495977921621"/>
    <n v="19.133426273098074"/>
    <n v="76.533705092392296"/>
    <n v="38.266852546196148"/>
  </r>
  <r>
    <s v="Androy "/>
    <s v="MG53519250"/>
    <x v="0"/>
    <s v="Tsihombe"/>
    <s v="Imongy"/>
    <n v="1"/>
    <n v="2"/>
    <s v=" "/>
    <s v="Urgence"/>
    <s v="Ancienne commune"/>
    <s v="ok"/>
    <s v="Urgence"/>
    <s v="Ancienne commune"/>
    <s v="Urgence"/>
    <m/>
    <s v="Tsihombe_Imongy"/>
    <n v="18126.863561514281"/>
    <n v="3625.3727123028561"/>
    <m/>
    <n v="0"/>
    <n v="2744.4071432132623"/>
    <n v="75.7"/>
    <n v="2744.4071432132623"/>
    <s v="Nouveau enrégistrement"/>
    <n v="2744.4071432132623"/>
    <n v="1087.6118136908569"/>
    <n v="906.34317807571415"/>
    <n v="1993.9549917665711"/>
    <n v="329.32885718559146"/>
    <n v="82.332214296397865"/>
    <n v="3156.0682146952518"/>
    <n v="2213.2900408608939"/>
    <n v="3156.0682146952518"/>
    <n v="105.20227382317506"/>
    <n v="11"/>
    <n v="3.56"/>
    <n v="2"/>
    <s v="Inkind"/>
    <n v="82.332214296397865"/>
    <n v="12.349832144459679"/>
    <n v="7.2040687509348125"/>
    <n v="4.1166107148198936"/>
    <n v="16.466442859279574"/>
    <n v="8.2332214296397872"/>
    <n v="246.99664288919359"/>
    <n v="37.049496433379034"/>
    <n v="21.612206252804437"/>
    <n v="12.349832144459681"/>
    <n v="49.399328577838723"/>
    <n v="24.699664288919362"/>
  </r>
  <r>
    <s v="Fitovinany"/>
    <s v="MG25213270"/>
    <x v="1"/>
    <s v="Vohipeno"/>
    <s v="Ivato"/>
    <n v="1"/>
    <n v="3"/>
    <s v="AA"/>
    <s v="Urgence"/>
    <s v="Ancienne commune"/>
    <s v="ok"/>
    <s v="Urgence"/>
    <s v="Ancienne commune"/>
    <s v="Convergence"/>
    <m/>
    <s v="Vohipeno_Ivato"/>
    <n v="3676.9900346713807"/>
    <n v="735.39800693427617"/>
    <n v="1045"/>
    <n v="142.0999227828195"/>
    <n v="1045"/>
    <n v="142.0999227828195"/>
    <n v="0"/>
    <s v="MAJ : plainte et validation"/>
    <n v="1045"/>
    <n v="220.61940208028284"/>
    <n v="183.84950173356904"/>
    <n v="404.46890381385185"/>
    <n v="125.39999999999999"/>
    <n v="31.349999999999998"/>
    <n v="1201.75"/>
    <n v="448.96048323337556"/>
    <n v="156.75"/>
    <n v="5.2249999999999996"/>
    <n v="1"/>
    <n v="2.56"/>
    <n v="1"/>
    <s v="CBT + Mitigations"/>
    <m/>
    <m/>
    <m/>
    <m/>
    <m/>
    <m/>
    <n v="0"/>
    <n v="0"/>
    <n v="0"/>
    <n v="0"/>
    <n v="0"/>
    <n v="0"/>
  </r>
  <r>
    <s v="Androy "/>
    <s v="MG23210351"/>
    <x v="0"/>
    <s v="Antanimora Sud"/>
    <s v="Jafaro"/>
    <n v="1"/>
    <n v="3"/>
    <s v="Urg_sech"/>
    <s v="Urgence"/>
    <s v="Ancienne commune"/>
    <s v="ok"/>
    <s v="Urgence"/>
    <s v="Ancienne commune"/>
    <s v="Convergence"/>
    <m/>
    <s v="Antanimora Sud_Jafaro"/>
    <n v="40065.230883150827"/>
    <n v="8013.0461766301651"/>
    <n v="5335.4"/>
    <n v="66.583916807575022"/>
    <n v="6049.8498633557747"/>
    <n v="75.5"/>
    <n v="714.44986335577505"/>
    <s v="Rajout d'enregistrement"/>
    <n v="6049.8498633557747"/>
    <n v="2403.9138529890497"/>
    <n v="2003.2615441575415"/>
    <n v="4407.1753971465914"/>
    <n v="725.98198360269294"/>
    <n v="181.49549590067323"/>
    <n v="6957.327342859141"/>
    <n v="4891.9646908327168"/>
    <n v="1621.9273428591414"/>
    <n v="54.064244761971381"/>
    <n v="6"/>
    <n v="3.61"/>
    <n v="2"/>
    <s v="Inkind"/>
    <n v="181.49549590067323"/>
    <n v="27.224324385100985"/>
    <n v="15.880855891308906"/>
    <n v="9.0747747950336617"/>
    <n v="36.299099180134647"/>
    <n v="18.149549590067323"/>
    <n v="544.48648770201976"/>
    <n v="81.672973155302955"/>
    <n v="47.64256767392672"/>
    <n v="27.224324385100985"/>
    <n v="108.89729754040394"/>
    <n v="54.44864877020197"/>
  </r>
  <r>
    <s v="Atsimo Andrefana"/>
    <s v="MG25213570"/>
    <x v="3"/>
    <s v="Betioky Atsimo"/>
    <s v="Lazarivo"/>
    <n v="2"/>
    <n v="10"/>
    <s v="Urg_sech"/>
    <s v="Urgence_Resilience"/>
    <s v="Ancienne commune"/>
    <s v="ok"/>
    <s v="Urgence_Resilience"/>
    <s v="Ancienne commune"/>
    <s v="Convergence"/>
    <m/>
    <s v="Betioky Atsimo_Lazarivo"/>
    <n v="23286.926195679458"/>
    <n v="4657.3852391358914"/>
    <n v="2180"/>
    <n v="46.807379850855256"/>
    <n v="3516.3258555475977"/>
    <n v="75.5"/>
    <n v="1336.3258555475977"/>
    <s v="Rajout d'enregistrement"/>
    <n v="3516.3258555475977"/>
    <n v="1397.2155717407675"/>
    <n v="1164.3463097839729"/>
    <n v="2561.5618815247403"/>
    <n v="421.95910266571173"/>
    <n v="105.48977566642793"/>
    <n v="4043.7747338797371"/>
    <n v="2843.333688492462"/>
    <n v="1863.7747338797371"/>
    <n v="62.125824462657903"/>
    <n v="7"/>
    <n v="2.2400000000000002"/>
    <n v="1"/>
    <s v="CBT + Mitigations"/>
    <m/>
    <m/>
    <m/>
    <m/>
    <m/>
    <m/>
    <n v="0"/>
    <n v="0"/>
    <n v="0"/>
    <n v="0"/>
    <n v="0"/>
    <n v="0"/>
  </r>
  <r>
    <s v="Androy "/>
    <s v="MG23209090"/>
    <x v="0"/>
    <s v="Beloha"/>
    <s v="Mahaenegne"/>
    <n v="1"/>
    <n v="3"/>
    <s v=" "/>
    <s v="Urgence"/>
    <s v="Ancienne commune"/>
    <s v="ok"/>
    <s v="Urgence"/>
    <s v="Ancienne commune"/>
    <s v="Urgence"/>
    <m/>
    <s v="Beloha_Mahaenegne"/>
    <n v="10076.434323313641"/>
    <n v="2015.286864662728"/>
    <m/>
    <n v="0"/>
    <n v="1525.5721565496851"/>
    <n v="75.7"/>
    <n v="1525.5721565496851"/>
    <s v="Nouveau enrégistrement"/>
    <n v="1525.5721565496851"/>
    <n v="604.58605939881841"/>
    <n v="503.82171616568206"/>
    <n v="1108.4077755645005"/>
    <n v="183.06865878596221"/>
    <n v="45.767164696490553"/>
    <n v="1754.4079800321379"/>
    <n v="1230.3326308765957"/>
    <n v="1754.4079800321379"/>
    <n v="58.480266001071264"/>
    <n v="6"/>
    <n v="3.61"/>
    <n v="2"/>
    <s v="Inkind"/>
    <n v="45.767164696490553"/>
    <n v="6.8650747044735825"/>
    <n v="4.0046269109429229"/>
    <n v="2.2883582348245279"/>
    <n v="9.1534329392981117"/>
    <n v="4.5767164696490559"/>
    <n v="137.30149408947165"/>
    <n v="20.595224113420748"/>
    <n v="12.013880732828769"/>
    <n v="6.8650747044735834"/>
    <n v="27.460298817894333"/>
    <n v="13.730149408947167"/>
  </r>
  <r>
    <s v="Anosy"/>
    <s v="MG51506170"/>
    <x v="0"/>
    <s v="Amboasary-Atsimo"/>
    <s v="Mahaly"/>
    <n v="2"/>
    <n v="9"/>
    <s v="Urg_sech"/>
    <s v="Urgence_Resilience"/>
    <s v="Ancienne commune"/>
    <s v="Nous ramenons en priorite  1 car c'est une commune vulnerable aussi bien conjoncturellement que structurelle car  deja les speculations sont deja limites en tubercules et mais en bonne periode et elle est toujours exposee a la secheresse d'une facon recu"/>
    <s v="Urgence_Resilience"/>
    <s v="Ancienne commune"/>
    <s v="Urgence"/>
    <m/>
    <s v="Amboasary-Atsimo_Mahaly"/>
    <n v="20400.489936393496"/>
    <n v="4080.0979872786993"/>
    <n v="3767"/>
    <n v="92.326214020964571"/>
    <n v="3767"/>
    <n v="92.326214020964571"/>
    <n v="0"/>
    <s v="MAJ : plainte et validation"/>
    <n v="3767"/>
    <n v="1224.0293961836098"/>
    <n v="1020.0244968196748"/>
    <n v="2244.0538930032844"/>
    <n v="452.03999999999996"/>
    <n v="113.00999999999999"/>
    <n v="4332.05"/>
    <n v="2490.8998212336455"/>
    <n v="565.05000000000018"/>
    <n v="18.835000000000004"/>
    <n v="2"/>
    <n v="4.5199999999999996"/>
    <n v="3"/>
    <s v="CBT"/>
    <m/>
    <m/>
    <m/>
    <m/>
    <m/>
    <m/>
    <n v="0"/>
    <n v="0"/>
    <n v="0"/>
    <n v="0"/>
    <n v="0"/>
    <n v="0"/>
  </r>
  <r>
    <s v="Vatovavy "/>
    <s v="MG52516151"/>
    <x v="1"/>
    <s v="Mananjary"/>
    <s v="Mahatsara Iefaka"/>
    <n v="2"/>
    <n v="17"/>
    <s v="Urg_cycl"/>
    <s v="Urgence_Resilience"/>
    <s v="Ancienne commune"/>
    <s v=" "/>
    <s v="Urgence_Resilience"/>
    <s v="Ancienne commune"/>
    <s v="Convergence"/>
    <m/>
    <s v="Mananjary_Mahatsara Iefaka"/>
    <n v="4370.1734136798796"/>
    <n v="874.03468273597593"/>
    <n v="719.96968318999996"/>
    <n v="82.373125164357447"/>
    <n v="719.96968318999996"/>
    <n v="82.373125164357447"/>
    <n v="0"/>
    <s v="MAJ : plainte et validation"/>
    <n v="719.96968318999996"/>
    <n v="262.21040482079275"/>
    <n v="218.50867068399398"/>
    <n v="480.7190755047867"/>
    <n v="86.396361982799988"/>
    <n v="21.599090495699997"/>
    <n v="827.9651356684999"/>
    <n v="533.59817381031326"/>
    <n v="107.99545247849994"/>
    <n v="3.5998484159499982"/>
    <n v="1"/>
    <n v="7.07"/>
    <n v="4"/>
    <s v="CBT"/>
    <m/>
    <m/>
    <m/>
    <m/>
    <m/>
    <m/>
    <n v="0"/>
    <n v="0"/>
    <n v="0"/>
    <n v="0"/>
    <n v="0"/>
    <n v="0"/>
  </r>
  <r>
    <s v="Atsimo Antsinanana"/>
    <s v="MG51506270"/>
    <x v="1"/>
    <s v="Vondrozo"/>
    <s v="Mahatsinjo"/>
    <n v="1"/>
    <n v="1"/>
    <s v="Urg_sech"/>
    <s v="Urgence"/>
    <s v="Ancienne commune"/>
    <s v="ok"/>
    <s v="Urgence"/>
    <s v="Ancienne commune"/>
    <s v="Convergence"/>
    <m/>
    <s v="Vondrozo_Mahatsinjo"/>
    <n v="10081.624993775788"/>
    <n v="2016.3249987551576"/>
    <n v="1537.2898866999999"/>
    <n v="76.242167688695758"/>
    <n v="1537.2898866999999"/>
    <n v="76.242167688695758"/>
    <n v="0"/>
    <s v="MAJ : plainte et validation"/>
    <n v="1537.2898866999999"/>
    <n v="604.89749962654719"/>
    <n v="504.0812496887894"/>
    <n v="1108.9787493153367"/>
    <n v="184.47478640399999"/>
    <n v="46.118696600999996"/>
    <n v="1767.883369705"/>
    <n v="1230.9664117400237"/>
    <n v="230.59348300500005"/>
    <n v="7.6864494335000018"/>
    <n v="1"/>
    <n v="3.12"/>
    <n v="1"/>
    <s v="CBT + Mitigations"/>
    <m/>
    <m/>
    <m/>
    <m/>
    <m/>
    <m/>
    <n v="0"/>
    <n v="0"/>
    <n v="0"/>
    <n v="0"/>
    <n v="0"/>
    <n v="0"/>
  </r>
  <r>
    <s v="Vatovavy "/>
    <s v="MG23210171"/>
    <x v="1"/>
    <s v="Mananjary"/>
    <s v="Mahela"/>
    <n v="2"/>
    <n v="13"/>
    <s v="Urg_cycl"/>
    <s v="Urgence_Resilience"/>
    <s v="Ancienne commune"/>
    <s v="Zone FSRP où il y a 4 OP"/>
    <s v="Urgence_Resilience"/>
    <s v="Ancienne commune"/>
    <s v="Convergence"/>
    <s v="Zone FSRP"/>
    <s v="Mananjary_Mahela"/>
    <n v="10560.852656658897"/>
    <n v="2112.1705313317793"/>
    <n v="1836.3148206000001"/>
    <n v="86.939704600563431"/>
    <n v="1836.3148206000001"/>
    <n v="86.939704600563431"/>
    <n v="0"/>
    <s v="MAJ : plainte et validation"/>
    <n v="1836.3148206000001"/>
    <n v="633.65115939953375"/>
    <n v="528.04263283294483"/>
    <n v="1161.6937922324787"/>
    <n v="220.35777847200001"/>
    <n v="55.089444618000002"/>
    <n v="2111.7620436900002"/>
    <n v="1289.4801093780513"/>
    <n v="275.44722309000008"/>
    <n v="9.1815741030000027"/>
    <n v="1"/>
    <n v="3.59"/>
    <n v="2"/>
    <s v="Inkind"/>
    <n v="55.089444618000002"/>
    <n v="8.2634166926999999"/>
    <n v="4.8203264040749998"/>
    <n v="2.7544722309000003"/>
    <n v="11.017888923600001"/>
    <n v="5.5089444618000005"/>
    <n v="165.26833385399999"/>
    <n v="24.790250078100001"/>
    <n v="14.460979212224998"/>
    <n v="8.2634166927000017"/>
    <n v="33.053666770800007"/>
    <n v="16.526833385400003"/>
  </r>
  <r>
    <s v="Fitovinany"/>
    <s v="MG52516092"/>
    <x v="1"/>
    <s v="Manakara Atsimo"/>
    <s v="Mangatsiotra"/>
    <n v="2"/>
    <n v="18"/>
    <s v="Urg_cycl"/>
    <s v="Urgence_Resilience"/>
    <s v="Ancienne commune"/>
    <s v=" "/>
    <s v="Urgence_Resilience"/>
    <s v="Ancienne commune"/>
    <s v="Convergence"/>
    <m/>
    <s v="Manakara Atsimo_Mangatsiotra"/>
    <n v="5423.1405534194337"/>
    <n v="1084.6281106838867"/>
    <n v="677.43656840000006"/>
    <n v="62.457957868421687"/>
    <n v="818.8942235663344"/>
    <n v="75.5"/>
    <n v="141.45765516633435"/>
    <s v="Rajout d'enregistrement"/>
    <n v="818.8942235663344"/>
    <n v="325.388433205166"/>
    <n v="271.15702767097167"/>
    <n v="596.54546087613767"/>
    <n v="98.267306827960127"/>
    <n v="24.566826706990032"/>
    <n v="941.72835710128459"/>
    <n v="662.16546157251287"/>
    <n v="264.29178870128453"/>
    <n v="8.8097262900428177"/>
    <n v="1"/>
    <n v="4.38"/>
    <n v="3"/>
    <s v="CBT + Mitigations"/>
    <m/>
    <m/>
    <m/>
    <m/>
    <m/>
    <m/>
    <n v="0"/>
    <n v="0"/>
    <n v="0"/>
    <n v="0"/>
    <n v="0"/>
    <n v="0"/>
  </r>
  <r>
    <s v="Fitovinany"/>
    <s v="MG23212053"/>
    <x v="1"/>
    <s v="Manakara Atsimo"/>
    <s v="Manjarivo"/>
    <n v="2"/>
    <n v="20"/>
    <s v="Urg_cycl"/>
    <s v="Urgence_Resilience"/>
    <s v="Ancienne commune"/>
    <s v="Urg_Cycl"/>
    <s v="Urgence_Resilience"/>
    <s v="Ancienne commune"/>
    <s v="Urgence"/>
    <m/>
    <s v="Manakara Atsimo_Manjarivo"/>
    <n v="8950.2206877862081"/>
    <n v="1790.0441375572416"/>
    <n v="1504.5376690999999"/>
    <n v="84.050311248366526"/>
    <n v="1504.5376690999999"/>
    <n v="84.050311248366526"/>
    <n v="0"/>
    <s v="MAJ : plainte et validation"/>
    <n v="1504.5376690999999"/>
    <n v="537.01324126717248"/>
    <n v="447.51103438931045"/>
    <n v="984.52427565648293"/>
    <n v="180.54452029199999"/>
    <n v="45.136130072999997"/>
    <n v="1730.2183194649999"/>
    <n v="1092.821945978696"/>
    <n v="225.68065036500002"/>
    <n v="7.5226883455000007"/>
    <n v="1"/>
    <n v="3.99"/>
    <n v="2"/>
    <s v="Inkind"/>
    <n v="45.136130072999997"/>
    <n v="6.7704195109499992"/>
    <n v="3.9494113813874994"/>
    <n v="2.25680650365"/>
    <n v="9.0272260146000001"/>
    <n v="4.5136130073"/>
    <n v="135.40839021899998"/>
    <n v="20.311258532849997"/>
    <n v="11.848234144162499"/>
    <n v="6.7704195109500001"/>
    <n v="27.0816780438"/>
    <n v="13.5408390219"/>
  </r>
  <r>
    <s v="Androy "/>
    <s v="MG23210370"/>
    <x v="0"/>
    <s v="Ambovombe-Androy"/>
    <s v="Maroalomainty"/>
    <n v="1"/>
    <n v="5"/>
    <s v="Res_SO3"/>
    <s v="Urgence"/>
    <s v="Ancienne commune"/>
    <s v="ok"/>
    <s v="Urgence"/>
    <s v="Ancienne commune"/>
    <s v="Urgence"/>
    <m/>
    <s v="Ambovombe-Androy_Maroalomainty"/>
    <n v="16818.456406547753"/>
    <n v="3363.6912813095505"/>
    <n v="2517"/>
    <n v="74.828508013972169"/>
    <n v="2517"/>
    <n v="74.828508013972169"/>
    <n v="0"/>
    <s v="MAJ : plainte et validation"/>
    <n v="2517"/>
    <n v="1009.1073843928651"/>
    <n v="840.92282032738774"/>
    <n v="1850.0302047202529"/>
    <n v="302.03999999999996"/>
    <n v="75.509999999999991"/>
    <n v="2894.55"/>
    <n v="2053.5335272394805"/>
    <n v="377.55000000000018"/>
    <n v="12.585000000000006"/>
    <n v="2"/>
    <n v="4.55"/>
    <n v="3"/>
    <s v="CBT"/>
    <m/>
    <m/>
    <m/>
    <m/>
    <m/>
    <m/>
    <n v="0"/>
    <n v="0"/>
    <n v="0"/>
    <n v="0"/>
    <n v="0"/>
    <n v="0"/>
  </r>
  <r>
    <s v="Atsimo Andrefana"/>
    <s v="MG25217150"/>
    <x v="3"/>
    <s v="Betioky Atsimo"/>
    <s v="Maroarivo Ankazomanga"/>
    <n v="2"/>
    <n v="12"/>
    <s v="Urg_sech"/>
    <s v="Urgence_Resilience"/>
    <s v="Ancienne commune"/>
    <s v="ok"/>
    <s v="Urgence_Resilience"/>
    <s v="Ancienne commune"/>
    <s v="Convergence"/>
    <m/>
    <s v="Betioky Atsimo_Maroarivo Ankazomanga"/>
    <n v="10582.870419620664"/>
    <n v="2116.5740839241325"/>
    <n v="1290.8666667"/>
    <n v="60.988494402555034"/>
    <n v="1598.01343336272"/>
    <n v="75.5"/>
    <n v="307.14676666271998"/>
    <s v="Rajout d'enregistrement"/>
    <n v="1598.01343336272"/>
    <n v="634.97222517723981"/>
    <n v="529.14352098103325"/>
    <n v="1164.1157461582729"/>
    <n v="191.76161200352638"/>
    <n v="47.940403000881595"/>
    <n v="1837.7154483671279"/>
    <n v="1292.1684782356829"/>
    <n v="546.84878166712792"/>
    <n v="18.228292722237597"/>
    <n v="2"/>
    <n v="4.72"/>
    <n v="3"/>
    <s v="CBT"/>
    <m/>
    <m/>
    <m/>
    <m/>
    <m/>
    <m/>
    <n v="0"/>
    <n v="0"/>
    <n v="0"/>
    <n v="0"/>
    <n v="0"/>
    <n v="0"/>
  </r>
  <r>
    <s v="Anosy"/>
    <s v="MG25222032"/>
    <x v="0"/>
    <s v="Amboasary-Atsimo"/>
    <s v="Ranobe"/>
    <n v="1"/>
    <n v="5"/>
    <s v="Urg_sech"/>
    <s v="Urgence"/>
    <s v="Ancienne commune"/>
    <s v="ok"/>
    <s v="Urgence"/>
    <s v="Ancienne commune"/>
    <s v="Urgence"/>
    <m/>
    <s v="Amboasary-Atsimo_Ranobe"/>
    <n v="8321.5737132835366"/>
    <n v="1664.3147426567073"/>
    <n v="1692.4"/>
    <n v="101.68749675908421"/>
    <n v="1692.4"/>
    <n v="101.68749675908421"/>
    <n v="0"/>
    <s v="MAJ : plainte et validation"/>
    <n v="1692.4"/>
    <n v="499.2944227970122"/>
    <n v="416.07868566417687"/>
    <n v="915.37310846118908"/>
    <n v="203.08799999999999"/>
    <n v="50.771999999999998"/>
    <n v="1946.26"/>
    <n v="1016.0641503919198"/>
    <n v="253.8599999999999"/>
    <n v="8.4619999999999962"/>
    <n v="1"/>
    <n v="4.0999999999999996"/>
    <n v="3"/>
    <s v="CBT + Mitigations"/>
    <m/>
    <m/>
    <m/>
    <m/>
    <m/>
    <m/>
    <n v="0"/>
    <n v="0"/>
    <n v="0"/>
    <n v="0"/>
    <n v="0"/>
    <n v="0"/>
  </r>
  <r>
    <s v="Atsimo Andrefana"/>
    <s v="MG23209270"/>
    <x v="3"/>
    <s v="Betioky Atsimo"/>
    <s v="Sakamasay"/>
    <n v="1"/>
    <n v="6"/>
    <s v=" "/>
    <s v="Urgence"/>
    <s v="Ancienne commune"/>
    <s v="ok"/>
    <s v="Urgence"/>
    <s v="Ancienne commune"/>
    <s v="Urgence"/>
    <m/>
    <s v="Betioky Atsimo_Sakamasay"/>
    <n v="7798.1741847797875"/>
    <n v="1559.6348369559576"/>
    <m/>
    <n v="0"/>
    <n v="1180.64357157566"/>
    <n v="75.700000000000017"/>
    <n v="1180.64357157566"/>
    <s v="Nouveau enrégistrement"/>
    <n v="1180.64357157566"/>
    <n v="467.89045108678721"/>
    <n v="389.90870923898939"/>
    <n v="857.7991603257766"/>
    <n v="141.67722858907919"/>
    <n v="35.419307147269798"/>
    <n v="1357.7401073120091"/>
    <n v="952.15706796161203"/>
    <n v="1357.7401073120091"/>
    <n v="45.258003577066965"/>
    <n v="5"/>
    <n v="3.61"/>
    <n v="2"/>
    <s v="Inkind"/>
    <n v="35.419307147269798"/>
    <n v="5.312896072090469"/>
    <n v="3.0991893753861071"/>
    <n v="1.77096535736349"/>
    <n v="7.0838614294539601"/>
    <n v="3.5419307147269801"/>
    <n v="106.2579214418094"/>
    <n v="15.938688216271407"/>
    <n v="9.2975681261583212"/>
    <n v="5.3128960720904699"/>
    <n v="21.25158428836188"/>
    <n v="10.62579214418094"/>
  </r>
  <r>
    <s v="Atsimo Andrefana"/>
    <s v="MG23209050"/>
    <x v="3"/>
    <s v="Betioky Atsimo"/>
    <s v="Salobe"/>
    <n v="1"/>
    <n v="4"/>
    <s v="Urg_sech"/>
    <s v="Urgence"/>
    <s v="Ancienne commune"/>
    <s v="ok"/>
    <s v="Urgence"/>
    <s v="Ancienne commune"/>
    <s v="Urgence"/>
    <m/>
    <s v="Betioky Atsimo_Salobe"/>
    <n v="9117.5104873952896"/>
    <n v="1823.502097479058"/>
    <n v="889.33333332999996"/>
    <n v="48.770622998431378"/>
    <n v="1376.7440835966888"/>
    <n v="75.5"/>
    <n v="487.41075026668886"/>
    <s v="Rajout d'enregistrement"/>
    <n v="1376.7440835966888"/>
    <n v="547.05062924371737"/>
    <n v="455.87552436976449"/>
    <n v="1002.9261536134818"/>
    <n v="165.20929003160265"/>
    <n v="41.302322507900662"/>
    <n v="1583.2556961361922"/>
    <n v="1113.2480305109648"/>
    <n v="693.92236280619227"/>
    <n v="23.130745426873077"/>
    <n v="3"/>
    <n v="3.66"/>
    <n v="2"/>
    <s v="Inkind"/>
    <n v="41.302322507900662"/>
    <n v="6.1953483761850991"/>
    <n v="3.6139532194413078"/>
    <n v="2.0651161253950332"/>
    <n v="8.2604645015801328"/>
    <n v="4.1302322507900664"/>
    <n v="123.90696752370198"/>
    <n v="18.586045128555298"/>
    <n v="10.841859658323923"/>
    <n v="6.1953483761851"/>
    <n v="24.7813935047404"/>
    <n v="12.3906967523702"/>
  </r>
  <r>
    <s v="Fitovinany"/>
    <s v="MG25213390"/>
    <x v="1"/>
    <s v="Vohipeno"/>
    <s v="Savana"/>
    <n v="1"/>
    <n v="2"/>
    <s v="Urg_cycl"/>
    <s v="Urgence"/>
    <s v="Ancienne commune"/>
    <s v="ok"/>
    <s v="Urgence"/>
    <s v="Ancienne commune"/>
    <s v="Convergence"/>
    <m/>
    <s v="Vohipeno_Savana"/>
    <n v="4911.0483339788989"/>
    <n v="982.20966679577975"/>
    <n v="602.35974849000002"/>
    <n v="61.327002660750857"/>
    <n v="741.56829843081368"/>
    <n v="75.5"/>
    <n v="139.20854994081367"/>
    <s v="Rajout d'enregistrement"/>
    <n v="741.56829843081368"/>
    <n v="294.66290003873394"/>
    <n v="245.55241669894497"/>
    <n v="540.2153167376789"/>
    <n v="88.988195811697636"/>
    <n v="22.247048952924409"/>
    <n v="852.80354319543574"/>
    <n v="599.63900157882358"/>
    <n v="250.44379470543572"/>
    <n v="8.3481264901811905"/>
    <n v="1"/>
    <n v="3.54"/>
    <n v="2"/>
    <s v="Inkind"/>
    <n v="22.247048952924409"/>
    <n v="3.3370573429386612"/>
    <n v="1.9466167833808856"/>
    <n v="1.1123524476462205"/>
    <n v="4.4494097905848822"/>
    <n v="2.2247048952924411"/>
    <n v="66.74114685877322"/>
    <n v="10.011172028815984"/>
    <n v="5.8398503501426564"/>
    <n v="3.3370573429386616"/>
    <n v="13.348229371754647"/>
    <n v="6.6741146858773233"/>
  </r>
  <r>
    <s v="Androy "/>
    <s v="MG25217051"/>
    <x v="0"/>
    <s v="Ambovombe-Androy"/>
    <s v="Sihanamaro"/>
    <n v="1"/>
    <n v="6"/>
    <s v="Res_SO3"/>
    <s v="Urgence"/>
    <s v="Ancienne commune"/>
    <s v="ok"/>
    <s v="Urgence"/>
    <s v="Ancienne commune"/>
    <s v="Convergence"/>
    <m/>
    <s v="Ambovombe-Androy_Sihanamaro"/>
    <n v="30813.576694486415"/>
    <n v="6162.7153388972829"/>
    <n v="1960"/>
    <n v="31.80416248709469"/>
    <n v="4652.8500808674489"/>
    <n v="75.5"/>
    <n v="2692.8500808674489"/>
    <s v="Rajout d'enregistrement"/>
    <n v="4652.8500808674489"/>
    <n v="1848.8146016691849"/>
    <n v="1540.678834724321"/>
    <n v="3389.4934363935058"/>
    <n v="558.34200970409381"/>
    <n v="139.58550242602345"/>
    <n v="5350.777592997566"/>
    <n v="3762.3377143967914"/>
    <n v="3390.777592997566"/>
    <n v="113.02591976658553"/>
    <n v="12"/>
    <n v="4.78"/>
    <n v="3"/>
    <s v="CBT"/>
    <m/>
    <m/>
    <m/>
    <m/>
    <m/>
    <m/>
    <n v="0"/>
    <n v="0"/>
    <n v="0"/>
    <n v="0"/>
    <n v="0"/>
    <n v="0"/>
  </r>
  <r>
    <s v="Atsimo Andrefana"/>
    <s v="MG23209070"/>
    <x v="3"/>
    <s v="Betioky Atsimo"/>
    <s v="Soamanonga"/>
    <n v="1"/>
    <n v="5"/>
    <s v=" "/>
    <s v="Urgence"/>
    <s v="Ancienne commune"/>
    <s v="ok"/>
    <s v="Urgence"/>
    <s v="Ancienne commune"/>
    <s v="Urgence"/>
    <m/>
    <s v="Betioky Atsimo_Soamanonga"/>
    <n v="22055.972616248877"/>
    <n v="4411.1945232497756"/>
    <m/>
    <n v="0"/>
    <n v="3339.2742541000798"/>
    <n v="75.7"/>
    <n v="3339.2742541000798"/>
    <s v="Nouveau enrégistrement"/>
    <n v="3339.2742541000798"/>
    <n v="1323.3583569749326"/>
    <n v="1102.7986308124439"/>
    <n v="2426.1569877873762"/>
    <n v="400.71291049200954"/>
    <n v="100.17822762300239"/>
    <n v="3840.1653922150917"/>
    <n v="2693.0342564439875"/>
    <n v="3840.1653922150917"/>
    <n v="128.0055130738364"/>
    <n v="13"/>
    <n v="3.88"/>
    <n v="2"/>
    <s v="Inkind"/>
    <n v="100.17822762300239"/>
    <n v="15.026734143450359"/>
    <n v="8.7655949170127094"/>
    <n v="5.0089113811501198"/>
    <n v="20.035645524600479"/>
    <n v="10.01782276230024"/>
    <n v="300.53468286900716"/>
    <n v="45.080202430351079"/>
    <n v="26.296784751038128"/>
    <n v="15.026734143450359"/>
    <n v="60.106936573801434"/>
    <n v="30.053468286900717"/>
  </r>
  <r>
    <s v="Fitovinany"/>
    <s v="MG23212070"/>
    <x v="1"/>
    <s v="Manakara Atsimo"/>
    <s v="Sorombo"/>
    <n v="2"/>
    <n v="15"/>
    <s v="Urg_cycl"/>
    <s v="Urgence_Resilience"/>
    <s v="Ancienne commune"/>
    <s v=" "/>
    <s v="Urgence_Resilience"/>
    <s v="Ancienne commune"/>
    <s v="Convergence"/>
    <m/>
    <s v="Manakara Atsimo_Sorombo"/>
    <n v="11712.160690998273"/>
    <n v="2342.4321381996547"/>
    <n v="2042.8042617000001"/>
    <n v="87.208684870164802"/>
    <n v="2042.8042617000001"/>
    <n v="87.208684870164802"/>
    <n v="0"/>
    <s v="MAJ : plainte et validation"/>
    <n v="2042.8042617000001"/>
    <n v="702.72964145989636"/>
    <n v="585.60803454991367"/>
    <n v="1288.3376760098099"/>
    <n v="245.136511404"/>
    <n v="61.284127851000001"/>
    <n v="2349.2249009550001"/>
    <n v="1430.054820370889"/>
    <n v="306.42063925499997"/>
    <n v="10.2140213085"/>
    <n v="2"/>
    <n v="3.77"/>
    <n v="2"/>
    <s v="Inkind"/>
    <n v="61.284127851000001"/>
    <n v="9.1926191776500001"/>
    <n v="5.3623611869624996"/>
    <n v="3.06420639255"/>
    <n v="12.2568255702"/>
    <n v="6.1284127851000001"/>
    <n v="183.85238355300001"/>
    <n v="27.577857532949999"/>
    <n v="16.0870835608875"/>
    <n v="9.1926191776500001"/>
    <n v="36.770476710600001"/>
    <n v="18.3852383553"/>
  </r>
  <r>
    <s v="Atsimo Andrefana"/>
    <s v="MG25213552"/>
    <x v="3"/>
    <s v="Betioky Atsimo"/>
    <s v="Tanambao Haut"/>
    <n v="2"/>
    <n v="19"/>
    <s v="Urg_sech"/>
    <s v="Urgence_Resilience"/>
    <s v="Ancienne commune"/>
    <s v="ok"/>
    <s v="Urgence_Resilience"/>
    <s v="Ancienne commune"/>
    <s v="Urgence"/>
    <m/>
    <s v="Betioky Atsimo_Tanambao Haut"/>
    <n v="10554.690420924022"/>
    <n v="2110.9380841848042"/>
    <n v="1152.8"/>
    <n v="54.610791696677587"/>
    <n v="1593.7582535595272"/>
    <n v="75.5"/>
    <n v="440.95825355952729"/>
    <s v="Rajout d'enregistrement"/>
    <n v="1593.7582535595272"/>
    <n v="633.28142525544126"/>
    <n v="527.73452104620117"/>
    <n v="1161.0159463016425"/>
    <n v="191.25099042714325"/>
    <n v="47.812747606785813"/>
    <n v="1832.8219915934562"/>
    <n v="1288.7277003948232"/>
    <n v="680.02199159345628"/>
    <n v="22.667399719781876"/>
    <n v="3"/>
    <n v="3.81"/>
    <n v="2"/>
    <s v="Inkind"/>
    <n v="47.812747606785813"/>
    <n v="7.1719121410178719"/>
    <n v="4.1836154155937582"/>
    <n v="2.3906373803392911"/>
    <n v="9.5625495213571643"/>
    <n v="4.7812747606785821"/>
    <n v="143.43824282035743"/>
    <n v="21.515736423053617"/>
    <n v="12.550846246781274"/>
    <n v="7.1719121410178737"/>
    <n v="28.687648564071495"/>
    <n v="14.343824282035747"/>
  </r>
  <r>
    <s v="Atsimo Antsinanana"/>
    <s v="MG51506311"/>
    <x v="1"/>
    <s v="Vangaindrano"/>
    <s v="Vatanato"/>
    <n v="1"/>
    <n v="2"/>
    <s v="Urg_cycl"/>
    <s v="Urgence"/>
    <s v="Ancienne commune"/>
    <s v="ok"/>
    <s v="Urgence"/>
    <s v="Ancienne commune"/>
    <s v="Urgence"/>
    <m/>
    <s v="Vangaindrano_Vatanato"/>
    <n v="7310.3301599102997"/>
    <n v="1462.0660319820599"/>
    <n v="1089.8101988000001"/>
    <n v="74.539054663802787"/>
    <n v="1089.8101988000001"/>
    <n v="74.539054663802787"/>
    <n v="0"/>
    <s v="MAJ : plainte et validation"/>
    <n v="1089.8101988000001"/>
    <n v="438.61980959461795"/>
    <n v="365.51650799551498"/>
    <n v="804.13631759013288"/>
    <n v="130.77722385600001"/>
    <n v="32.694305964000002"/>
    <n v="1253.2817286200002"/>
    <n v="892.59131252504744"/>
    <n v="163.47152982000011"/>
    <n v="5.4490509940000038"/>
    <n v="1"/>
    <n v="3.63"/>
    <n v="2"/>
    <s v="CBT + Mitigations"/>
    <m/>
    <m/>
    <m/>
    <m/>
    <m/>
    <m/>
    <n v="0"/>
    <n v="0"/>
    <n v="0"/>
    <n v="0"/>
    <n v="0"/>
    <n v="0"/>
  </r>
  <r>
    <s v="Androy "/>
    <s v="MG23210250"/>
    <x v="0"/>
    <s v="Bekily"/>
    <s v="Beteza"/>
    <n v="1"/>
    <n v="1"/>
    <m/>
    <s v="Urgence"/>
    <s v="Urgence"/>
    <m/>
    <s v="Urgence"/>
    <s v="Ancienne commune"/>
    <s v="Convergence"/>
    <m/>
    <s v="Bekily_Beteza"/>
    <n v="17678.528242679597"/>
    <n v="3535.7056485359194"/>
    <m/>
    <n v="0"/>
    <n v="2669.4577646446191"/>
    <n v="75.5"/>
    <n v="2669.4577646446191"/>
    <s v="Nouveau enrégistrement"/>
    <n v="2669.4577646446191"/>
    <n v="1060.7116945607759"/>
    <n v="883.92641213397985"/>
    <n v="1944.6381066947556"/>
    <n v="320.3349317573543"/>
    <n v="80.083732939338574"/>
    <n v="3069.8764293413119"/>
    <n v="2158.5482984311789"/>
    <n v="3069.8764293413119"/>
    <n v="102.32921431137706"/>
    <n v="11"/>
    <m/>
    <m/>
    <s v="CBT + Mitigations"/>
    <m/>
    <m/>
    <m/>
    <m/>
    <m/>
    <m/>
    <m/>
    <m/>
    <m/>
    <m/>
    <m/>
    <m/>
  </r>
  <r>
    <s v="Androy "/>
    <s v="MG23210452"/>
    <x v="0"/>
    <s v="Bekily"/>
    <s v="Mikaikarivo ambatomainty"/>
    <n v="1"/>
    <n v="6"/>
    <m/>
    <s v="Urgence"/>
    <s v="Urgence"/>
    <m/>
    <s v="Urgence"/>
    <s v="Ancienne commune"/>
    <s v="Convergence"/>
    <m/>
    <s v="Bekily_Mikaikarivo ambatomainty"/>
    <n v="6407"/>
    <n v="1281.4000000000001"/>
    <m/>
    <n v="0"/>
    <n v="967.45700000000011"/>
    <n v="75.5"/>
    <n v="967.45700000000011"/>
    <s v="Nouveau enrégistrement"/>
    <n v="967.45700000000011"/>
    <n v="384.41999999999996"/>
    <n v="320.35000000000002"/>
    <n v="704.77"/>
    <n v="116.09484"/>
    <n v="29.023710000000001"/>
    <n v="1112.57555"/>
    <n v="782.29469999999992"/>
    <n v="1112.57555"/>
    <n v="37.08585166666667"/>
    <n v="4"/>
    <m/>
    <m/>
    <s v="Inkind"/>
    <n v="29.023710000000001"/>
    <n v="4.3535564999999998"/>
    <n v="2.5395746250000002"/>
    <n v="1.4511855000000002"/>
    <n v="5.804742000000001"/>
    <n v="2.9023710000000005"/>
    <n v="87.071130000000011"/>
    <n v="13.060669499999999"/>
    <n v="7.6187238750000006"/>
    <n v="4.3535565000000007"/>
    <n v="17.414226000000003"/>
    <n v="8.7071130000000014"/>
  </r>
  <r>
    <s v="Androy "/>
    <s v="MG23210531"/>
    <x v="0"/>
    <s v="Bekily"/>
    <s v="Morafeno Bekily"/>
    <n v="1"/>
    <n v="4"/>
    <m/>
    <s v="Urgence"/>
    <s v="Urgence"/>
    <m/>
    <s v="Urgence"/>
    <s v="Ancienne commune"/>
    <s v="Convergence"/>
    <m/>
    <s v="Bekily_Morafeno Bekily"/>
    <n v="29000.628918324008"/>
    <n v="5800.1257836648019"/>
    <m/>
    <n v="0"/>
    <n v="4379.0949666669258"/>
    <n v="75.5"/>
    <n v="4379.0949666669258"/>
    <s v="Nouveau enrégistrement"/>
    <n v="4379.0949666669258"/>
    <n v="1740.0377350994404"/>
    <n v="1450.0314459162005"/>
    <n v="3190.0691810156409"/>
    <n v="525.49139600003105"/>
    <n v="131.37284900000776"/>
    <n v="5035.9592116669646"/>
    <n v="3540.9767909273614"/>
    <n v="5035.9592116669646"/>
    <n v="167.86530705556549"/>
    <n v="17"/>
    <m/>
    <m/>
    <s v="CBT"/>
    <m/>
    <m/>
    <m/>
    <m/>
    <m/>
    <m/>
    <m/>
    <m/>
    <m/>
    <m/>
    <m/>
    <m/>
  </r>
  <r>
    <s v="Androy "/>
    <s v="MG23210472"/>
    <x v="0"/>
    <s v="Bekily"/>
    <s v="Tsirandrany"/>
    <n v="1"/>
    <n v="5"/>
    <m/>
    <s v="Urgence"/>
    <s v="Urgence"/>
    <m/>
    <s v="Urgence"/>
    <s v="Ancienne commune"/>
    <s v="Convergence"/>
    <m/>
    <s v="Bekily_Tsirandrany"/>
    <n v="5421.8510277733794"/>
    <n v="1084.370205554676"/>
    <m/>
    <n v="0"/>
    <n v="818.6995051937804"/>
    <n v="75.5"/>
    <n v="818.6995051937804"/>
    <s v="Nouveau enrégistrement"/>
    <n v="818.6995051937804"/>
    <n v="325.31106166640274"/>
    <n v="271.09255138866899"/>
    <n v="596.40361305507167"/>
    <n v="98.24394062325365"/>
    <n v="24.560985155813412"/>
    <n v="941.50443097284744"/>
    <n v="662.00801049112954"/>
    <n v="941.50443097284744"/>
    <n v="31.383481032428246"/>
    <n v="4"/>
    <m/>
    <m/>
    <s v="Inkind"/>
    <n v="24.560985155813412"/>
    <n v="3.6841477733720116"/>
    <n v="2.1490862011336733"/>
    <n v="1.2280492577906705"/>
    <n v="4.9121970311626821"/>
    <n v="2.4560985155813411"/>
    <n v="73.682955467440237"/>
    <n v="11.052443320116035"/>
    <n v="6.4472586034010195"/>
    <n v="3.6841477733720116"/>
    <n v="14.736591093488046"/>
    <n v="7.3682955467440232"/>
  </r>
  <r>
    <s v="Antsimo Andrefana "/>
    <s v="MG23209251"/>
    <x v="3"/>
    <s v="Betioky Atsimo"/>
    <s v="Tameantsoa"/>
    <n v="1"/>
    <n v="8"/>
    <s v="Resilience "/>
    <s v=" "/>
    <s v="Urgence"/>
    <s v="Ancienne commune"/>
    <s v="FFA"/>
    <s v="Urgence"/>
    <s v="Convergence"/>
    <m/>
    <s v="Betioky Atsimo_Tameantsoa"/>
    <n v="16085.65561965581"/>
    <n v="3217.1311239311622"/>
    <n v="1971.2"/>
    <n v="61.2719819014184"/>
    <n v="2428.9339985680276"/>
    <n v="75.500000000000014"/>
    <n v="457.73399856802757"/>
    <s v="Rajout d'enregistrement"/>
    <n v="2428.9339985680276"/>
    <n v="965.13933717934856"/>
    <n v="804.28278098279054"/>
    <n v="1769.4221181621392"/>
    <n v="291.47207982816332"/>
    <n v="72.868019957040829"/>
    <n v="2793.2740983532317"/>
    <n v="1964.0585511599745"/>
    <n v="822.07409835323165"/>
    <n v="27.402469945107722"/>
    <n v="3"/>
    <m/>
    <m/>
    <s v="Inkind"/>
    <n v="72.868019957040829"/>
    <n v="10.930202993556124"/>
    <n v="6.3759517462410722"/>
    <n v="3.6434009978520416"/>
    <n v="14.573603991408167"/>
    <n v="7.2868019957040833"/>
    <n v="218.6040598711225"/>
    <n v="32.790608980668374"/>
    <n v="19.127855238723217"/>
    <n v="10.930202993556126"/>
    <n v="43.720811974224503"/>
    <n v="21.860405987112252"/>
  </r>
  <r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9.7253488507145"/>
    <n v="421.4588023276072"/>
    <n v="245.85096802443755"/>
    <n v="140.48626744253579"/>
    <n v="561.94506977014316"/>
    <n v="280.97253488507158"/>
    <n v="8429.1760465521456"/>
    <n v="1264.3764069828217"/>
    <n v="737.55290407331245"/>
    <n v="421.4588023276072"/>
    <n v="1685.8352093104288"/>
    <n v="842.9176046552144"/>
  </r>
  <r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Androy "/>
    <s v="MG23210390"/>
    <x v="0"/>
    <x v="0"/>
    <x v="0"/>
    <n v="1"/>
    <n v="2"/>
    <s v="Urg_sech"/>
    <s v="Urgence"/>
    <s v="Ancienne commune"/>
    <s v="Urgence"/>
    <s v="Urgence"/>
    <s v="Ancienne commune"/>
    <s v="Urgence"/>
    <m/>
    <s v="Bekily_Ambahita"/>
    <n v="29541.768341057414"/>
    <n v="5908.3536682114827"/>
    <n v="3640.6727273000001"/>
    <n v="61.61907244801187"/>
    <n v="4460.8070194996699"/>
    <n v="75.500000000000014"/>
    <n v="820.13429219966974"/>
    <s v="Rajout d'enregistrement"/>
    <n v="4460.8070194996699"/>
    <n v="1772.5061004634447"/>
    <n v="1477.0884170528707"/>
    <n v="3249.5945175163151"/>
    <n v="535.29684233996034"/>
    <n v="133.82421058499008"/>
    <n v="5129.928072424621"/>
    <n v="3607.0499144431096"/>
    <n v="1489.2553451246208"/>
    <n v="49.641844837487362"/>
    <n v="5"/>
    <n v="3.57"/>
    <n v="2"/>
    <s v="Inkind"/>
    <n v="133.82421058499008"/>
    <n v="20.073631587748512"/>
    <n v="11.709618426186632"/>
    <n v="6.6912105292495045"/>
    <n v="26.764842116998018"/>
    <n v="13.382421058499009"/>
    <n v="401.47263175497028"/>
    <n v="60.220894763245539"/>
    <n v="35.128855278559897"/>
    <n v="20.073631587748515"/>
    <n v="80.294526350994062"/>
    <n v="40.147263175497031"/>
  </r>
  <r>
    <s v="Atsimo Antsinanana"/>
    <s v="MG51506330a"/>
    <x v="1"/>
    <x v="1"/>
    <x v="1"/>
    <n v="1"/>
    <n v="2"/>
    <s v=" "/>
    <s v="Urgence"/>
    <s v="Ancienne commune"/>
    <s v="ok"/>
    <s v="Urgence"/>
    <s v="Ancienne commune"/>
    <s v="Convergence"/>
    <m/>
    <s v="Farafangana_Ambalavato Nord"/>
    <n v="17251.150335337265"/>
    <n v="3450.2300670674531"/>
    <m/>
    <n v="0"/>
    <n v="2611.824160770062"/>
    <n v="75.7"/>
    <n v="2611.824160770062"/>
    <s v="Nouveau enrégistrement"/>
    <n v="2611.824160770062"/>
    <n v="1035.0690201202358"/>
    <n v="862.55751676686327"/>
    <n v="1897.6265368870991"/>
    <n v="313.41889929240745"/>
    <n v="78.354724823101861"/>
    <n v="3003.5977848855714"/>
    <n v="2106.36545594468"/>
    <n v="3003.5977848855714"/>
    <n v="100.11992616285238"/>
    <n v="11"/>
    <n v="4.55"/>
    <n v="3"/>
    <s v="CBT"/>
    <m/>
    <m/>
    <m/>
    <m/>
    <m/>
    <m/>
    <n v="0"/>
    <n v="0"/>
    <n v="0"/>
    <n v="0"/>
    <n v="0"/>
    <n v="0"/>
  </r>
  <r>
    <s v="Androy "/>
    <s v="MG25214212"/>
    <x v="0"/>
    <x v="2"/>
    <x v="2"/>
    <n v="1"/>
    <n v="2"/>
    <s v="AA"/>
    <s v="Urgence"/>
    <s v="Ancienne commune"/>
    <s v="ok"/>
    <s v="Urgence"/>
    <s v="Ancienne commune"/>
    <s v="Convergence"/>
    <m/>
    <s v="Ambovombe-Androy_Ambanisarika"/>
    <n v="16589.713896938221"/>
    <n v="3317.9427793876444"/>
    <n v="944"/>
    <n v="28.45136467887561"/>
    <n v="2505.0467984376714"/>
    <n v="75.5"/>
    <n v="1561.0467984376714"/>
    <s v="Rajout d'enregistrement"/>
    <n v="2505.0467984376714"/>
    <n v="995.38283381629321"/>
    <n v="829.48569484691109"/>
    <n v="1824.8685286632044"/>
    <n v="300.60561581252057"/>
    <n v="75.151403953130142"/>
    <n v="2880.8038182033224"/>
    <n v="2025.604066816157"/>
    <n v="1936.8038182033224"/>
    <n v="64.560127273444081"/>
    <n v="7"/>
    <n v="4.3099999999999996"/>
    <n v="3"/>
    <s v="Inkind"/>
    <n v="75.151403953130142"/>
    <n v="11.272710592969521"/>
    <n v="6.5757478458988867"/>
    <n v="3.7575701976565075"/>
    <n v="15.03028079062603"/>
    <n v="7.5151403953130149"/>
    <n v="225.45421185939043"/>
    <n v="33.818131778908565"/>
    <n v="19.727243537696658"/>
    <n v="11.272710592969522"/>
    <n v="45.09084237187809"/>
    <n v="22.545421185939045"/>
  </r>
  <r>
    <s v="Atsimo Antsinanana"/>
    <s v="MG53519110"/>
    <x v="1"/>
    <x v="3"/>
    <x v="3"/>
    <n v="2"/>
    <n v="10"/>
    <s v="Urg_cycl"/>
    <s v="Urgence_Resilience"/>
    <s v="Ancienne commune"/>
    <s v=" "/>
    <s v="Urgence_Resilience"/>
    <s v="Ancienne commune"/>
    <s v="Urgence"/>
    <m/>
    <s v="Vangaindrano_Ambatolava"/>
    <n v="8313.8845015964616"/>
    <n v="1662.7769003192923"/>
    <n v="1333.1354768000001"/>
    <n v="80.175246393187606"/>
    <n v="1333.1354768000001"/>
    <n v="80.175246393187606"/>
    <n v="0"/>
    <s v="MAJ : plainte et validation"/>
    <n v="1333.1354768000001"/>
    <n v="498.83307009578766"/>
    <n v="415.69422507982313"/>
    <n v="914.52729517561079"/>
    <n v="159.97625721599999"/>
    <n v="39.994064303999998"/>
    <n v="1533.1057983200001"/>
    <n v="1015.125297644928"/>
    <n v="199.97032151999997"/>
    <n v="6.6656773839999994"/>
    <n v="1"/>
    <n v="3.73"/>
    <n v="2"/>
    <s v="Inkind"/>
    <n v="39.994064303999998"/>
    <n v="5.9991096455999999"/>
    <n v="3.4994806266"/>
    <n v="1.9997032152000003"/>
    <n v="7.9988128608000011"/>
    <n v="3.9994064304000005"/>
    <n v="119.98219291199999"/>
    <n v="17.997328936799999"/>
    <n v="10.4984418798"/>
    <n v="5.9991096456000008"/>
    <n v="23.996438582400003"/>
    <n v="11.998219291200002"/>
  </r>
  <r>
    <s v="Androy "/>
    <s v="MG51520111"/>
    <x v="0"/>
    <x v="4"/>
    <x v="4"/>
    <n v="1"/>
    <n v="2"/>
    <s v=" "/>
    <s v="Urgence"/>
    <s v="Ancienne commune"/>
    <s v="ok"/>
    <s v="Urgence"/>
    <s v="Ancienne commune"/>
    <s v="Convergence"/>
    <m/>
    <s v="Beloha_Ambatotsivala"/>
    <n v="10526.076742203237"/>
    <n v="2105.2153484406472"/>
    <m/>
    <n v="0"/>
    <n v="1593.6480187695699"/>
    <n v="75.7"/>
    <n v="1593.6480187695699"/>
    <s v="Nouveau enrégistrement"/>
    <n v="1593.6480187695699"/>
    <n v="631.56460453219415"/>
    <n v="526.30383711016191"/>
    <n v="1157.8684416423562"/>
    <n v="191.23776225234838"/>
    <n v="47.809440563087094"/>
    <n v="1832.6952215850054"/>
    <n v="1285.2339702230154"/>
    <n v="1832.6952215850054"/>
    <n v="61.089840719500181"/>
    <n v="7"/>
    <n v="5.03"/>
    <n v="4"/>
    <s v="CBT"/>
    <m/>
    <m/>
    <m/>
    <m/>
    <m/>
    <m/>
    <n v="0"/>
    <n v="0"/>
    <n v="0"/>
    <n v="0"/>
    <n v="0"/>
    <n v="0"/>
  </r>
  <r>
    <s v="Vatovavy "/>
    <s v="MG52516033"/>
    <x v="1"/>
    <x v="5"/>
    <x v="5"/>
    <n v="2"/>
    <n v="16"/>
    <s v="Urg_cycl"/>
    <s v="Urgence_Resilience"/>
    <s v="Ancienne commune"/>
    <s v=" "/>
    <s v="Urgence_Resilience"/>
    <s v="Ancienne commune"/>
    <s v="Convergence"/>
    <m/>
    <s v="Mananjary_Ambohitsara Est"/>
    <n v="7650.2020323446632"/>
    <n v="1530.0404064689326"/>
    <n v="1145.039597"/>
    <n v="74.83721293626175"/>
    <n v="1145.039597"/>
    <n v="74.83721293626175"/>
    <n v="0"/>
    <s v="MAJ : plainte et validation"/>
    <n v="1145.039597"/>
    <n v="459.01212194067978"/>
    <n v="382.5101016172332"/>
    <n v="841.52222355791298"/>
    <n v="137.40475164"/>
    <n v="34.35118791"/>
    <n v="1316.79553655"/>
    <n v="934.0896681492834"/>
    <n v="171.75593954999999"/>
    <n v="5.7251979849999994"/>
    <n v="1"/>
    <n v="4.32"/>
    <n v="3"/>
    <s v="CBT + Mitigations"/>
    <m/>
    <m/>
    <m/>
    <m/>
    <m/>
    <m/>
    <n v="0"/>
    <n v="0"/>
    <n v="0"/>
    <n v="0"/>
    <n v="0"/>
    <n v="0"/>
  </r>
  <r>
    <s v="Atsimo Antsinanana"/>
    <s v="MG25213050a"/>
    <x v="1"/>
    <x v="3"/>
    <x v="6"/>
    <n v="2"/>
    <n v="9"/>
    <s v=" "/>
    <s v="Urgence_Resilience"/>
    <s v="Ancienne commune"/>
    <s v=" "/>
    <s v="Urgence_Resilience"/>
    <s v="Ancienne commune"/>
    <s v="Urgence"/>
    <m/>
    <s v="Vangaindrano_Ambongo"/>
    <n v="10315.873009756104"/>
    <n v="2063.1746019512207"/>
    <m/>
    <n v="0"/>
    <n v="1561.823173677074"/>
    <n v="75.7"/>
    <n v="1561.823173677074"/>
    <s v="Nouveau enrégistrement"/>
    <n v="1561.823173677074"/>
    <n v="618.9523805853662"/>
    <n v="515.79365048780517"/>
    <n v="1134.7460310731713"/>
    <n v="187.41878084124886"/>
    <n v="46.854695210312215"/>
    <n v="1796.0966497286352"/>
    <n v="1259.5680944912201"/>
    <n v="1796.0966497286352"/>
    <n v="59.869888324287835"/>
    <n v="6"/>
    <n v="3.54"/>
    <n v="2"/>
    <s v="Inkind"/>
    <n v="46.854695210312215"/>
    <n v="7.0282042815468326"/>
    <n v="4.0997858309023192"/>
    <n v="2.342734760515611"/>
    <n v="9.3709390420624441"/>
    <n v="4.6854695210312221"/>
    <n v="140.56408563093663"/>
    <n v="21.084612844640496"/>
    <n v="12.299357492706957"/>
    <n v="7.0282042815468326"/>
    <n v="28.112817126187331"/>
    <n v="14.056408563093665"/>
  </r>
  <r>
    <s v="Fitovinany"/>
    <s v="MG52516032"/>
    <x v="1"/>
    <x v="6"/>
    <x v="7"/>
    <n v="2"/>
    <n v="6"/>
    <s v="Urg_cycl"/>
    <s v="Urgence_Resilience"/>
    <s v="Ancienne commune"/>
    <s v=" "/>
    <s v="Urgence_Resilience"/>
    <s v="Ancienne commune"/>
    <s v="Convergence"/>
    <m/>
    <s v="Vohipeno_Amborobe"/>
    <n v="4967.4144564934304"/>
    <n v="993.48289129868613"/>
    <n v="609.27327914"/>
    <n v="61.327002656639081"/>
    <n v="750.07958293050808"/>
    <n v="75.5"/>
    <n v="140.80630379050808"/>
    <s v="Rajout d'enregistrement"/>
    <n v="750.07958293050808"/>
    <n v="298.04486738960583"/>
    <n v="248.37072282467153"/>
    <n v="546.41559021427736"/>
    <n v="90.009549951660972"/>
    <n v="22.502387487915243"/>
    <n v="862.59152037008425"/>
    <n v="606.52130513784789"/>
    <n v="253.31824123008425"/>
    <n v="8.4439413743361413"/>
    <n v="1"/>
    <n v="4.0999999999999996"/>
    <n v="3"/>
    <s v="Inkind"/>
    <n v="22.502387487915243"/>
    <n v="3.375358123187286"/>
    <n v="1.9689589051925835"/>
    <n v="1.1251193743957622"/>
    <n v="4.5004774975830486"/>
    <n v="2.2502387487915243"/>
    <n v="67.507162463745729"/>
    <n v="10.126074369561858"/>
    <n v="5.9068767155777504"/>
    <n v="3.3753581231872865"/>
    <n v="13.501432492749146"/>
    <n v="6.7507162463745729"/>
  </r>
  <r>
    <s v="Atsimo Andrefana"/>
    <s v="MG51520191"/>
    <x v="2"/>
    <x v="7"/>
    <x v="8"/>
    <n v="1"/>
    <n v="15"/>
    <s v=" "/>
    <s v="Urgence"/>
    <s v="Ancienne commune"/>
    <s v="ok"/>
    <s v="Urgence"/>
    <s v="Ancienne commune"/>
    <s v="Urgence"/>
    <m/>
    <s v="Ampanihy Ouest_Ampanihy Ouest"/>
    <n v="52754.23846914513"/>
    <n v="10550.847693829026"/>
    <m/>
    <n v="0"/>
    <n v="7986.9917042285724"/>
    <n v="75.7"/>
    <n v="7986.9917042285724"/>
    <s v="Nouveau enrégistrement"/>
    <n v="7986.9917042285724"/>
    <n v="3165.2543081487079"/>
    <n v="2637.7119234572565"/>
    <n v="5802.9662316059639"/>
    <n v="958.43900450742865"/>
    <n v="239.60975112685716"/>
    <n v="9185.0404598628575"/>
    <n v="6441.2925170826202"/>
    <n v="9185.0404598628575"/>
    <n v="306.1680153287619"/>
    <n v="31"/>
    <n v="2.09"/>
    <n v="1"/>
    <s v="CBT + Mitigations"/>
    <m/>
    <m/>
    <m/>
    <m/>
    <m/>
    <m/>
    <n v="0"/>
    <n v="0"/>
    <n v="0"/>
    <n v="0"/>
    <n v="0"/>
    <n v="0"/>
  </r>
  <r>
    <s v="Atsimo Andrefana"/>
    <s v="MG23207172"/>
    <x v="2"/>
    <x v="7"/>
    <x v="9"/>
    <n v="1"/>
    <n v="5"/>
    <s v="AA"/>
    <s v="Urgence"/>
    <s v="Ancienne commune"/>
    <s v="ok"/>
    <s v="Urgence"/>
    <s v="Ancienne commune"/>
    <s v="Urgence"/>
    <m/>
    <s v="Ampanihy Ouest_Anavoha"/>
    <n v="12187.849436297582"/>
    <n v="2437.5698872595162"/>
    <n v="400"/>
    <n v="16.409785913859789"/>
    <n v="1840.3652648809348"/>
    <n v="75.5"/>
    <n v="1440.3652648809348"/>
    <s v="Rajout d'enregistrement"/>
    <n v="1840.3652648809348"/>
    <n v="731.27096617785492"/>
    <n v="609.39247181487906"/>
    <n v="1340.6634379927341"/>
    <n v="220.84383178571215"/>
    <n v="55.210957946428039"/>
    <n v="2116.4200546130751"/>
    <n v="1488.1364161719348"/>
    <n v="1716.4200546130751"/>
    <n v="57.214001820435833"/>
    <n v="6"/>
    <n v="4.3099999999999996"/>
    <n v="3"/>
    <s v="Inkind"/>
    <n v="55.210957946428039"/>
    <n v="8.2816436919642058"/>
    <n v="4.8309588203124534"/>
    <n v="2.7605478973214024"/>
    <n v="11.04219158928561"/>
    <n v="5.5210957946428048"/>
    <n v="165.63287383928412"/>
    <n v="24.844931075892617"/>
    <n v="14.49287646093736"/>
    <n v="8.2816436919642076"/>
    <n v="33.12657476785683"/>
    <n v="16.563287383928415"/>
  </r>
  <r>
    <s v="Atsimo Antsinanana"/>
    <s v="MG51506113"/>
    <x v="1"/>
    <x v="8"/>
    <x v="10"/>
    <n v="1"/>
    <n v="5"/>
    <s v=" "/>
    <s v="Urgence"/>
    <s v="Ancienne commune"/>
    <s v="ok"/>
    <s v="Urgence"/>
    <s v="Ancienne commune"/>
    <s v="Urgence"/>
    <m/>
    <s v="Vondrozo_Andakana"/>
    <n v="9390.4013400633794"/>
    <n v="1878.0802680126758"/>
    <m/>
    <n v="0"/>
    <n v="1421.7067628855957"/>
    <n v="75.7"/>
    <n v="1421.7067628855957"/>
    <s v="Nouveau enrégistrement"/>
    <n v="1421.7067628855957"/>
    <n v="563.42408040380269"/>
    <n v="469.520067003169"/>
    <n v="1032.9441474069718"/>
    <n v="170.60481154627149"/>
    <n v="42.651202886567873"/>
    <n v="1634.9627773184352"/>
    <n v="1146.5680036217386"/>
    <n v="1634.9627773184352"/>
    <n v="54.498759243947838"/>
    <n v="6"/>
    <n v="4.62"/>
    <n v="3"/>
    <s v="CBT"/>
    <m/>
    <m/>
    <m/>
    <m/>
    <m/>
    <m/>
    <n v="0"/>
    <n v="0"/>
    <n v="0"/>
    <n v="0"/>
    <n v="0"/>
    <n v="0"/>
  </r>
  <r>
    <s v="Androy "/>
    <s v="MG23210052"/>
    <x v="0"/>
    <x v="9"/>
    <x v="11"/>
    <n v="1"/>
    <n v="4"/>
    <s v="Urg_sech"/>
    <s v="Urgence"/>
    <s v="Ancienne commune"/>
    <s v="ok"/>
    <s v="Urgence"/>
    <s v="Ancienne commune"/>
    <s v="Convergence"/>
    <m/>
    <s v="Antanimora Sud_Andalatanosy"/>
    <n v="49864.559994823205"/>
    <n v="9972.9119989646406"/>
    <n v="6765.6"/>
    <n v="67.839764360724189"/>
    <n v="7529.548559218304"/>
    <n v="75.5"/>
    <n v="763.94855921830367"/>
    <s v="Rajout d'enregistrement"/>
    <n v="7529.548559218304"/>
    <n v="2991.873599689392"/>
    <n v="2493.2279997411606"/>
    <n v="5485.1015994305526"/>
    <n v="903.5458271061965"/>
    <n v="225.88645677654912"/>
    <n v="8658.9808431010497"/>
    <n v="6088.4627753679133"/>
    <n v="1893.3808431010493"/>
    <n v="63.112694770034977"/>
    <n v="7"/>
    <n v="3.61"/>
    <n v="2"/>
    <s v="Inkind"/>
    <n v="225.88645677654912"/>
    <n v="33.882968516482364"/>
    <n v="19.765064967948046"/>
    <n v="11.294322838827457"/>
    <n v="45.177291355309826"/>
    <n v="22.588645677654913"/>
    <n v="677.65937032964734"/>
    <n v="101.64890554944709"/>
    <n v="59.295194903844134"/>
    <n v="33.882968516482372"/>
    <n v="135.53187406592949"/>
    <n v="67.765937032964743"/>
  </r>
  <r>
    <s v="Atsimo Andrefana"/>
    <s v="MG25214230"/>
    <x v="2"/>
    <x v="7"/>
    <x v="12"/>
    <n v="1"/>
    <n v="3"/>
    <s v="Urg_sech"/>
    <s v="Urgence"/>
    <s v="Ancienne commune"/>
    <s v="ok"/>
    <s v="Urgence"/>
    <s v="Ancienne commune"/>
    <s v="Convergence"/>
    <m/>
    <s v="Ampanihy Ouest_Androipano"/>
    <n v="20666.18631689177"/>
    <n v="4133.2372633783543"/>
    <n v="2311"/>
    <n v="55.912589883869252"/>
    <n v="3120.5941338506573"/>
    <n v="75.5"/>
    <n v="809.59413385065727"/>
    <s v="Rajout d'enregistrement"/>
    <n v="3120.5941338506573"/>
    <n v="1239.9711790135061"/>
    <n v="1033.3093158445886"/>
    <n v="2273.2804948580947"/>
    <n v="374.47129606207886"/>
    <n v="93.617824015519716"/>
    <n v="3588.6832539282559"/>
    <n v="2523.3413492924851"/>
    <n v="1277.6832539282559"/>
    <n v="42.589441797608529"/>
    <n v="5"/>
    <n v="3.32"/>
    <n v="1"/>
    <s v="Inkind"/>
    <n v="93.617824015519716"/>
    <n v="14.042673602327957"/>
    <n v="8.1915596013579748"/>
    <n v="4.680891200775986"/>
    <n v="18.723564803103944"/>
    <n v="9.3617824015519719"/>
    <n v="280.85347204655915"/>
    <n v="42.128020806983869"/>
    <n v="24.574678804073926"/>
    <n v="14.042673602327959"/>
    <n v="56.170694409311835"/>
    <n v="28.085347204655918"/>
  </r>
  <r>
    <s v="Atsimo Andrefana"/>
    <s v="MG25214112"/>
    <x v="2"/>
    <x v="7"/>
    <x v="13"/>
    <n v="1"/>
    <n v="16"/>
    <s v="Urg_sech"/>
    <s v="Urgence"/>
    <s v="Ancienne commune"/>
    <s v="ok"/>
    <s v="Urgence"/>
    <s v="Ancienne commune"/>
    <s v="Convergence"/>
    <m/>
    <s v="Ampanihy Ouest_Androka"/>
    <n v="49359.82953523146"/>
    <n v="9871.9659070462912"/>
    <n v="7000"/>
    <n v="70.907862384366879"/>
    <n v="7453.3342598199497"/>
    <n v="75.5"/>
    <n v="453.33425981994969"/>
    <s v="Rajout d'enregistrement"/>
    <n v="7453.3342598199497"/>
    <n v="2961.5897721138876"/>
    <n v="2467.9914767615733"/>
    <n v="5429.5812488754609"/>
    <n v="894.4001111783939"/>
    <n v="223.60002779459847"/>
    <n v="8571.334398792942"/>
    <n v="6026.8351862517611"/>
    <n v="1571.334398792942"/>
    <n v="52.377813293098065"/>
    <n v="6"/>
    <n v="3.98"/>
    <n v="2"/>
    <s v="Inkind"/>
    <n v="223.60002779459847"/>
    <n v="33.540004169189771"/>
    <n v="19.565002432027367"/>
    <n v="11.180001389729926"/>
    <n v="44.720005558919702"/>
    <n v="22.360002779459851"/>
    <n v="670.80008338379548"/>
    <n v="100.62001250756931"/>
    <n v="58.695007296082096"/>
    <n v="33.540004169189778"/>
    <n v="134.16001667675911"/>
    <n v="67.080008338379557"/>
  </r>
  <r>
    <s v="Androy "/>
    <s v="MG25217071"/>
    <x v="0"/>
    <x v="2"/>
    <x v="14"/>
    <n v="1"/>
    <n v="1"/>
    <s v="Urg_sech"/>
    <s v="Urgence"/>
    <s v="Ancienne commune"/>
    <s v="ok"/>
    <s v="Urgence"/>
    <s v="Ancienne commune"/>
    <s v="Urgence"/>
    <m/>
    <s v="Ambovombe-Androy_Anjeky Ankilikira"/>
    <n v="19993.402439928064"/>
    <n v="3998.6804879856127"/>
    <n v="3397"/>
    <n v="84.953024134000842"/>
    <n v="3397"/>
    <n v="84.953024134000842"/>
    <n v="0"/>
    <s v="MAJ : plainte et validation"/>
    <n v="3397"/>
    <n v="1199.6041463956838"/>
    <n v="999.67012199640328"/>
    <n v="2199.2742683920869"/>
    <n v="407.64"/>
    <n v="101.91"/>
    <n v="3906.5499999999997"/>
    <n v="2441.1944379152164"/>
    <n v="509.54999999999973"/>
    <n v="16.984999999999992"/>
    <n v="2"/>
    <n v="2.5299999999999998"/>
    <n v="1"/>
    <s v="CBT + Mitigations"/>
    <m/>
    <m/>
    <m/>
    <m/>
    <m/>
    <m/>
    <n v="0"/>
    <n v="0"/>
    <n v="0"/>
    <n v="0"/>
    <n v="0"/>
    <n v="0"/>
  </r>
  <r>
    <s v="Atsimo Andrefana"/>
    <s v="MG25213370"/>
    <x v="3"/>
    <x v="10"/>
    <x v="15"/>
    <n v="2"/>
    <n v="20"/>
    <s v="Urg_sech"/>
    <s v="Urgence_Resilience"/>
    <s v="Ancienne commune"/>
    <s v="ok"/>
    <s v="Urgence_Resilience"/>
    <s v="Ancienne commune"/>
    <s v="Convergence"/>
    <m/>
    <s v="Betioky Atsimo_Ankazomanga Ouest"/>
    <n v="7435.6769288184405"/>
    <n v="1487.1353857636882"/>
    <n v="725.33333332999996"/>
    <n v="48.773860152451405"/>
    <n v="1122.7872162515846"/>
    <n v="75.5"/>
    <n v="397.45388292158464"/>
    <s v="Rajout d'enregistrement"/>
    <n v="1122.7872162515846"/>
    <n v="446.1406157291064"/>
    <n v="371.78384644092205"/>
    <n v="817.92446217002839"/>
    <n v="134.73446595019016"/>
    <n v="33.683616487547539"/>
    <n v="1291.2052986893223"/>
    <n v="907.89615300873152"/>
    <n v="565.8719653593223"/>
    <n v="18.862398845310743"/>
    <n v="2"/>
    <n v="4.1500000000000004"/>
    <n v="3"/>
    <s v="CBT + Mitigations"/>
    <m/>
    <m/>
    <m/>
    <m/>
    <m/>
    <m/>
    <n v="0"/>
    <n v="0"/>
    <n v="0"/>
    <n v="0"/>
    <n v="0"/>
    <n v="0"/>
  </r>
  <r>
    <s v="Atsimo Andrefana"/>
    <s v="MG25213190"/>
    <x v="3"/>
    <x v="10"/>
    <x v="16"/>
    <n v="2"/>
    <n v="16"/>
    <s v="Urg_sech"/>
    <s v="Urgence_Resilience"/>
    <s v="Ancienne commune"/>
    <s v="ok"/>
    <s v="Urgence_Resilience"/>
    <s v="Ancienne commune"/>
    <s v="Convergence"/>
    <m/>
    <s v="Betioky Atsimo_Ankazombalala"/>
    <n v="25604.090633962413"/>
    <n v="5120.8181267924829"/>
    <n v="2400"/>
    <n v="46.867511022174952"/>
    <n v="3866.2176857283248"/>
    <n v="75.5"/>
    <n v="1466.2176857283248"/>
    <s v="Rajout d'enregistrement"/>
    <n v="3866.2176857283248"/>
    <n v="1536.2454380377446"/>
    <n v="1280.2045316981207"/>
    <n v="2816.4499697358651"/>
    <n v="463.94612228739896"/>
    <n v="115.98653057184974"/>
    <n v="4446.1503385875731"/>
    <n v="3126.2594664068101"/>
    <n v="2046.1503385875731"/>
    <n v="68.205011286252429"/>
    <n v="7"/>
    <n v="4.47"/>
    <n v="3"/>
    <s v="CBT + Mitigations"/>
    <m/>
    <m/>
    <m/>
    <m/>
    <m/>
    <m/>
    <n v="0"/>
    <n v="0"/>
    <n v="0"/>
    <n v="0"/>
    <n v="0"/>
    <n v="0"/>
  </r>
  <r>
    <s v="Fitovinany"/>
    <s v="MG25213350"/>
    <x v="1"/>
    <x v="6"/>
    <x v="17"/>
    <n v="1"/>
    <n v="4"/>
    <s v="Urg_cycl"/>
    <s v="Urgence"/>
    <s v="Ancienne commune"/>
    <s v="ok"/>
    <s v="Urgence"/>
    <s v="Ancienne commune"/>
    <s v="Convergence"/>
    <m/>
    <s v="Vohipeno_Anoloka"/>
    <n v="3885.6646158953922"/>
    <n v="777.13292317907849"/>
    <n v="582.96027370000002"/>
    <n v="75.014229395305861"/>
    <n v="582.96027370000002"/>
    <n v="75.014229395305861"/>
    <n v="0"/>
    <s v="MAJ : plainte et validation"/>
    <n v="582.96027370000002"/>
    <n v="233.13987695372353"/>
    <n v="194.28323079476962"/>
    <n v="427.42310774849318"/>
    <n v="69.955232843999994"/>
    <n v="17.488808210999998"/>
    <n v="670.40431475499997"/>
    <n v="474.43964960082741"/>
    <n v="87.444041054999957"/>
    <n v="2.9148013684999987"/>
    <n v="1"/>
    <n v="3.34"/>
    <n v="1"/>
    <s v="Inkind"/>
    <n v="17.488808210999998"/>
    <n v="2.6233212316499999"/>
    <n v="1.5302707184625"/>
    <n v="0.87444041054999999"/>
    <n v="3.4977616422"/>
    <n v="1.7488808211"/>
    <n v="52.466424632999995"/>
    <n v="7.86996369495"/>
    <n v="4.5908121553874999"/>
    <n v="2.6233212316499999"/>
    <n v="10.493284926599999"/>
    <n v="5.2466424632999997"/>
  </r>
  <r>
    <s v="Fitovinany"/>
    <s v="MG53517350"/>
    <x v="1"/>
    <x v="11"/>
    <x v="18"/>
    <n v="2"/>
    <n v="25"/>
    <s v="Urg_cycl"/>
    <s v="Urgence_Resilience"/>
    <s v="Ancienne commune"/>
    <s v=" "/>
    <s v="Urgence_Resilience"/>
    <s v="Ancienne commune"/>
    <s v="Urgence"/>
    <m/>
    <s v="Manakara Atsimo_Anosiala"/>
    <n v="11040.564337633636"/>
    <n v="2208.1128675267273"/>
    <n v="1958.9111882"/>
    <n v="88.714268958277742"/>
    <n v="1958.9111882"/>
    <n v="88.714268958277742"/>
    <n v="0"/>
    <s v="MAJ : plainte et validation"/>
    <n v="1958.9111882"/>
    <n v="662.43386025801817"/>
    <n v="552.02821688168183"/>
    <n v="1214.4620771396999"/>
    <n v="235.069342584"/>
    <n v="58.767335645999999"/>
    <n v="2252.7478664300002"/>
    <n v="1348.0529056250668"/>
    <n v="293.83667823000019"/>
    <n v="9.7945559410000058"/>
    <n v="1"/>
    <n v="4.6100000000000003"/>
    <n v="3"/>
    <s v="CBT"/>
    <m/>
    <m/>
    <m/>
    <m/>
    <m/>
    <m/>
    <n v="0"/>
    <n v="0"/>
    <n v="0"/>
    <n v="0"/>
    <n v="0"/>
    <n v="0"/>
  </r>
  <r>
    <s v="Androy "/>
    <s v="MG23210032"/>
    <x v="0"/>
    <x v="9"/>
    <x v="19"/>
    <n v="1"/>
    <n v="5"/>
    <s v="Urg_sech"/>
    <s v="Urgence"/>
    <s v="Ancienne commune"/>
    <s v="ok"/>
    <s v="Urgence"/>
    <s v="Ancienne commune"/>
    <s v="Convergence"/>
    <m/>
    <s v="Antanimora Sud_Antanimora Atsimo"/>
    <n v="39572.454162449147"/>
    <n v="7914.4908324898297"/>
    <n v="5280.6"/>
    <n v="66.720653441438998"/>
    <n v="5975.4405785298222"/>
    <n v="75.5"/>
    <n v="694.84057852982187"/>
    <s v="Rajout d'enregistrement"/>
    <n v="5975.4405785298222"/>
    <n v="2374.3472497469488"/>
    <n v="1978.6227081224574"/>
    <n v="4352.9699578694062"/>
    <n v="717.05286942357861"/>
    <n v="179.26321735589465"/>
    <n v="6871.7566653092954"/>
    <n v="4831.796653235041"/>
    <n v="1591.156665309295"/>
    <n v="53.038555510309834"/>
    <n v="6"/>
    <n v="3.55"/>
    <n v="2"/>
    <s v="Inkind"/>
    <n v="179.26321735589465"/>
    <n v="26.889482603384199"/>
    <n v="15.685531518640781"/>
    <n v="8.9631608677947341"/>
    <n v="35.852643471178936"/>
    <n v="17.926321735589468"/>
    <n v="537.78965206768396"/>
    <n v="80.6684478101526"/>
    <n v="47.056594555922345"/>
    <n v="26.889482603384202"/>
    <n v="107.55793041353681"/>
    <n v="53.778965206768405"/>
  </r>
  <r>
    <s v="Androy "/>
    <s v="MG23206012"/>
    <x v="0"/>
    <x v="0"/>
    <x v="20"/>
    <n v="1"/>
    <n v="3"/>
    <s v="Urg_sech"/>
    <s v="Urgence"/>
    <s v="Ancienne commune"/>
    <s v="ok"/>
    <s v="Urgence"/>
    <s v="Ancienne commune"/>
    <s v="Urgence"/>
    <m/>
    <s v="Bekily_Antsakoamaro"/>
    <n v="10954.805560214247"/>
    <n v="2190.9611120428494"/>
    <n v="1781.1181818"/>
    <n v="81.29392037174442"/>
    <n v="1781.1181818"/>
    <n v="81.29392037174442"/>
    <n v="0"/>
    <s v="MAJ : plainte et validation"/>
    <n v="1781.1181818"/>
    <n v="657.28833361285479"/>
    <n v="547.74027801071236"/>
    <n v="1205.028611623567"/>
    <n v="213.73418181599999"/>
    <n v="53.433545453999997"/>
    <n v="2048.2859090699999"/>
    <n v="1337.5817589021594"/>
    <n v="267.16772726999989"/>
    <n v="8.9055909089999954"/>
    <n v="1"/>
    <n v="3.37"/>
    <n v="1"/>
    <s v="Inkind"/>
    <n v="53.433545453999997"/>
    <n v="8.0150318180999989"/>
    <n v="4.6754352272249999"/>
    <n v="2.6716772727000002"/>
    <n v="10.686709090800001"/>
    <n v="5.3433545454000004"/>
    <n v="160.30063636199998"/>
    <n v="24.045095454299997"/>
    <n v="14.026305681675"/>
    <n v="8.0150318181000006"/>
    <n v="32.060127272400003"/>
    <n v="16.030063636200001"/>
  </r>
  <r>
    <s v="Androy "/>
    <s v="MG23207010"/>
    <x v="0"/>
    <x v="4"/>
    <x v="21"/>
    <n v="1"/>
    <n v="1"/>
    <s v=" "/>
    <s v="Urgence"/>
    <s v="Ancienne commune"/>
    <s v="ok"/>
    <s v="Urgence"/>
    <s v="Ancienne commune"/>
    <s v="Convergence"/>
    <m/>
    <s v="Beloha_Behabobo"/>
    <n v="9007.2264783959399"/>
    <n v="1801.4452956791879"/>
    <m/>
    <n v="0"/>
    <n v="1363.6940888291451"/>
    <n v="75.7"/>
    <n v="1363.6940888291451"/>
    <s v="Nouveau enrégistrement"/>
    <n v="1363.6940888291451"/>
    <n v="540.43358870375641"/>
    <n v="450.36132391979703"/>
    <n v="990.7949126235535"/>
    <n v="163.64329065949741"/>
    <n v="40.910822664874352"/>
    <n v="1568.2482021535168"/>
    <n v="1099.7823530121443"/>
    <n v="1568.2482021535168"/>
    <n v="52.274940071783895"/>
    <n v="6"/>
    <n v="4.8499999999999996"/>
    <n v="3"/>
    <s v="CBT + Mitigations"/>
    <m/>
    <m/>
    <m/>
    <m/>
    <m/>
    <m/>
    <n v="0"/>
    <n v="0"/>
    <n v="0"/>
    <n v="0"/>
    <n v="0"/>
    <n v="0"/>
  </r>
  <r>
    <s v="Anosy"/>
    <s v="MG25222031a"/>
    <x v="0"/>
    <x v="12"/>
    <x v="22"/>
    <n v="2"/>
    <n v="8"/>
    <s v="Urg_sech"/>
    <s v="Urgence_Resilience"/>
    <s v="Ancienne commune"/>
    <s v="ok"/>
    <s v="Urgence_Resilience"/>
    <s v="Ancienne commune"/>
    <s v="Convergence"/>
    <m/>
    <s v="Amboasary-Atsimo_Ebelo"/>
    <n v="13316.715217575194"/>
    <n v="2663.343043515039"/>
    <n v="2540"/>
    <n v="95.368863811390483"/>
    <n v="2540"/>
    <n v="95.368863811390483"/>
    <n v="0"/>
    <s v="MAJ : plainte et validation"/>
    <n v="2540"/>
    <n v="799.00291305451162"/>
    <n v="665.83576087875974"/>
    <n v="1464.8386739332714"/>
    <n v="304.8"/>
    <n v="76.2"/>
    <n v="2921"/>
    <n v="1625.9709280659313"/>
    <n v="381"/>
    <n v="12.7"/>
    <n v="2"/>
    <n v="4.2"/>
    <n v="3"/>
    <s v="Inkind"/>
    <n v="76.2"/>
    <n v="11.43"/>
    <n v="6.6674999999999995"/>
    <n v="3.81"/>
    <n v="15.24"/>
    <n v="7.62"/>
    <n v="228.60000000000002"/>
    <n v="34.29"/>
    <n v="20.002499999999998"/>
    <n v="11.43"/>
    <n v="45.72"/>
    <n v="22.86"/>
  </r>
  <r>
    <s v="Atsimo Andrefana"/>
    <s v="MG25214092"/>
    <x v="2"/>
    <x v="7"/>
    <x v="23"/>
    <n v="1"/>
    <n v="2"/>
    <s v="AA"/>
    <s v="Urgence"/>
    <s v="Ancienne commune"/>
    <s v="ok"/>
    <s v="Urgence"/>
    <s v="Ancienne commune"/>
    <s v="Convergence"/>
    <m/>
    <s v="Ampanihy Ouest_Ejeda"/>
    <n v="65728.566050885347"/>
    <n v="13145.713210177069"/>
    <n v="400"/>
    <n v="3.0428170279139395"/>
    <n v="9925.0134736836881"/>
    <n v="75.5"/>
    <n v="9525.0134736836881"/>
    <s v="Rajout d'enregistrement"/>
    <n v="9925.0134736836881"/>
    <n v="3943.7139630531206"/>
    <n v="3286.4283025442674"/>
    <n v="7230.1422655973874"/>
    <n v="1191.0016168420425"/>
    <n v="297.75040421051062"/>
    <n v="11413.765494736241"/>
    <n v="8025.4579148130997"/>
    <n v="11013.765494736241"/>
    <n v="367.12551649120803"/>
    <n v="37"/>
    <n v="3.32"/>
    <n v="1"/>
    <s v="Inkind"/>
    <n v="297.75040421051062"/>
    <n v="44.662560631576596"/>
    <n v="26.053160368419679"/>
    <n v="14.887520210525532"/>
    <n v="59.550080842102126"/>
    <n v="29.775040421051063"/>
    <n v="893.25121263153187"/>
    <n v="133.9876818947298"/>
    <n v="78.159481105259033"/>
    <n v="44.662560631576596"/>
    <n v="178.65024252630639"/>
    <n v="89.325121263153193"/>
  </r>
  <r>
    <s v="Atsimo Andrefana"/>
    <s v="MG25214131"/>
    <x v="2"/>
    <x v="7"/>
    <x v="24"/>
    <n v="1"/>
    <n v="6"/>
    <s v="AA"/>
    <s v="Urgence"/>
    <s v="Ancienne commune"/>
    <s v="ok"/>
    <s v="Urgence"/>
    <s v="Ancienne commune"/>
    <s v="Convergence"/>
    <m/>
    <s v="Ampanihy Ouest_Fotadrevo"/>
    <n v="65535.148787103855"/>
    <n v="13107.029757420771"/>
    <n v="500"/>
    <n v="3.8147468133801739"/>
    <n v="9895.8074668526824"/>
    <n v="75.5"/>
    <n v="9395.8074668526824"/>
    <s v="Rajout d'enregistrement"/>
    <n v="9895.8074668526824"/>
    <n v="3932.1089272262311"/>
    <n v="3276.7574393551931"/>
    <n v="7208.8663665814238"/>
    <n v="1187.4968960223218"/>
    <n v="296.87422400558046"/>
    <n v="11380.178586880584"/>
    <n v="8001.8416669053804"/>
    <n v="10880.178586880584"/>
    <n v="362.67261956268612"/>
    <n v="37"/>
    <n v="3.41"/>
    <n v="1"/>
    <s v="Inkind"/>
    <n v="296.87422400558046"/>
    <n v="44.531133600837066"/>
    <n v="25.976494600488287"/>
    <n v="14.843711200279024"/>
    <n v="59.374844801116097"/>
    <n v="29.687422400558049"/>
    <n v="890.62267201674138"/>
    <n v="133.59340080251121"/>
    <n v="77.929483801464869"/>
    <n v="44.531133600837073"/>
    <n v="178.12453440334829"/>
    <n v="89.062267201674146"/>
  </r>
  <r>
    <s v="Atsimo Antsinanana"/>
    <s v="MG51506015"/>
    <x v="1"/>
    <x v="8"/>
    <x v="25"/>
    <n v="1"/>
    <n v="4"/>
    <s v=" "/>
    <s v="Urgence"/>
    <s v="Ancienne commune"/>
    <s v="ok"/>
    <s v="Urgence"/>
    <s v="Ancienne commune"/>
    <s v="Urgence"/>
    <m/>
    <s v="Vondrozo_Iamonta"/>
    <n v="6247.8938032782653"/>
    <n v="1249.578760655653"/>
    <m/>
    <n v="0"/>
    <n v="945.93112181632944"/>
    <n v="75.7"/>
    <n v="945.93112181632944"/>
    <s v="Nouveau enrégistrement"/>
    <n v="945.93112181632944"/>
    <n v="374.8736281966959"/>
    <n v="312.39469016391331"/>
    <n v="687.26831836060921"/>
    <n v="113.51173461795953"/>
    <n v="28.377933654489883"/>
    <n v="1087.8207900887789"/>
    <n v="762.86783338027624"/>
    <n v="1087.8207900887789"/>
    <n v="36.2606930029593"/>
    <n v="4"/>
    <n v="4.5199999999999996"/>
    <n v="3"/>
    <s v="CBT"/>
    <m/>
    <m/>
    <m/>
    <m/>
    <m/>
    <m/>
    <n v="0"/>
    <n v="0"/>
    <n v="0"/>
    <n v="0"/>
    <n v="0"/>
    <n v="0"/>
  </r>
  <r>
    <s v="Anosy"/>
    <s v="MG51507270"/>
    <x v="0"/>
    <x v="12"/>
    <x v="26"/>
    <n v="2"/>
    <n v="16"/>
    <s v="AA"/>
    <s v="Urgence_Resilience"/>
    <s v="Ancienne commune"/>
    <s v="ok"/>
    <s v="Urgence_Resilience"/>
    <s v="Ancienne commune"/>
    <s v="Convergence"/>
    <m/>
    <s v="Amboasary-Atsimo_Ifotaka"/>
    <n v="28158.096060482811"/>
    <n v="5631.6192120965625"/>
    <n v="1402"/>
    <n v="24.895149107179382"/>
    <n v="4251.8725051329047"/>
    <n v="75.5"/>
    <n v="2849.8725051329047"/>
    <s v="Rajout d'enregistrement"/>
    <n v="4251.8725051329047"/>
    <n v="1689.4857636289685"/>
    <n v="1407.9048030241406"/>
    <n v="3097.3905666531091"/>
    <n v="510.22470061594856"/>
    <n v="127.55617515398714"/>
    <n v="4889.6533809028406"/>
    <n v="3438.103528984951"/>
    <n v="3487.6533809028406"/>
    <n v="116.25511269676136"/>
    <n v="12"/>
    <n v="3.73"/>
    <n v="2"/>
    <s v="Inkind"/>
    <n v="127.55617515398714"/>
    <n v="19.13342627309807"/>
    <n v="11.161165325973874"/>
    <n v="6.3778087576993574"/>
    <n v="25.51123503079743"/>
    <n v="12.755617515398715"/>
    <n v="382.66852546196139"/>
    <n v="57.400278819294215"/>
    <n v="33.483495977921621"/>
    <n v="19.133426273098074"/>
    <n v="76.533705092392296"/>
    <n v="38.266852546196148"/>
  </r>
  <r>
    <s v="Androy "/>
    <s v="MG53519250"/>
    <x v="0"/>
    <x v="13"/>
    <x v="27"/>
    <n v="1"/>
    <n v="2"/>
    <s v=" "/>
    <s v="Urgence"/>
    <s v="Ancienne commune"/>
    <s v="ok"/>
    <s v="Urgence"/>
    <s v="Ancienne commune"/>
    <s v="Urgence"/>
    <m/>
    <s v="Tsihombe_Imongy"/>
    <n v="18126.863561514281"/>
    <n v="3625.3727123028561"/>
    <m/>
    <n v="0"/>
    <n v="2744.4071432132623"/>
    <n v="75.7"/>
    <n v="2744.4071432132623"/>
    <s v="Nouveau enrégistrement"/>
    <n v="2744.4071432132623"/>
    <n v="1087.6118136908569"/>
    <n v="906.34317807571415"/>
    <n v="1993.9549917665711"/>
    <n v="329.32885718559146"/>
    <n v="82.332214296397865"/>
    <n v="3156.0682146952518"/>
    <n v="2213.2900408608939"/>
    <n v="3156.0682146952518"/>
    <n v="105.20227382317506"/>
    <n v="11"/>
    <n v="3.56"/>
    <n v="2"/>
    <s v="Inkind"/>
    <n v="82.332214296397865"/>
    <n v="12.349832144459679"/>
    <n v="7.2040687509348125"/>
    <n v="4.1166107148198936"/>
    <n v="16.466442859279574"/>
    <n v="8.2332214296397872"/>
    <n v="246.99664288919359"/>
    <n v="37.049496433379034"/>
    <n v="21.612206252804437"/>
    <n v="12.349832144459681"/>
    <n v="49.399328577838723"/>
    <n v="24.699664288919362"/>
  </r>
  <r>
    <s v="Fitovinany"/>
    <s v="MG25213270"/>
    <x v="1"/>
    <x v="6"/>
    <x v="28"/>
    <n v="1"/>
    <n v="3"/>
    <s v="AA"/>
    <s v="Urgence"/>
    <s v="Ancienne commune"/>
    <s v="ok"/>
    <s v="Urgence"/>
    <s v="Ancienne commune"/>
    <s v="Convergence"/>
    <m/>
    <s v="Vohipeno_Ivato"/>
    <n v="3676.9900346713807"/>
    <n v="735.39800693427617"/>
    <n v="1045"/>
    <n v="142.0999227828195"/>
    <n v="1045"/>
    <n v="142.0999227828195"/>
    <n v="0"/>
    <s v="MAJ : plainte et validation"/>
    <n v="1045"/>
    <n v="220.61940208028284"/>
    <n v="183.84950173356904"/>
    <n v="404.46890381385185"/>
    <n v="125.39999999999999"/>
    <n v="31.349999999999998"/>
    <n v="1201.75"/>
    <n v="448.96048323337556"/>
    <n v="156.75"/>
    <n v="5.2249999999999996"/>
    <n v="1"/>
    <n v="2.56"/>
    <n v="1"/>
    <s v="CBT + Mitigations"/>
    <m/>
    <m/>
    <m/>
    <m/>
    <m/>
    <m/>
    <n v="0"/>
    <n v="0"/>
    <n v="0"/>
    <n v="0"/>
    <n v="0"/>
    <n v="0"/>
  </r>
  <r>
    <s v="Androy "/>
    <s v="MG23210351"/>
    <x v="0"/>
    <x v="9"/>
    <x v="29"/>
    <n v="1"/>
    <n v="3"/>
    <s v="Urg_sech"/>
    <s v="Urgence"/>
    <s v="Ancienne commune"/>
    <s v="ok"/>
    <s v="Urgence"/>
    <s v="Ancienne commune"/>
    <s v="Convergence"/>
    <m/>
    <s v="Antanimora Sud_Jafaro"/>
    <n v="40065.230883150827"/>
    <n v="8013.0461766301651"/>
    <n v="5335.4"/>
    <n v="66.583916807575022"/>
    <n v="6049.8498633557747"/>
    <n v="75.5"/>
    <n v="714.44986335577505"/>
    <s v="Rajout d'enregistrement"/>
    <n v="6049.8498633557747"/>
    <n v="2403.9138529890497"/>
    <n v="2003.2615441575415"/>
    <n v="4407.1753971465914"/>
    <n v="725.98198360269294"/>
    <n v="181.49549590067323"/>
    <n v="6957.327342859141"/>
    <n v="4891.9646908327168"/>
    <n v="1621.9273428591414"/>
    <n v="54.064244761971381"/>
    <n v="6"/>
    <n v="3.61"/>
    <n v="2"/>
    <s v="Inkind"/>
    <n v="181.49549590067323"/>
    <n v="27.224324385100985"/>
    <n v="15.880855891308906"/>
    <n v="9.0747747950336617"/>
    <n v="36.299099180134647"/>
    <n v="18.149549590067323"/>
    <n v="544.48648770201976"/>
    <n v="81.672973155302955"/>
    <n v="47.64256767392672"/>
    <n v="27.224324385100985"/>
    <n v="108.89729754040394"/>
    <n v="54.44864877020197"/>
  </r>
  <r>
    <s v="Atsimo Andrefana"/>
    <s v="MG25213570"/>
    <x v="3"/>
    <x v="10"/>
    <x v="30"/>
    <n v="2"/>
    <n v="10"/>
    <s v="Urg_sech"/>
    <s v="Urgence_Resilience"/>
    <s v="Ancienne commune"/>
    <s v="ok"/>
    <s v="Urgence_Resilience"/>
    <s v="Ancienne commune"/>
    <s v="Convergence"/>
    <m/>
    <s v="Betioky Atsimo_Lazarivo"/>
    <n v="23286.926195679458"/>
    <n v="4657.3852391358914"/>
    <n v="2180"/>
    <n v="46.807379850855256"/>
    <n v="3516.3258555475977"/>
    <n v="75.5"/>
    <n v="1336.3258555475977"/>
    <s v="Rajout d'enregistrement"/>
    <n v="3516.3258555475977"/>
    <n v="1397.2155717407675"/>
    <n v="1164.3463097839729"/>
    <n v="2561.5618815247403"/>
    <n v="421.95910266571173"/>
    <n v="105.48977566642793"/>
    <n v="4043.7747338797371"/>
    <n v="2843.333688492462"/>
    <n v="1863.7747338797371"/>
    <n v="62.125824462657903"/>
    <n v="7"/>
    <n v="2.2400000000000002"/>
    <n v="1"/>
    <s v="CBT + Mitigations"/>
    <m/>
    <m/>
    <m/>
    <m/>
    <m/>
    <m/>
    <n v="0"/>
    <n v="0"/>
    <n v="0"/>
    <n v="0"/>
    <n v="0"/>
    <n v="0"/>
  </r>
  <r>
    <s v="Androy "/>
    <s v="MG23209090"/>
    <x v="0"/>
    <x v="4"/>
    <x v="31"/>
    <n v="1"/>
    <n v="3"/>
    <s v=" "/>
    <s v="Urgence"/>
    <s v="Ancienne commune"/>
    <s v="ok"/>
    <s v="Urgence"/>
    <s v="Ancienne commune"/>
    <s v="Urgence"/>
    <m/>
    <s v="Beloha_Mahaenegne"/>
    <n v="10076.434323313641"/>
    <n v="2015.286864662728"/>
    <m/>
    <n v="0"/>
    <n v="1525.5721565496851"/>
    <n v="75.7"/>
    <n v="1525.5721565496851"/>
    <s v="Nouveau enrégistrement"/>
    <n v="1525.5721565496851"/>
    <n v="604.58605939881841"/>
    <n v="503.82171616568206"/>
    <n v="1108.4077755645005"/>
    <n v="183.06865878596221"/>
    <n v="45.767164696490553"/>
    <n v="1754.4079800321379"/>
    <n v="1230.3326308765957"/>
    <n v="1754.4079800321379"/>
    <n v="58.480266001071264"/>
    <n v="6"/>
    <n v="3.61"/>
    <n v="2"/>
    <s v="Inkind"/>
    <n v="45.767164696490553"/>
    <n v="6.8650747044735825"/>
    <n v="4.0046269109429229"/>
    <n v="2.2883582348245279"/>
    <n v="9.1534329392981117"/>
    <n v="4.5767164696490559"/>
    <n v="137.30149408947165"/>
    <n v="20.595224113420748"/>
    <n v="12.013880732828769"/>
    <n v="6.8650747044735834"/>
    <n v="27.460298817894333"/>
    <n v="13.730149408947167"/>
  </r>
  <r>
    <s v="Anosy"/>
    <s v="MG51506170"/>
    <x v="0"/>
    <x v="12"/>
    <x v="32"/>
    <n v="2"/>
    <n v="9"/>
    <s v="Urg_sech"/>
    <s v="Urgence_Resilience"/>
    <s v="Ancienne commune"/>
    <s v="Nous ramenons en priorite  1 car c'est une commune vulnerable aussi bien conjoncturellement que structurelle car  deja les speculations sont deja limites en tubercules et mais en bonne periode et elle est toujours exposee a la secheresse d'une facon recu"/>
    <s v="Urgence_Resilience"/>
    <s v="Ancienne commune"/>
    <s v="Urgence"/>
    <m/>
    <s v="Amboasary-Atsimo_Mahaly"/>
    <n v="20400.489936393496"/>
    <n v="4080.0979872786993"/>
    <n v="3767"/>
    <n v="92.326214020964571"/>
    <n v="3767"/>
    <n v="92.326214020964571"/>
    <n v="0"/>
    <s v="MAJ : plainte et validation"/>
    <n v="3767"/>
    <n v="1224.0293961836098"/>
    <n v="1020.0244968196748"/>
    <n v="2244.0538930032844"/>
    <n v="452.03999999999996"/>
    <n v="113.00999999999999"/>
    <n v="4332.05"/>
    <n v="2490.8998212336455"/>
    <n v="565.05000000000018"/>
    <n v="18.835000000000004"/>
    <n v="2"/>
    <n v="4.5199999999999996"/>
    <n v="3"/>
    <s v="CBT"/>
    <m/>
    <m/>
    <m/>
    <m/>
    <m/>
    <m/>
    <n v="0"/>
    <n v="0"/>
    <n v="0"/>
    <n v="0"/>
    <n v="0"/>
    <n v="0"/>
  </r>
  <r>
    <s v="Vatovavy "/>
    <s v="MG52516151"/>
    <x v="1"/>
    <x v="5"/>
    <x v="33"/>
    <n v="2"/>
    <n v="17"/>
    <s v="Urg_cycl"/>
    <s v="Urgence_Resilience"/>
    <s v="Ancienne commune"/>
    <s v=" "/>
    <s v="Urgence_Resilience"/>
    <s v="Ancienne commune"/>
    <s v="Convergence"/>
    <m/>
    <s v="Mananjary_Mahatsara Iefaka"/>
    <n v="4370.1734136798796"/>
    <n v="874.03468273597593"/>
    <n v="719.96968318999996"/>
    <n v="82.373125164357447"/>
    <n v="719.96968318999996"/>
    <n v="82.373125164357447"/>
    <n v="0"/>
    <s v="MAJ : plainte et validation"/>
    <n v="719.96968318999996"/>
    <n v="262.21040482079275"/>
    <n v="218.50867068399398"/>
    <n v="480.7190755047867"/>
    <n v="86.396361982799988"/>
    <n v="21.599090495699997"/>
    <n v="827.9651356684999"/>
    <n v="533.59817381031326"/>
    <n v="107.99545247849994"/>
    <n v="3.5998484159499982"/>
    <n v="1"/>
    <n v="7.07"/>
    <n v="4"/>
    <s v="CBT"/>
    <m/>
    <m/>
    <m/>
    <m/>
    <m/>
    <m/>
    <n v="0"/>
    <n v="0"/>
    <n v="0"/>
    <n v="0"/>
    <n v="0"/>
    <n v="0"/>
  </r>
  <r>
    <s v="Atsimo Antsinanana"/>
    <s v="MG51506270"/>
    <x v="1"/>
    <x v="8"/>
    <x v="34"/>
    <n v="1"/>
    <n v="1"/>
    <s v="Urg_sech"/>
    <s v="Urgence"/>
    <s v="Ancienne commune"/>
    <s v="ok"/>
    <s v="Urgence"/>
    <s v="Ancienne commune"/>
    <s v="Convergence"/>
    <m/>
    <s v="Vondrozo_Mahatsinjo"/>
    <n v="10081.624993775788"/>
    <n v="2016.3249987551576"/>
    <n v="1537.2898866999999"/>
    <n v="76.242167688695758"/>
    <n v="1537.2898866999999"/>
    <n v="76.242167688695758"/>
    <n v="0"/>
    <s v="MAJ : plainte et validation"/>
    <n v="1537.2898866999999"/>
    <n v="604.89749962654719"/>
    <n v="504.0812496887894"/>
    <n v="1108.9787493153367"/>
    <n v="184.47478640399999"/>
    <n v="46.118696600999996"/>
    <n v="1767.883369705"/>
    <n v="1230.9664117400237"/>
    <n v="230.59348300500005"/>
    <n v="7.6864494335000018"/>
    <n v="1"/>
    <n v="3.12"/>
    <n v="1"/>
    <s v="CBT + Mitigations"/>
    <m/>
    <m/>
    <m/>
    <m/>
    <m/>
    <m/>
    <n v="0"/>
    <n v="0"/>
    <n v="0"/>
    <n v="0"/>
    <n v="0"/>
    <n v="0"/>
  </r>
  <r>
    <s v="Vatovavy "/>
    <s v="MG23210171"/>
    <x v="1"/>
    <x v="5"/>
    <x v="35"/>
    <n v="2"/>
    <n v="13"/>
    <s v="Urg_cycl"/>
    <s v="Urgence_Resilience"/>
    <s v="Ancienne commune"/>
    <s v="Zone FSRP où il y a 4 OP"/>
    <s v="Urgence_Resilience"/>
    <s v="Ancienne commune"/>
    <s v="Convergence"/>
    <s v="Zone FSRP"/>
    <s v="Mananjary_Mahela"/>
    <n v="10560.852656658897"/>
    <n v="2112.1705313317793"/>
    <n v="1836.3148206000001"/>
    <n v="86.939704600563431"/>
    <n v="1836.3148206000001"/>
    <n v="86.939704600563431"/>
    <n v="0"/>
    <s v="MAJ : plainte et validation"/>
    <n v="1836.3148206000001"/>
    <n v="633.65115939953375"/>
    <n v="528.04263283294483"/>
    <n v="1161.6937922324787"/>
    <n v="220.35777847200001"/>
    <n v="55.089444618000002"/>
    <n v="2111.7620436900002"/>
    <n v="1289.4801093780513"/>
    <n v="275.44722309000008"/>
    <n v="9.1815741030000027"/>
    <n v="1"/>
    <n v="3.59"/>
    <n v="2"/>
    <s v="Inkind"/>
    <n v="55.089444618000002"/>
    <n v="8.2634166926999999"/>
    <n v="4.8203264040749998"/>
    <n v="2.7544722309000003"/>
    <n v="11.017888923600001"/>
    <n v="5.5089444618000005"/>
    <n v="165.26833385399999"/>
    <n v="24.790250078100001"/>
    <n v="14.460979212224998"/>
    <n v="8.2634166927000017"/>
    <n v="33.053666770800007"/>
    <n v="16.526833385400003"/>
  </r>
  <r>
    <s v="Fitovinany"/>
    <s v="MG52516092"/>
    <x v="1"/>
    <x v="11"/>
    <x v="36"/>
    <n v="2"/>
    <n v="18"/>
    <s v="Urg_cycl"/>
    <s v="Urgence_Resilience"/>
    <s v="Ancienne commune"/>
    <s v=" "/>
    <s v="Urgence_Resilience"/>
    <s v="Ancienne commune"/>
    <s v="Convergence"/>
    <m/>
    <s v="Manakara Atsimo_Mangatsiotra"/>
    <n v="5423.1405534194337"/>
    <n v="1084.6281106838867"/>
    <n v="677.43656840000006"/>
    <n v="62.457957868421687"/>
    <n v="818.8942235663344"/>
    <n v="75.5"/>
    <n v="141.45765516633435"/>
    <s v="Rajout d'enregistrement"/>
    <n v="818.8942235663344"/>
    <n v="325.388433205166"/>
    <n v="271.15702767097167"/>
    <n v="596.54546087613767"/>
    <n v="98.267306827960127"/>
    <n v="24.566826706990032"/>
    <n v="941.72835710128459"/>
    <n v="662.16546157251287"/>
    <n v="264.29178870128453"/>
    <n v="8.8097262900428177"/>
    <n v="1"/>
    <n v="4.38"/>
    <n v="3"/>
    <s v="CBT + Mitigations"/>
    <m/>
    <m/>
    <m/>
    <m/>
    <m/>
    <m/>
    <n v="0"/>
    <n v="0"/>
    <n v="0"/>
    <n v="0"/>
    <n v="0"/>
    <n v="0"/>
  </r>
  <r>
    <s v="Fitovinany"/>
    <s v="MG23212053"/>
    <x v="1"/>
    <x v="11"/>
    <x v="37"/>
    <n v="2"/>
    <n v="20"/>
    <s v="Urg_cycl"/>
    <s v="Urgence_Resilience"/>
    <s v="Ancienne commune"/>
    <s v="Urg_Cycl"/>
    <s v="Urgence_Resilience"/>
    <s v="Ancienne commune"/>
    <s v="Urgence"/>
    <m/>
    <s v="Manakara Atsimo_Manjarivo"/>
    <n v="8950.2206877862081"/>
    <n v="1790.0441375572416"/>
    <n v="1504.5376690999999"/>
    <n v="84.050311248366526"/>
    <n v="1504.5376690999999"/>
    <n v="84.050311248366526"/>
    <n v="0"/>
    <s v="MAJ : plainte et validation"/>
    <n v="1504.5376690999999"/>
    <n v="537.01324126717248"/>
    <n v="447.51103438931045"/>
    <n v="984.52427565648293"/>
    <n v="180.54452029199999"/>
    <n v="45.136130072999997"/>
    <n v="1730.2183194649999"/>
    <n v="1092.821945978696"/>
    <n v="225.68065036500002"/>
    <n v="7.5226883455000007"/>
    <n v="1"/>
    <n v="3.99"/>
    <n v="2"/>
    <s v="Inkind"/>
    <n v="45.136130072999997"/>
    <n v="6.7704195109499992"/>
    <n v="3.9494113813874994"/>
    <n v="2.25680650365"/>
    <n v="9.0272260146000001"/>
    <n v="4.5136130073"/>
    <n v="135.40839021899998"/>
    <n v="20.311258532849997"/>
    <n v="11.848234144162499"/>
    <n v="6.7704195109500001"/>
    <n v="27.0816780438"/>
    <n v="13.5408390219"/>
  </r>
  <r>
    <s v="Androy "/>
    <s v="MG23210370"/>
    <x v="0"/>
    <x v="2"/>
    <x v="38"/>
    <n v="1"/>
    <n v="5"/>
    <s v="Res_SO3"/>
    <s v="Urgence"/>
    <s v="Ancienne commune"/>
    <s v="ok"/>
    <s v="Urgence"/>
    <s v="Ancienne commune"/>
    <s v="Urgence"/>
    <m/>
    <s v="Ambovombe-Androy_Maroalomainty"/>
    <n v="16818.456406547753"/>
    <n v="3363.6912813095505"/>
    <n v="2517"/>
    <n v="74.828508013972169"/>
    <n v="2517"/>
    <n v="74.828508013972169"/>
    <n v="0"/>
    <s v="MAJ : plainte et validation"/>
    <n v="2517"/>
    <n v="1009.1073843928651"/>
    <n v="840.92282032738774"/>
    <n v="1850.0302047202529"/>
    <n v="302.03999999999996"/>
    <n v="75.509999999999991"/>
    <n v="2894.55"/>
    <n v="2053.5335272394805"/>
    <n v="377.55000000000018"/>
    <n v="12.585000000000006"/>
    <n v="2"/>
    <n v="4.55"/>
    <n v="3"/>
    <s v="CBT"/>
    <m/>
    <m/>
    <m/>
    <m/>
    <m/>
    <m/>
    <n v="0"/>
    <n v="0"/>
    <n v="0"/>
    <n v="0"/>
    <n v="0"/>
    <n v="0"/>
  </r>
  <r>
    <s v="Atsimo Andrefana"/>
    <s v="MG25217150"/>
    <x v="3"/>
    <x v="10"/>
    <x v="39"/>
    <n v="2"/>
    <n v="12"/>
    <s v="Urg_sech"/>
    <s v="Urgence_Resilience"/>
    <s v="Ancienne commune"/>
    <s v="ok"/>
    <s v="Urgence_Resilience"/>
    <s v="Ancienne commune"/>
    <s v="Convergence"/>
    <m/>
    <s v="Betioky Atsimo_Maroarivo Ankazomanga"/>
    <n v="10582.870419620664"/>
    <n v="2116.5740839241325"/>
    <n v="1290.8666667"/>
    <n v="60.988494402555034"/>
    <n v="1598.01343336272"/>
    <n v="75.5"/>
    <n v="307.14676666271998"/>
    <s v="Rajout d'enregistrement"/>
    <n v="1598.01343336272"/>
    <n v="634.97222517723981"/>
    <n v="529.14352098103325"/>
    <n v="1164.1157461582729"/>
    <n v="191.76161200352638"/>
    <n v="47.940403000881595"/>
    <n v="1837.7154483671279"/>
    <n v="1292.1684782356829"/>
    <n v="546.84878166712792"/>
    <n v="18.228292722237597"/>
    <n v="2"/>
    <n v="4.72"/>
    <n v="3"/>
    <s v="CBT"/>
    <m/>
    <m/>
    <m/>
    <m/>
    <m/>
    <m/>
    <n v="0"/>
    <n v="0"/>
    <n v="0"/>
    <n v="0"/>
    <n v="0"/>
    <n v="0"/>
  </r>
  <r>
    <s v="Anosy"/>
    <s v="MG25222032"/>
    <x v="0"/>
    <x v="12"/>
    <x v="40"/>
    <n v="1"/>
    <n v="5"/>
    <s v="Urg_sech"/>
    <s v="Urgence"/>
    <s v="Ancienne commune"/>
    <s v="ok"/>
    <s v="Urgence"/>
    <s v="Ancienne commune"/>
    <s v="Urgence"/>
    <m/>
    <s v="Amboasary-Atsimo_Ranobe"/>
    <n v="8321.5737132835366"/>
    <n v="1664.3147426567073"/>
    <n v="1692.4"/>
    <n v="101.68749675908421"/>
    <n v="1692.4"/>
    <n v="101.68749675908421"/>
    <n v="0"/>
    <s v="MAJ : plainte et validation"/>
    <n v="1692.4"/>
    <n v="499.2944227970122"/>
    <n v="416.07868566417687"/>
    <n v="915.37310846118908"/>
    <n v="203.08799999999999"/>
    <n v="50.771999999999998"/>
    <n v="1946.26"/>
    <n v="1016.0641503919198"/>
    <n v="253.8599999999999"/>
    <n v="8.4619999999999962"/>
    <n v="1"/>
    <n v="4.0999999999999996"/>
    <n v="3"/>
    <s v="CBT + Mitigations"/>
    <m/>
    <m/>
    <m/>
    <m/>
    <m/>
    <m/>
    <n v="0"/>
    <n v="0"/>
    <n v="0"/>
    <n v="0"/>
    <n v="0"/>
    <n v="0"/>
  </r>
  <r>
    <s v="Atsimo Andrefana"/>
    <s v="MG23209270"/>
    <x v="3"/>
    <x v="10"/>
    <x v="41"/>
    <n v="1"/>
    <n v="6"/>
    <s v=" "/>
    <s v="Urgence"/>
    <s v="Ancienne commune"/>
    <s v="ok"/>
    <s v="Urgence"/>
    <s v="Ancienne commune"/>
    <s v="Urgence"/>
    <m/>
    <s v="Betioky Atsimo_Sakamasay"/>
    <n v="7798.1741847797875"/>
    <n v="1559.6348369559576"/>
    <m/>
    <n v="0"/>
    <n v="1180.64357157566"/>
    <n v="75.700000000000017"/>
    <n v="1180.64357157566"/>
    <s v="Nouveau enrégistrement"/>
    <n v="1180.64357157566"/>
    <n v="467.89045108678721"/>
    <n v="389.90870923898939"/>
    <n v="857.7991603257766"/>
    <n v="141.67722858907919"/>
    <n v="35.419307147269798"/>
    <n v="1357.7401073120091"/>
    <n v="952.15706796161203"/>
    <n v="1357.7401073120091"/>
    <n v="45.258003577066965"/>
    <n v="5"/>
    <n v="3.61"/>
    <n v="2"/>
    <s v="Inkind"/>
    <n v="35.419307147269798"/>
    <n v="5.312896072090469"/>
    <n v="3.0991893753861071"/>
    <n v="1.77096535736349"/>
    <n v="7.0838614294539601"/>
    <n v="3.5419307147269801"/>
    <n v="106.2579214418094"/>
    <n v="15.938688216271407"/>
    <n v="9.2975681261583212"/>
    <n v="5.3128960720904699"/>
    <n v="21.25158428836188"/>
    <n v="10.62579214418094"/>
  </r>
  <r>
    <s v="Atsimo Andrefana"/>
    <s v="MG23209050"/>
    <x v="3"/>
    <x v="10"/>
    <x v="42"/>
    <n v="1"/>
    <n v="4"/>
    <s v="Urg_sech"/>
    <s v="Urgence"/>
    <s v="Ancienne commune"/>
    <s v="ok"/>
    <s v="Urgence"/>
    <s v="Ancienne commune"/>
    <s v="Urgence"/>
    <m/>
    <s v="Betioky Atsimo_Salobe"/>
    <n v="9117.5104873952896"/>
    <n v="1823.502097479058"/>
    <n v="889.33333332999996"/>
    <n v="48.770622998431378"/>
    <n v="1376.7440835966888"/>
    <n v="75.5"/>
    <n v="487.41075026668886"/>
    <s v="Rajout d'enregistrement"/>
    <n v="1376.7440835966888"/>
    <n v="547.05062924371737"/>
    <n v="455.87552436976449"/>
    <n v="1002.9261536134818"/>
    <n v="165.20929003160265"/>
    <n v="41.302322507900662"/>
    <n v="1583.2556961361922"/>
    <n v="1113.2480305109648"/>
    <n v="693.92236280619227"/>
    <n v="23.130745426873077"/>
    <n v="3"/>
    <n v="3.66"/>
    <n v="2"/>
    <s v="Inkind"/>
    <n v="41.302322507900662"/>
    <n v="6.1953483761850991"/>
    <n v="3.6139532194413078"/>
    <n v="2.0651161253950332"/>
    <n v="8.2604645015801328"/>
    <n v="4.1302322507900664"/>
    <n v="123.90696752370198"/>
    <n v="18.586045128555298"/>
    <n v="10.841859658323923"/>
    <n v="6.1953483761851"/>
    <n v="24.7813935047404"/>
    <n v="12.3906967523702"/>
  </r>
  <r>
    <s v="Fitovinany"/>
    <s v="MG25213390"/>
    <x v="1"/>
    <x v="6"/>
    <x v="43"/>
    <n v="1"/>
    <n v="2"/>
    <s v="Urg_cycl"/>
    <s v="Urgence"/>
    <s v="Ancienne commune"/>
    <s v="ok"/>
    <s v="Urgence"/>
    <s v="Ancienne commune"/>
    <s v="Convergence"/>
    <m/>
    <s v="Vohipeno_Savana"/>
    <n v="4911.0483339788989"/>
    <n v="982.20966679577975"/>
    <n v="602.35974849000002"/>
    <n v="61.327002660750857"/>
    <n v="741.56829843081368"/>
    <n v="75.5"/>
    <n v="139.20854994081367"/>
    <s v="Rajout d'enregistrement"/>
    <n v="741.56829843081368"/>
    <n v="294.66290003873394"/>
    <n v="245.55241669894497"/>
    <n v="540.2153167376789"/>
    <n v="88.988195811697636"/>
    <n v="22.247048952924409"/>
    <n v="852.80354319543574"/>
    <n v="599.63900157882358"/>
    <n v="250.44379470543572"/>
    <n v="8.3481264901811905"/>
    <n v="1"/>
    <n v="3.54"/>
    <n v="2"/>
    <s v="Inkind"/>
    <n v="22.247048952924409"/>
    <n v="3.3370573429386612"/>
    <n v="1.9466167833808856"/>
    <n v="1.1123524476462205"/>
    <n v="4.4494097905848822"/>
    <n v="2.2247048952924411"/>
    <n v="66.74114685877322"/>
    <n v="10.011172028815984"/>
    <n v="5.8398503501426564"/>
    <n v="3.3370573429386616"/>
    <n v="13.348229371754647"/>
    <n v="6.6741146858773233"/>
  </r>
  <r>
    <s v="Androy "/>
    <s v="MG25217051"/>
    <x v="0"/>
    <x v="2"/>
    <x v="44"/>
    <n v="1"/>
    <n v="6"/>
    <s v="Res_SO3"/>
    <s v="Urgence"/>
    <s v="Ancienne commune"/>
    <s v="ok"/>
    <s v="Urgence"/>
    <s v="Ancienne commune"/>
    <s v="Convergence"/>
    <m/>
    <s v="Ambovombe-Androy_Sihanamaro"/>
    <n v="30813.576694486415"/>
    <n v="6162.7153388972829"/>
    <n v="1960"/>
    <n v="31.80416248709469"/>
    <n v="4652.8500808674489"/>
    <n v="75.5"/>
    <n v="2692.8500808674489"/>
    <s v="Rajout d'enregistrement"/>
    <n v="4652.8500808674489"/>
    <n v="1848.8146016691849"/>
    <n v="1540.678834724321"/>
    <n v="3389.4934363935058"/>
    <n v="558.34200970409381"/>
    <n v="139.58550242602345"/>
    <n v="5350.777592997566"/>
    <n v="3762.3377143967914"/>
    <n v="3390.777592997566"/>
    <n v="113.02591976658553"/>
    <n v="12"/>
    <n v="4.78"/>
    <n v="3"/>
    <s v="CBT"/>
    <m/>
    <m/>
    <m/>
    <m/>
    <m/>
    <m/>
    <n v="0"/>
    <n v="0"/>
    <n v="0"/>
    <n v="0"/>
    <n v="0"/>
    <n v="0"/>
  </r>
  <r>
    <s v="Atsimo Andrefana"/>
    <s v="MG23209070"/>
    <x v="3"/>
    <x v="10"/>
    <x v="45"/>
    <n v="1"/>
    <n v="5"/>
    <s v=" "/>
    <s v="Urgence"/>
    <s v="Ancienne commune"/>
    <s v="ok"/>
    <s v="Urgence"/>
    <s v="Ancienne commune"/>
    <s v="Urgence"/>
    <m/>
    <s v="Betioky Atsimo_Soamanonga"/>
    <n v="22055.972616248877"/>
    <n v="4411.1945232497756"/>
    <m/>
    <n v="0"/>
    <n v="3339.2742541000798"/>
    <n v="75.7"/>
    <n v="3339.2742541000798"/>
    <s v="Nouveau enrégistrement"/>
    <n v="3339.2742541000798"/>
    <n v="1323.3583569749326"/>
    <n v="1102.7986308124439"/>
    <n v="2426.1569877873762"/>
    <n v="400.71291049200954"/>
    <n v="100.17822762300239"/>
    <n v="3840.1653922150917"/>
    <n v="2693.0342564439875"/>
    <n v="3840.1653922150917"/>
    <n v="128.0055130738364"/>
    <n v="13"/>
    <n v="3.88"/>
    <n v="2"/>
    <s v="Inkind"/>
    <n v="100.17822762300239"/>
    <n v="15.026734143450359"/>
    <n v="8.7655949170127094"/>
    <n v="5.0089113811501198"/>
    <n v="20.035645524600479"/>
    <n v="10.01782276230024"/>
    <n v="300.53468286900716"/>
    <n v="45.080202430351079"/>
    <n v="26.296784751038128"/>
    <n v="15.026734143450359"/>
    <n v="60.106936573801434"/>
    <n v="30.053468286900717"/>
  </r>
  <r>
    <s v="Fitovinany"/>
    <s v="MG23212070"/>
    <x v="1"/>
    <x v="11"/>
    <x v="46"/>
    <n v="2"/>
    <n v="15"/>
    <s v="Urg_cycl"/>
    <s v="Urgence_Resilience"/>
    <s v="Ancienne commune"/>
    <s v=" "/>
    <s v="Urgence_Resilience"/>
    <s v="Ancienne commune"/>
    <s v="Convergence"/>
    <m/>
    <s v="Manakara Atsimo_Sorombo"/>
    <n v="11712.160690998273"/>
    <n v="2342.4321381996547"/>
    <n v="2042.8042617000001"/>
    <n v="87.208684870164802"/>
    <n v="2042.8042617000001"/>
    <n v="87.208684870164802"/>
    <n v="0"/>
    <s v="MAJ : plainte et validation"/>
    <n v="2042.8042617000001"/>
    <n v="702.72964145989636"/>
    <n v="585.60803454991367"/>
    <n v="1288.3376760098099"/>
    <n v="245.136511404"/>
    <n v="61.284127851000001"/>
    <n v="2349.2249009550001"/>
    <n v="1430.054820370889"/>
    <n v="306.42063925499997"/>
    <n v="10.2140213085"/>
    <n v="2"/>
    <n v="3.77"/>
    <n v="2"/>
    <s v="Inkind"/>
    <n v="61.284127851000001"/>
    <n v="9.1926191776500001"/>
    <n v="5.3623611869624996"/>
    <n v="3.06420639255"/>
    <n v="12.2568255702"/>
    <n v="6.1284127851000001"/>
    <n v="183.85238355300001"/>
    <n v="27.577857532949999"/>
    <n v="16.0870835608875"/>
    <n v="9.1926191776500001"/>
    <n v="36.770476710600001"/>
    <n v="18.3852383553"/>
  </r>
  <r>
    <s v="Atsimo Andrefana"/>
    <s v="MG25213552"/>
    <x v="3"/>
    <x v="10"/>
    <x v="47"/>
    <n v="2"/>
    <n v="19"/>
    <s v="Urg_sech"/>
    <s v="Urgence_Resilience"/>
    <s v="Ancienne commune"/>
    <s v="ok"/>
    <s v="Urgence_Resilience"/>
    <s v="Ancienne commune"/>
    <s v="Urgence"/>
    <m/>
    <s v="Betioky Atsimo_Tanambao Haut"/>
    <n v="10554.690420924022"/>
    <n v="2110.9380841848042"/>
    <n v="1152.8"/>
    <n v="54.610791696677587"/>
    <n v="1593.7582535595272"/>
    <n v="75.5"/>
    <n v="440.95825355952729"/>
    <s v="Rajout d'enregistrement"/>
    <n v="1593.7582535595272"/>
    <n v="633.28142525544126"/>
    <n v="527.73452104620117"/>
    <n v="1161.0159463016425"/>
    <n v="191.25099042714325"/>
    <n v="47.812747606785813"/>
    <n v="1832.8219915934562"/>
    <n v="1288.7277003948232"/>
    <n v="680.02199159345628"/>
    <n v="22.667399719781876"/>
    <n v="3"/>
    <n v="3.81"/>
    <n v="2"/>
    <s v="Inkind"/>
    <n v="47.812747606785813"/>
    <n v="7.1719121410178719"/>
    <n v="4.1836154155937582"/>
    <n v="2.3906373803392911"/>
    <n v="9.5625495213571643"/>
    <n v="4.7812747606785821"/>
    <n v="143.43824282035743"/>
    <n v="21.515736423053617"/>
    <n v="12.550846246781274"/>
    <n v="7.1719121410178737"/>
    <n v="28.687648564071495"/>
    <n v="14.343824282035747"/>
  </r>
  <r>
    <s v="Atsimo Antsinanana"/>
    <s v="MG51506311"/>
    <x v="1"/>
    <x v="3"/>
    <x v="48"/>
    <n v="1"/>
    <n v="2"/>
    <s v="Urg_cycl"/>
    <s v="Urgence"/>
    <s v="Ancienne commune"/>
    <s v="ok"/>
    <s v="Urgence"/>
    <s v="Ancienne commune"/>
    <s v="Urgence"/>
    <m/>
    <s v="Vangaindrano_Vatanato"/>
    <n v="7310.3301599102997"/>
    <n v="1462.0660319820599"/>
    <n v="1089.8101988000001"/>
    <n v="74.539054663802787"/>
    <n v="1089.8101988000001"/>
    <n v="74.539054663802787"/>
    <n v="0"/>
    <s v="MAJ : plainte et validation"/>
    <n v="1089.8101988000001"/>
    <n v="438.61980959461795"/>
    <n v="365.51650799551498"/>
    <n v="804.13631759013288"/>
    <n v="130.77722385600001"/>
    <n v="32.694305964000002"/>
    <n v="1253.2817286200002"/>
    <n v="892.59131252504744"/>
    <n v="163.47152982000011"/>
    <n v="5.4490509940000038"/>
    <n v="1"/>
    <n v="3.63"/>
    <n v="2"/>
    <s v="CBT + Mitigations"/>
    <m/>
    <m/>
    <m/>
    <m/>
    <m/>
    <m/>
    <n v="0"/>
    <n v="0"/>
    <n v="0"/>
    <n v="0"/>
    <n v="0"/>
    <n v="0"/>
  </r>
  <r>
    <s v="Androy "/>
    <s v="MG23210250"/>
    <x v="0"/>
    <x v="0"/>
    <x v="49"/>
    <n v="1"/>
    <n v="1"/>
    <m/>
    <s v="Urgence"/>
    <s v="Urgence"/>
    <m/>
    <s v="Urgence"/>
    <s v="Ancienne commune"/>
    <s v="Convergence"/>
    <m/>
    <s v="Bekily_Beteza"/>
    <n v="17678.528242679597"/>
    <n v="3535.7056485359194"/>
    <m/>
    <n v="0"/>
    <n v="2669.4577646446191"/>
    <n v="75.5"/>
    <n v="2669.4577646446191"/>
    <s v="Nouveau enrégistrement"/>
    <n v="2669.4577646446191"/>
    <n v="1060.7116945607759"/>
    <n v="883.92641213397985"/>
    <n v="1944.6381066947556"/>
    <n v="320.3349317573543"/>
    <n v="80.083732939338574"/>
    <n v="3069.8764293413119"/>
    <n v="2158.5482984311789"/>
    <n v="3069.8764293413119"/>
    <n v="102.32921431137706"/>
    <n v="11"/>
    <m/>
    <m/>
    <s v="CBT + Mitigations"/>
    <m/>
    <m/>
    <m/>
    <m/>
    <m/>
    <m/>
    <m/>
    <m/>
    <m/>
    <m/>
    <m/>
    <m/>
  </r>
  <r>
    <s v="Androy "/>
    <s v="MG23210452"/>
    <x v="0"/>
    <x v="0"/>
    <x v="50"/>
    <n v="1"/>
    <n v="6"/>
    <m/>
    <s v="Urgence"/>
    <s v="Urgence"/>
    <m/>
    <s v="Urgence"/>
    <s v="Ancienne commune"/>
    <s v="Convergence"/>
    <m/>
    <s v="Bekily_Mikaikarivo ambatomainty"/>
    <n v="6407"/>
    <n v="1281.4000000000001"/>
    <m/>
    <n v="0"/>
    <n v="967.45700000000011"/>
    <n v="75.5"/>
    <n v="967.45700000000011"/>
    <s v="Nouveau enrégistrement"/>
    <n v="967.45700000000011"/>
    <n v="384.41999999999996"/>
    <n v="320.35000000000002"/>
    <n v="704.77"/>
    <n v="116.09484"/>
    <n v="29.023710000000001"/>
    <n v="1112.57555"/>
    <n v="782.29469999999992"/>
    <n v="1112.57555"/>
    <n v="37.08585166666667"/>
    <n v="4"/>
    <m/>
    <m/>
    <s v="Inkind"/>
    <n v="29.023710000000001"/>
    <n v="4.3535564999999998"/>
    <n v="2.5395746250000002"/>
    <n v="1.4511855000000002"/>
    <n v="5.804742000000001"/>
    <n v="2.9023710000000005"/>
    <n v="87.071130000000011"/>
    <n v="13.060669499999999"/>
    <n v="7.6187238750000006"/>
    <n v="4.3535565000000007"/>
    <n v="17.414226000000003"/>
    <n v="8.7071130000000014"/>
  </r>
  <r>
    <s v="Androy "/>
    <s v="MG23210531"/>
    <x v="0"/>
    <x v="0"/>
    <x v="51"/>
    <n v="1"/>
    <n v="4"/>
    <m/>
    <s v="Urgence"/>
    <s v="Urgence"/>
    <m/>
    <s v="Urgence"/>
    <s v="Ancienne commune"/>
    <s v="Convergence"/>
    <m/>
    <s v="Bekily_Morafeno Bekily"/>
    <n v="29000.628918324008"/>
    <n v="5800.1257836648019"/>
    <m/>
    <n v="0"/>
    <n v="4379.0949666669258"/>
    <n v="75.5"/>
    <n v="4379.0949666669258"/>
    <s v="Nouveau enrégistrement"/>
    <n v="4379.0949666669258"/>
    <n v="1740.0377350994404"/>
    <n v="1450.0314459162005"/>
    <n v="3190.0691810156409"/>
    <n v="525.49139600003105"/>
    <n v="131.37284900000776"/>
    <n v="5035.9592116669646"/>
    <n v="3540.9767909273614"/>
    <n v="5035.9592116669646"/>
    <n v="167.86530705556549"/>
    <n v="17"/>
    <m/>
    <m/>
    <s v="CBT"/>
    <m/>
    <m/>
    <m/>
    <m/>
    <m/>
    <m/>
    <m/>
    <m/>
    <m/>
    <m/>
    <m/>
    <m/>
  </r>
  <r>
    <s v="Androy "/>
    <s v="MG23210472"/>
    <x v="0"/>
    <x v="0"/>
    <x v="52"/>
    <n v="1"/>
    <n v="5"/>
    <m/>
    <s v="Urgence"/>
    <s v="Urgence"/>
    <m/>
    <s v="Urgence"/>
    <s v="Ancienne commune"/>
    <s v="Convergence"/>
    <m/>
    <s v="Bekily_Tsirandrany"/>
    <n v="5421.8510277733794"/>
    <n v="1084.370205554676"/>
    <m/>
    <n v="0"/>
    <n v="818.6995051937804"/>
    <n v="75.5"/>
    <n v="818.6995051937804"/>
    <s v="Nouveau enrégistrement"/>
    <n v="818.6995051937804"/>
    <n v="325.31106166640274"/>
    <n v="271.09255138866899"/>
    <n v="596.40361305507167"/>
    <n v="98.24394062325365"/>
    <n v="24.560985155813412"/>
    <n v="941.50443097284744"/>
    <n v="662.00801049112954"/>
    <n v="941.50443097284744"/>
    <n v="31.383481032428246"/>
    <n v="4"/>
    <m/>
    <m/>
    <s v="Inkind"/>
    <n v="24.560985155813412"/>
    <n v="3.6841477733720116"/>
    <n v="2.1490862011336733"/>
    <n v="1.2280492577906705"/>
    <n v="4.9121970311626821"/>
    <n v="2.4560985155813411"/>
    <n v="73.682955467440237"/>
    <n v="11.052443320116035"/>
    <n v="6.4472586034010195"/>
    <n v="3.6841477733720116"/>
    <n v="14.736591093488046"/>
    <n v="7.3682955467440232"/>
  </r>
  <r>
    <s v="Antsimo Andrefana "/>
    <s v="MG23209251"/>
    <x v="3"/>
    <x v="10"/>
    <x v="53"/>
    <n v="1"/>
    <n v="8"/>
    <s v="Resilience "/>
    <s v=" "/>
    <s v="Urgence"/>
    <s v="Ancienne commune"/>
    <s v="FFA"/>
    <s v="Urgence"/>
    <s v="Convergence"/>
    <m/>
    <s v="Betioky Atsimo_Tameantsoa"/>
    <n v="16085.65561965581"/>
    <n v="3217.1311239311622"/>
    <n v="1971.2"/>
    <n v="61.2719819014184"/>
    <n v="2428.9339985680276"/>
    <n v="75.500000000000014"/>
    <n v="457.73399856802757"/>
    <s v="Rajout d'enregistrement"/>
    <n v="2428.9339985680276"/>
    <n v="965.13933717934856"/>
    <n v="804.28278098279054"/>
    <n v="1769.4221181621392"/>
    <n v="291.47207982816332"/>
    <n v="72.868019957040829"/>
    <n v="2793.2740983532317"/>
    <n v="1964.0585511599745"/>
    <n v="822.07409835323165"/>
    <n v="27.402469945107722"/>
    <n v="3"/>
    <m/>
    <m/>
    <s v="Inkind"/>
    <n v="72.868019957040829"/>
    <n v="10.930202993556124"/>
    <n v="6.3759517462410722"/>
    <n v="3.6434009978520416"/>
    <n v="14.573603991408167"/>
    <n v="7.2868019957040833"/>
    <n v="218.6040598711225"/>
    <n v="32.790608980668374"/>
    <n v="19.127855238723217"/>
    <n v="10.930202993556126"/>
    <n v="43.720811974224503"/>
    <n v="21.8604059871122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7ECBF-B45C-4A46-826C-B56C34BEAB6C}" name="PivotTable9" cacheId="37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D115" firstHeaderRow="0" firstDataRow="1" firstDataCol="1"/>
  <pivotFields count="50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15">
        <item x="12"/>
        <item x="2"/>
        <item x="7"/>
        <item x="9"/>
        <item x="0"/>
        <item x="4"/>
        <item x="10"/>
        <item x="1"/>
        <item x="11"/>
        <item x="5"/>
        <item x="13"/>
        <item x="3"/>
        <item x="6"/>
        <item x="8"/>
        <item t="default"/>
      </items>
    </pivotField>
    <pivotField axis="axisRow" dataField="1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49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50"/>
        <item x="51"/>
        <item x="40"/>
        <item x="41"/>
        <item x="42"/>
        <item x="43"/>
        <item x="44"/>
        <item x="45"/>
        <item x="46"/>
        <item x="53"/>
        <item x="47"/>
        <item x="52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"/>
    <field x="3"/>
    <field x="4"/>
  </rowFields>
  <rowItems count="73">
    <i>
      <x/>
    </i>
    <i r="1">
      <x/>
    </i>
    <i r="2">
      <x v="23"/>
    </i>
    <i r="2">
      <x v="27"/>
    </i>
    <i r="2">
      <x v="33"/>
    </i>
    <i r="2">
      <x v="43"/>
    </i>
    <i r="1">
      <x v="1"/>
    </i>
    <i r="2">
      <x v="2"/>
    </i>
    <i r="2">
      <x v="14"/>
    </i>
    <i r="2">
      <x v="39"/>
    </i>
    <i r="2">
      <x v="47"/>
    </i>
    <i r="1">
      <x v="3"/>
    </i>
    <i r="2">
      <x v="11"/>
    </i>
    <i r="2">
      <x v="19"/>
    </i>
    <i r="2">
      <x v="30"/>
    </i>
    <i r="1">
      <x v="4"/>
    </i>
    <i r="2">
      <x/>
    </i>
    <i r="2">
      <x v="20"/>
    </i>
    <i r="2">
      <x v="22"/>
    </i>
    <i r="2">
      <x v="41"/>
    </i>
    <i r="2">
      <x v="42"/>
    </i>
    <i r="2">
      <x v="52"/>
    </i>
    <i r="1">
      <x v="5"/>
    </i>
    <i r="2">
      <x v="4"/>
    </i>
    <i r="2">
      <x v="21"/>
    </i>
    <i r="2">
      <x v="32"/>
    </i>
    <i r="1">
      <x v="10"/>
    </i>
    <i r="2">
      <x v="28"/>
    </i>
    <i>
      <x v="1"/>
    </i>
    <i r="1">
      <x v="2"/>
    </i>
    <i r="2">
      <x v="8"/>
    </i>
    <i r="2">
      <x v="9"/>
    </i>
    <i r="2">
      <x v="12"/>
    </i>
    <i r="2">
      <x v="13"/>
    </i>
    <i r="2">
      <x v="24"/>
    </i>
    <i r="2">
      <x v="25"/>
    </i>
    <i>
      <x v="2"/>
    </i>
    <i r="1">
      <x v="7"/>
    </i>
    <i r="2">
      <x v="1"/>
    </i>
    <i r="1">
      <x v="8"/>
    </i>
    <i r="2">
      <x v="18"/>
    </i>
    <i r="2">
      <x v="37"/>
    </i>
    <i r="2">
      <x v="38"/>
    </i>
    <i r="2">
      <x v="49"/>
    </i>
    <i r="1">
      <x v="9"/>
    </i>
    <i r="2">
      <x v="5"/>
    </i>
    <i r="2">
      <x v="34"/>
    </i>
    <i r="2">
      <x v="36"/>
    </i>
    <i r="1">
      <x v="11"/>
    </i>
    <i r="2">
      <x v="3"/>
    </i>
    <i r="2">
      <x v="6"/>
    </i>
    <i r="2">
      <x v="53"/>
    </i>
    <i r="1">
      <x v="12"/>
    </i>
    <i r="2">
      <x v="7"/>
    </i>
    <i r="2">
      <x v="17"/>
    </i>
    <i r="2">
      <x v="29"/>
    </i>
    <i r="2">
      <x v="46"/>
    </i>
    <i r="1">
      <x v="13"/>
    </i>
    <i r="2">
      <x v="10"/>
    </i>
    <i r="2">
      <x v="26"/>
    </i>
    <i r="2">
      <x v="35"/>
    </i>
    <i>
      <x v="3"/>
    </i>
    <i r="1">
      <x v="6"/>
    </i>
    <i r="2">
      <x v="15"/>
    </i>
    <i r="2">
      <x v="16"/>
    </i>
    <i r="2">
      <x v="31"/>
    </i>
    <i r="2">
      <x v="40"/>
    </i>
    <i r="2">
      <x v="44"/>
    </i>
    <i r="2">
      <x v="45"/>
    </i>
    <i r="2">
      <x v="48"/>
    </i>
    <i r="2">
      <x v="50"/>
    </i>
    <i r="2">
      <x v="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ommune" fld="4" subtotal="count" baseField="0" baseItem="0"/>
    <dataField name="Sum of Gap avec marge d'erreur et plainte" fld="32" baseField="0" baseItem="0" numFmtId="167"/>
    <dataField name="Sum of Nb agent pour 10 j d'enreg" fld="34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01612-302E-4C23-A20D-49C7386A7E30}" name="PivotTable7" cacheId="37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D38" firstHeaderRow="1" firstDataRow="2" firstDataCol="1"/>
  <pivotFields count="24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ommu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1129D-F7D6-4C85-AFAB-CF99F0CF6C33}" name="PivotTable5" cacheId="37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J28" firstHeaderRow="1" firstDataRow="3" firstDataCol="1"/>
  <pivotFields count="50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3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Sum of GAP par type d'activité" fld="22" baseField="0" baseItem="0"/>
    <dataField name="Sum of Gap avec marge d'erreur et plainte" fld="32" baseField="0" baseItem="0"/>
    <dataField name="Sum of Mng à assister 2025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31306-374A-492A-B76A-65B8ACCE608C}" name="PivotTable4" cacheId="37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8" firstHeaderRow="1" firstDataRow="2" firstDataCol="1"/>
  <pivotFields count="50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ommu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0855-197F-4DAE-86D3-B50EA7BFD84C}" name="PivotTable3" cacheId="37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0"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mmu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DB6C-0A6E-4E58-864F-4407CE4C8980}">
  <dimension ref="A3:J115"/>
  <sheetViews>
    <sheetView topLeftCell="H14" workbookViewId="0">
      <selection activeCell="H14" sqref="H14"/>
    </sheetView>
  </sheetViews>
  <sheetFormatPr defaultRowHeight="14.45"/>
  <cols>
    <col min="1" max="1" width="27.140625" bestFit="1" customWidth="1"/>
    <col min="2" max="2" width="17.140625" bestFit="1" customWidth="1"/>
    <col min="3" max="3" width="35.85546875" bestFit="1" customWidth="1"/>
    <col min="4" max="4" width="28.7109375" bestFit="1" customWidth="1"/>
    <col min="5" max="5" width="10.7109375" bestFit="1" customWidth="1"/>
    <col min="6" max="6" width="12.85546875" bestFit="1" customWidth="1"/>
    <col min="7" max="7" width="14.42578125" bestFit="1" customWidth="1"/>
    <col min="8" max="8" width="8.5703125" bestFit="1" customWidth="1"/>
    <col min="9" max="9" width="9.42578125" bestFit="1" customWidth="1"/>
    <col min="10" max="10" width="14.5703125" bestFit="1" customWidth="1"/>
    <col min="11" max="11" width="8" bestFit="1" customWidth="1"/>
    <col min="12" max="12" width="9.140625" bestFit="1" customWidth="1"/>
    <col min="13" max="13" width="12.140625" bestFit="1" customWidth="1"/>
    <col min="14" max="14" width="10.42578125" bestFit="1" customWidth="1"/>
    <col min="15" max="15" width="7.7109375" bestFit="1" customWidth="1"/>
    <col min="16" max="16" width="14.85546875" bestFit="1" customWidth="1"/>
    <col min="17" max="17" width="17.85546875" bestFit="1" customWidth="1"/>
    <col min="18" max="18" width="13.7109375" bestFit="1" customWidth="1"/>
    <col min="19" max="19" width="7.5703125" bestFit="1" customWidth="1"/>
    <col min="20" max="20" width="8" bestFit="1" customWidth="1"/>
    <col min="21" max="21" width="16.85546875" bestFit="1" customWidth="1"/>
    <col min="22" max="22" width="12.85546875" bestFit="1" customWidth="1"/>
    <col min="23" max="23" width="9.140625" bestFit="1" customWidth="1"/>
    <col min="24" max="24" width="6.42578125" bestFit="1" customWidth="1"/>
    <col min="25" max="26" width="5.42578125" bestFit="1" customWidth="1"/>
    <col min="27" max="27" width="9.140625" bestFit="1" customWidth="1"/>
    <col min="28" max="28" width="7.7109375" bestFit="1" customWidth="1"/>
    <col min="29" max="29" width="6.5703125" bestFit="1" customWidth="1"/>
    <col min="30" max="30" width="6.85546875" bestFit="1" customWidth="1"/>
    <col min="31" max="31" width="4.85546875" bestFit="1" customWidth="1"/>
    <col min="32" max="32" width="5.7109375" bestFit="1" customWidth="1"/>
    <col min="33" max="33" width="7.5703125" bestFit="1" customWidth="1"/>
    <col min="34" max="34" width="11.42578125" bestFit="1" customWidth="1"/>
    <col min="35" max="35" width="6.85546875" bestFit="1" customWidth="1"/>
    <col min="36" max="36" width="15.140625" bestFit="1" customWidth="1"/>
    <col min="37" max="37" width="10.140625" bestFit="1" customWidth="1"/>
    <col min="38" max="38" width="6.85546875" bestFit="1" customWidth="1"/>
    <col min="39" max="39" width="11.5703125" bestFit="1" customWidth="1"/>
    <col min="40" max="40" width="9" bestFit="1" customWidth="1"/>
    <col min="41" max="41" width="13.42578125" bestFit="1" customWidth="1"/>
    <col min="42" max="42" width="21.28515625" bestFit="1" customWidth="1"/>
    <col min="43" max="43" width="23.28515625" bestFit="1" customWidth="1"/>
    <col min="44" max="44" width="14.140625" bestFit="1" customWidth="1"/>
    <col min="45" max="45" width="7.140625" bestFit="1" customWidth="1"/>
    <col min="46" max="46" width="10.42578125" bestFit="1" customWidth="1"/>
    <col min="47" max="47" width="6.5703125" bestFit="1" customWidth="1"/>
    <col min="48" max="48" width="6.85546875" bestFit="1" customWidth="1"/>
    <col min="49" max="49" width="10.85546875" bestFit="1" customWidth="1"/>
    <col min="50" max="50" width="11.5703125" bestFit="1" customWidth="1"/>
    <col min="51" max="51" width="8.28515625" bestFit="1" customWidth="1"/>
    <col min="52" max="52" width="11" bestFit="1" customWidth="1"/>
    <col min="53" max="53" width="14" bestFit="1" customWidth="1"/>
    <col min="54" max="54" width="10.5703125" bestFit="1" customWidth="1"/>
    <col min="55" max="55" width="8.28515625" bestFit="1" customWidth="1"/>
    <col min="56" max="56" width="10.42578125" bestFit="1" customWidth="1"/>
    <col min="57" max="57" width="6.42578125" bestFit="1" customWidth="1"/>
    <col min="58" max="58" width="11.5703125" bestFit="1" customWidth="1"/>
    <col min="59" max="59" width="6.42578125" bestFit="1" customWidth="1"/>
    <col min="60" max="60" width="11.5703125" bestFit="1" customWidth="1"/>
    <col min="61" max="61" width="6.42578125" bestFit="1" customWidth="1"/>
    <col min="62" max="62" width="11.5703125" bestFit="1" customWidth="1"/>
    <col min="63" max="63" width="6.42578125" bestFit="1" customWidth="1"/>
    <col min="64" max="64" width="11.5703125" bestFit="1" customWidth="1"/>
    <col min="65" max="65" width="6.42578125" bestFit="1" customWidth="1"/>
    <col min="66" max="66" width="11.5703125" bestFit="1" customWidth="1"/>
    <col min="67" max="67" width="6.42578125" bestFit="1" customWidth="1"/>
    <col min="68" max="68" width="11.5703125" bestFit="1" customWidth="1"/>
    <col min="69" max="69" width="6.42578125" bestFit="1" customWidth="1"/>
    <col min="70" max="70" width="11.5703125" bestFit="1" customWidth="1"/>
    <col min="71" max="71" width="6.42578125" bestFit="1" customWidth="1"/>
    <col min="72" max="72" width="11.5703125" bestFit="1" customWidth="1"/>
    <col min="73" max="73" width="6.42578125" bestFit="1" customWidth="1"/>
    <col min="74" max="74" width="11.5703125" bestFit="1" customWidth="1"/>
    <col min="75" max="75" width="6.42578125" bestFit="1" customWidth="1"/>
    <col min="76" max="76" width="11.5703125" bestFit="1" customWidth="1"/>
    <col min="77" max="77" width="6.42578125" bestFit="1" customWidth="1"/>
    <col min="78" max="78" width="11.5703125" bestFit="1" customWidth="1"/>
    <col min="79" max="79" width="6.42578125" bestFit="1" customWidth="1"/>
    <col min="80" max="80" width="11.5703125" bestFit="1" customWidth="1"/>
    <col min="81" max="81" width="6.42578125" bestFit="1" customWidth="1"/>
    <col min="82" max="82" width="11.5703125" bestFit="1" customWidth="1"/>
    <col min="83" max="83" width="6.42578125" bestFit="1" customWidth="1"/>
    <col min="84" max="84" width="11.5703125" bestFit="1" customWidth="1"/>
    <col min="85" max="85" width="6.42578125" bestFit="1" customWidth="1"/>
    <col min="86" max="86" width="11.5703125" bestFit="1" customWidth="1"/>
    <col min="87" max="87" width="6.42578125" bestFit="1" customWidth="1"/>
    <col min="88" max="88" width="11.5703125" bestFit="1" customWidth="1"/>
    <col min="89" max="89" width="6.42578125" bestFit="1" customWidth="1"/>
    <col min="90" max="90" width="11.5703125" bestFit="1" customWidth="1"/>
    <col min="91" max="91" width="6.42578125" bestFit="1" customWidth="1"/>
    <col min="92" max="92" width="11.5703125" bestFit="1" customWidth="1"/>
    <col min="93" max="93" width="6.42578125" bestFit="1" customWidth="1"/>
    <col min="94" max="94" width="11.5703125" bestFit="1" customWidth="1"/>
    <col min="95" max="95" width="6.42578125" bestFit="1" customWidth="1"/>
    <col min="96" max="96" width="11.5703125" bestFit="1" customWidth="1"/>
    <col min="97" max="97" width="6.42578125" bestFit="1" customWidth="1"/>
    <col min="98" max="98" width="11.5703125" bestFit="1" customWidth="1"/>
    <col min="99" max="99" width="6.42578125" bestFit="1" customWidth="1"/>
    <col min="100" max="100" width="11.5703125" bestFit="1" customWidth="1"/>
    <col min="101" max="101" width="6.42578125" bestFit="1" customWidth="1"/>
    <col min="102" max="102" width="11.5703125" bestFit="1" customWidth="1"/>
    <col min="103" max="103" width="6.42578125" bestFit="1" customWidth="1"/>
    <col min="104" max="104" width="11.5703125" bestFit="1" customWidth="1"/>
    <col min="105" max="105" width="6.42578125" bestFit="1" customWidth="1"/>
    <col min="106" max="106" width="11.5703125" bestFit="1" customWidth="1"/>
    <col min="107" max="107" width="6.42578125" bestFit="1" customWidth="1"/>
    <col min="108" max="108" width="11.5703125" bestFit="1" customWidth="1"/>
    <col min="109" max="109" width="12.140625" bestFit="1" customWidth="1"/>
    <col min="110" max="110" width="10.42578125" bestFit="1" customWidth="1"/>
  </cols>
  <sheetData>
    <row r="3" spans="1:4">
      <c r="A3" s="4" t="s">
        <v>0</v>
      </c>
      <c r="B3" t="s">
        <v>1</v>
      </c>
    </row>
    <row r="4" spans="1:4">
      <c r="A4" s="29" t="s">
        <v>2</v>
      </c>
      <c r="B4">
        <v>21</v>
      </c>
    </row>
    <row r="5" spans="1:4">
      <c r="A5" s="29" t="s">
        <v>3</v>
      </c>
      <c r="B5">
        <v>6</v>
      </c>
    </row>
    <row r="6" spans="1:4">
      <c r="A6" s="29" t="s">
        <v>4</v>
      </c>
      <c r="B6">
        <v>18</v>
      </c>
    </row>
    <row r="7" spans="1:4">
      <c r="A7" s="29" t="s">
        <v>5</v>
      </c>
      <c r="B7">
        <v>9</v>
      </c>
    </row>
    <row r="8" spans="1:4">
      <c r="A8" s="29" t="s">
        <v>6</v>
      </c>
    </row>
    <row r="9" spans="1:4">
      <c r="A9" s="29" t="s">
        <v>7</v>
      </c>
      <c r="B9">
        <v>54</v>
      </c>
    </row>
    <row r="12" spans="1:4">
      <c r="A12" s="4" t="s">
        <v>1</v>
      </c>
      <c r="B12" s="4" t="s">
        <v>8</v>
      </c>
    </row>
    <row r="13" spans="1:4">
      <c r="A13" s="4" t="s">
        <v>0</v>
      </c>
      <c r="B13" t="s">
        <v>9</v>
      </c>
      <c r="C13" t="s">
        <v>10</v>
      </c>
      <c r="D13" t="s">
        <v>7</v>
      </c>
    </row>
    <row r="14" spans="1:4">
      <c r="A14" s="29" t="s">
        <v>2</v>
      </c>
      <c r="B14">
        <v>13</v>
      </c>
      <c r="C14">
        <v>8</v>
      </c>
      <c r="D14">
        <v>21</v>
      </c>
    </row>
    <row r="15" spans="1:4">
      <c r="A15" s="29" t="s">
        <v>3</v>
      </c>
      <c r="B15">
        <v>4</v>
      </c>
      <c r="C15">
        <v>2</v>
      </c>
      <c r="D15">
        <v>6</v>
      </c>
    </row>
    <row r="16" spans="1:4">
      <c r="A16" s="29" t="s">
        <v>4</v>
      </c>
      <c r="B16">
        <v>11</v>
      </c>
      <c r="C16">
        <v>7</v>
      </c>
      <c r="D16">
        <v>18</v>
      </c>
    </row>
    <row r="17" spans="1:10">
      <c r="A17" s="29" t="s">
        <v>5</v>
      </c>
      <c r="B17">
        <v>4</v>
      </c>
      <c r="C17">
        <v>4</v>
      </c>
      <c r="D17">
        <v>8</v>
      </c>
    </row>
    <row r="18" spans="1:10">
      <c r="A18" s="29" t="s">
        <v>7</v>
      </c>
      <c r="B18">
        <v>32</v>
      </c>
      <c r="C18">
        <v>21</v>
      </c>
      <c r="D18">
        <v>53</v>
      </c>
    </row>
    <row r="21" spans="1:10">
      <c r="B21" s="4" t="s">
        <v>8</v>
      </c>
    </row>
    <row r="22" spans="1:10">
      <c r="B22" t="s">
        <v>11</v>
      </c>
      <c r="D22" t="s">
        <v>12</v>
      </c>
      <c r="F22" t="s">
        <v>13</v>
      </c>
      <c r="H22" t="s">
        <v>14</v>
      </c>
      <c r="I22" t="s">
        <v>15</v>
      </c>
      <c r="J22" t="s">
        <v>16</v>
      </c>
    </row>
    <row r="23" spans="1:10">
      <c r="A23" s="4" t="s">
        <v>0</v>
      </c>
      <c r="B23" t="s">
        <v>9</v>
      </c>
      <c r="C23" t="s">
        <v>10</v>
      </c>
      <c r="D23" t="s">
        <v>9</v>
      </c>
      <c r="E23" t="s">
        <v>10</v>
      </c>
      <c r="F23" t="s">
        <v>9</v>
      </c>
      <c r="G23" t="s">
        <v>10</v>
      </c>
    </row>
    <row r="24" spans="1:10">
      <c r="A24" s="29" t="s">
        <v>2</v>
      </c>
      <c r="B24">
        <v>21069.059729645967</v>
      </c>
      <c r="C24">
        <v>5090.1135919626176</v>
      </c>
      <c r="D24">
        <v>27863.558689092861</v>
      </c>
      <c r="E24">
        <v>8372.9092671220114</v>
      </c>
      <c r="F24">
        <v>45296.659729645973</v>
      </c>
      <c r="G24">
        <v>21885.304501062619</v>
      </c>
      <c r="H24">
        <v>26159.173321608585</v>
      </c>
      <c r="I24">
        <v>36236.467956214874</v>
      </c>
      <c r="J24">
        <v>67181.964230708589</v>
      </c>
    </row>
    <row r="25" spans="1:10">
      <c r="A25" s="29" t="s">
        <v>3</v>
      </c>
      <c r="B25">
        <v>20183.749334206979</v>
      </c>
      <c r="C25">
        <v>9427.3569691095072</v>
      </c>
      <c r="D25">
        <v>24742.961734338023</v>
      </c>
      <c r="E25">
        <v>10901.460514475933</v>
      </c>
      <c r="F25">
        <v>30394.749334206979</v>
      </c>
      <c r="G25">
        <v>9827.3569691095072</v>
      </c>
      <c r="H25">
        <v>29611.106303316486</v>
      </c>
      <c r="I25">
        <v>35644.422248813957</v>
      </c>
      <c r="J25">
        <v>40222.106303316483</v>
      </c>
    </row>
    <row r="26" spans="1:10">
      <c r="A26" s="29" t="s">
        <v>4</v>
      </c>
      <c r="B26">
        <v>3033.2966696677181</v>
      </c>
      <c r="C26">
        <v>3929.461058378999</v>
      </c>
      <c r="D26">
        <v>5108.0583879558762</v>
      </c>
      <c r="E26">
        <v>5401.8393970708503</v>
      </c>
      <c r="F26">
        <v>13831.744788587719</v>
      </c>
      <c r="G26">
        <v>9815.855591278998</v>
      </c>
      <c r="H26">
        <v>6962.7577280467176</v>
      </c>
      <c r="I26">
        <v>10509.897785026726</v>
      </c>
      <c r="J26">
        <v>23647.600379866715</v>
      </c>
    </row>
    <row r="27" spans="1:10">
      <c r="A27" s="29" t="s">
        <v>5</v>
      </c>
      <c r="B27">
        <v>3507.1441908602269</v>
      </c>
      <c r="C27">
        <v>5448.2868295019562</v>
      </c>
      <c r="D27">
        <v>5022.6458194937604</v>
      </c>
      <c r="E27">
        <v>6571.8498539267493</v>
      </c>
      <c r="F27">
        <v>10103.344190890226</v>
      </c>
      <c r="G27">
        <v>7490.4201628319561</v>
      </c>
      <c r="H27">
        <v>8955.4310203621826</v>
      </c>
      <c r="I27">
        <v>11594.49567342051</v>
      </c>
      <c r="J27">
        <v>17593.764353722181</v>
      </c>
    </row>
    <row r="28" spans="1:10">
      <c r="A28" s="29" t="s">
        <v>7</v>
      </c>
      <c r="B28">
        <v>47793.249924380892</v>
      </c>
      <c r="C28">
        <v>23895.218448953077</v>
      </c>
      <c r="D28">
        <v>62737.224630880519</v>
      </c>
      <c r="E28">
        <v>31248.059032595545</v>
      </c>
      <c r="F28">
        <v>99626.498043330896</v>
      </c>
      <c r="G28">
        <v>49018.93722428308</v>
      </c>
      <c r="H28">
        <v>71688.468373333963</v>
      </c>
      <c r="I28">
        <v>93985.283663476061</v>
      </c>
      <c r="J28">
        <v>148645.43526761397</v>
      </c>
    </row>
    <row r="32" spans="1:10">
      <c r="A32" s="4" t="s">
        <v>1</v>
      </c>
      <c r="B32" s="4" t="s">
        <v>8</v>
      </c>
    </row>
    <row r="33" spans="1:4">
      <c r="A33" s="4" t="s">
        <v>0</v>
      </c>
      <c r="B33" t="s">
        <v>9</v>
      </c>
      <c r="C33" t="s">
        <v>17</v>
      </c>
      <c r="D33" t="s">
        <v>7</v>
      </c>
    </row>
    <row r="34" spans="1:4">
      <c r="A34" s="29" t="s">
        <v>2</v>
      </c>
      <c r="B34">
        <v>2</v>
      </c>
      <c r="C34">
        <v>17</v>
      </c>
      <c r="D34">
        <v>19</v>
      </c>
    </row>
    <row r="35" spans="1:4">
      <c r="A35" s="29" t="s">
        <v>3</v>
      </c>
      <c r="B35">
        <v>4</v>
      </c>
      <c r="C35">
        <v>1</v>
      </c>
      <c r="D35">
        <v>5</v>
      </c>
    </row>
    <row r="36" spans="1:4">
      <c r="A36" s="29" t="s">
        <v>4</v>
      </c>
      <c r="B36">
        <v>9</v>
      </c>
      <c r="C36">
        <v>36</v>
      </c>
      <c r="D36">
        <v>45</v>
      </c>
    </row>
    <row r="37" spans="1:4">
      <c r="A37" s="29" t="s">
        <v>5</v>
      </c>
      <c r="B37">
        <v>4</v>
      </c>
      <c r="C37">
        <v>11</v>
      </c>
      <c r="D37">
        <v>15</v>
      </c>
    </row>
    <row r="38" spans="1:4">
      <c r="A38" s="29" t="s">
        <v>7</v>
      </c>
      <c r="B38">
        <v>19</v>
      </c>
      <c r="C38">
        <v>65</v>
      </c>
      <c r="D38">
        <v>84</v>
      </c>
    </row>
    <row r="42" spans="1:4">
      <c r="A42" s="4" t="s">
        <v>0</v>
      </c>
      <c r="B42" t="s">
        <v>1</v>
      </c>
      <c r="C42" t="s">
        <v>12</v>
      </c>
      <c r="D42" t="s">
        <v>18</v>
      </c>
    </row>
    <row r="43" spans="1:4">
      <c r="A43" s="29" t="s">
        <v>2</v>
      </c>
      <c r="B43">
        <v>21</v>
      </c>
      <c r="C43" s="56">
        <v>36236.467956214874</v>
      </c>
      <c r="D43">
        <v>131</v>
      </c>
    </row>
    <row r="44" spans="1:4">
      <c r="A44" s="54" t="s">
        <v>19</v>
      </c>
      <c r="B44">
        <v>4</v>
      </c>
      <c r="C44" s="56">
        <v>4687.5633809028404</v>
      </c>
      <c r="D44">
        <v>17</v>
      </c>
    </row>
    <row r="45" spans="1:4">
      <c r="A45" s="55" t="s">
        <v>20</v>
      </c>
      <c r="B45">
        <v>1</v>
      </c>
      <c r="C45" s="56">
        <v>381</v>
      </c>
      <c r="D45">
        <v>2</v>
      </c>
    </row>
    <row r="46" spans="1:4">
      <c r="A46" s="55" t="s">
        <v>21</v>
      </c>
      <c r="B46">
        <v>1</v>
      </c>
      <c r="C46" s="56">
        <v>3487.6533809028406</v>
      </c>
      <c r="D46">
        <v>12</v>
      </c>
    </row>
    <row r="47" spans="1:4">
      <c r="A47" s="55" t="s">
        <v>22</v>
      </c>
      <c r="B47">
        <v>1</v>
      </c>
      <c r="C47" s="56">
        <v>565.05000000000018</v>
      </c>
      <c r="D47">
        <v>2</v>
      </c>
    </row>
    <row r="48" spans="1:4">
      <c r="A48" s="55" t="s">
        <v>23</v>
      </c>
      <c r="B48">
        <v>1</v>
      </c>
      <c r="C48" s="56">
        <v>253.8599999999999</v>
      </c>
      <c r="D48">
        <v>1</v>
      </c>
    </row>
    <row r="49" spans="1:4">
      <c r="A49" s="54" t="s">
        <v>24</v>
      </c>
      <c r="B49">
        <v>4</v>
      </c>
      <c r="C49" s="56">
        <v>6214.6814112008888</v>
      </c>
      <c r="D49">
        <v>23</v>
      </c>
    </row>
    <row r="50" spans="1:4">
      <c r="A50" s="55" t="s">
        <v>25</v>
      </c>
      <c r="B50">
        <v>1</v>
      </c>
      <c r="C50" s="56">
        <v>1936.8038182033224</v>
      </c>
      <c r="D50">
        <v>7</v>
      </c>
    </row>
    <row r="51" spans="1:4">
      <c r="A51" s="55" t="s">
        <v>26</v>
      </c>
      <c r="B51">
        <v>1</v>
      </c>
      <c r="C51" s="56">
        <v>509.54999999999973</v>
      </c>
      <c r="D51">
        <v>2</v>
      </c>
    </row>
    <row r="52" spans="1:4">
      <c r="A52" s="55" t="s">
        <v>27</v>
      </c>
      <c r="B52">
        <v>1</v>
      </c>
      <c r="C52" s="56">
        <v>377.55000000000018</v>
      </c>
      <c r="D52">
        <v>2</v>
      </c>
    </row>
    <row r="53" spans="1:4">
      <c r="A53" s="55" t="s">
        <v>28</v>
      </c>
      <c r="B53">
        <v>1</v>
      </c>
      <c r="C53" s="56">
        <v>3390.777592997566</v>
      </c>
      <c r="D53">
        <v>12</v>
      </c>
    </row>
    <row r="54" spans="1:4">
      <c r="A54" s="54" t="s">
        <v>29</v>
      </c>
      <c r="B54">
        <v>3</v>
      </c>
      <c r="C54" s="56">
        <v>5106.4648512694857</v>
      </c>
      <c r="D54">
        <v>19</v>
      </c>
    </row>
    <row r="55" spans="1:4">
      <c r="A55" s="55" t="s">
        <v>30</v>
      </c>
      <c r="B55">
        <v>1</v>
      </c>
      <c r="C55" s="56">
        <v>1893.3808431010493</v>
      </c>
      <c r="D55">
        <v>7</v>
      </c>
    </row>
    <row r="56" spans="1:4">
      <c r="A56" s="55" t="s">
        <v>31</v>
      </c>
      <c r="B56">
        <v>1</v>
      </c>
      <c r="C56" s="56">
        <v>1591.156665309295</v>
      </c>
      <c r="D56">
        <v>6</v>
      </c>
    </row>
    <row r="57" spans="1:4">
      <c r="A57" s="55" t="s">
        <v>32</v>
      </c>
      <c r="B57">
        <v>1</v>
      </c>
      <c r="C57" s="56">
        <v>1621.9273428591414</v>
      </c>
      <c r="D57">
        <v>6</v>
      </c>
    </row>
    <row r="58" spans="1:4">
      <c r="A58" s="54" t="s">
        <v>33</v>
      </c>
      <c r="B58">
        <v>6</v>
      </c>
      <c r="C58" s="56">
        <v>11916.338694375745</v>
      </c>
      <c r="D58">
        <v>42</v>
      </c>
    </row>
    <row r="59" spans="1:4">
      <c r="A59" s="55" t="s">
        <v>34</v>
      </c>
      <c r="B59">
        <v>1</v>
      </c>
      <c r="C59" s="56">
        <v>1489.2553451246208</v>
      </c>
      <c r="D59">
        <v>5</v>
      </c>
    </row>
    <row r="60" spans="1:4">
      <c r="A60" s="55" t="s">
        <v>35</v>
      </c>
      <c r="B60">
        <v>1</v>
      </c>
      <c r="C60" s="56">
        <v>267.16772726999989</v>
      </c>
      <c r="D60">
        <v>1</v>
      </c>
    </row>
    <row r="61" spans="1:4">
      <c r="A61" s="55" t="s">
        <v>36</v>
      </c>
      <c r="B61">
        <v>1</v>
      </c>
      <c r="C61" s="56">
        <v>3069.8764293413119</v>
      </c>
      <c r="D61">
        <v>11</v>
      </c>
    </row>
    <row r="62" spans="1:4">
      <c r="A62" s="55" t="s">
        <v>37</v>
      </c>
      <c r="B62">
        <v>1</v>
      </c>
      <c r="C62" s="56">
        <v>1112.57555</v>
      </c>
      <c r="D62">
        <v>4</v>
      </c>
    </row>
    <row r="63" spans="1:4">
      <c r="A63" s="55" t="s">
        <v>38</v>
      </c>
      <c r="B63">
        <v>1</v>
      </c>
      <c r="C63" s="56">
        <v>5035.9592116669646</v>
      </c>
      <c r="D63">
        <v>17</v>
      </c>
    </row>
    <row r="64" spans="1:4">
      <c r="A64" s="55" t="s">
        <v>39</v>
      </c>
      <c r="B64">
        <v>1</v>
      </c>
      <c r="C64" s="56">
        <v>941.50443097284744</v>
      </c>
      <c r="D64">
        <v>4</v>
      </c>
    </row>
    <row r="65" spans="1:4">
      <c r="A65" s="54" t="s">
        <v>40</v>
      </c>
      <c r="B65">
        <v>3</v>
      </c>
      <c r="C65" s="56">
        <v>5155.35140377066</v>
      </c>
      <c r="D65">
        <v>19</v>
      </c>
    </row>
    <row r="66" spans="1:4">
      <c r="A66" s="55" t="s">
        <v>41</v>
      </c>
      <c r="B66">
        <v>1</v>
      </c>
      <c r="C66" s="56">
        <v>1832.6952215850054</v>
      </c>
      <c r="D66">
        <v>7</v>
      </c>
    </row>
    <row r="67" spans="1:4">
      <c r="A67" s="55" t="s">
        <v>42</v>
      </c>
      <c r="B67">
        <v>1</v>
      </c>
      <c r="C67" s="56">
        <v>1568.2482021535168</v>
      </c>
      <c r="D67">
        <v>6</v>
      </c>
    </row>
    <row r="68" spans="1:4">
      <c r="A68" s="55" t="s">
        <v>43</v>
      </c>
      <c r="B68">
        <v>1</v>
      </c>
      <c r="C68" s="56">
        <v>1754.4079800321379</v>
      </c>
      <c r="D68">
        <v>6</v>
      </c>
    </row>
    <row r="69" spans="1:4">
      <c r="A69" s="54" t="s">
        <v>44</v>
      </c>
      <c r="B69">
        <v>1</v>
      </c>
      <c r="C69" s="56">
        <v>3156.0682146952518</v>
      </c>
      <c r="D69">
        <v>11</v>
      </c>
    </row>
    <row r="70" spans="1:4">
      <c r="A70" s="55" t="s">
        <v>45</v>
      </c>
      <c r="B70">
        <v>1</v>
      </c>
      <c r="C70" s="56">
        <v>3156.0682146952518</v>
      </c>
      <c r="D70">
        <v>11</v>
      </c>
    </row>
    <row r="71" spans="1:4">
      <c r="A71" s="29" t="s">
        <v>3</v>
      </c>
      <c r="B71">
        <v>6</v>
      </c>
      <c r="C71" s="56">
        <v>35644.422248813957</v>
      </c>
      <c r="D71">
        <v>122</v>
      </c>
    </row>
    <row r="72" spans="1:4">
      <c r="A72" s="54" t="s">
        <v>46</v>
      </c>
      <c r="B72">
        <v>6</v>
      </c>
      <c r="C72" s="56">
        <v>35644.422248813957</v>
      </c>
      <c r="D72">
        <v>122</v>
      </c>
    </row>
    <row r="73" spans="1:4">
      <c r="A73" s="55" t="s">
        <v>46</v>
      </c>
      <c r="B73">
        <v>1</v>
      </c>
      <c r="C73" s="56">
        <v>9185.0404598628575</v>
      </c>
      <c r="D73">
        <v>31</v>
      </c>
    </row>
    <row r="74" spans="1:4">
      <c r="A74" s="55" t="s">
        <v>47</v>
      </c>
      <c r="B74">
        <v>1</v>
      </c>
      <c r="C74" s="56">
        <v>1716.4200546130751</v>
      </c>
      <c r="D74">
        <v>6</v>
      </c>
    </row>
    <row r="75" spans="1:4">
      <c r="A75" s="55" t="s">
        <v>48</v>
      </c>
      <c r="B75">
        <v>1</v>
      </c>
      <c r="C75" s="56">
        <v>1277.6832539282559</v>
      </c>
      <c r="D75">
        <v>5</v>
      </c>
    </row>
    <row r="76" spans="1:4">
      <c r="A76" s="55" t="s">
        <v>49</v>
      </c>
      <c r="B76">
        <v>1</v>
      </c>
      <c r="C76" s="56">
        <v>1571.334398792942</v>
      </c>
      <c r="D76">
        <v>6</v>
      </c>
    </row>
    <row r="77" spans="1:4">
      <c r="A77" s="55" t="s">
        <v>50</v>
      </c>
      <c r="B77">
        <v>1</v>
      </c>
      <c r="C77" s="56">
        <v>11013.765494736241</v>
      </c>
      <c r="D77">
        <v>37</v>
      </c>
    </row>
    <row r="78" spans="1:4">
      <c r="A78" s="55" t="s">
        <v>51</v>
      </c>
      <c r="B78">
        <v>1</v>
      </c>
      <c r="C78" s="56">
        <v>10880.178586880584</v>
      </c>
      <c r="D78">
        <v>37</v>
      </c>
    </row>
    <row r="79" spans="1:4">
      <c r="A79" s="29" t="s">
        <v>4</v>
      </c>
      <c r="B79">
        <v>18</v>
      </c>
      <c r="C79" s="56">
        <v>10509.897785026726</v>
      </c>
      <c r="D79">
        <v>42</v>
      </c>
    </row>
    <row r="80" spans="1:4">
      <c r="A80" s="54" t="s">
        <v>52</v>
      </c>
      <c r="B80">
        <v>1</v>
      </c>
      <c r="C80" s="56">
        <v>3003.5977848855714</v>
      </c>
      <c r="D80">
        <v>11</v>
      </c>
    </row>
    <row r="81" spans="1:4">
      <c r="A81" s="55" t="s">
        <v>53</v>
      </c>
      <c r="B81">
        <v>1</v>
      </c>
      <c r="C81" s="56">
        <v>3003.5977848855714</v>
      </c>
      <c r="D81">
        <v>11</v>
      </c>
    </row>
    <row r="82" spans="1:4">
      <c r="A82" s="54" t="s">
        <v>54</v>
      </c>
      <c r="B82">
        <v>4</v>
      </c>
      <c r="C82" s="56">
        <v>1090.2297565512847</v>
      </c>
      <c r="D82">
        <v>5</v>
      </c>
    </row>
    <row r="83" spans="1:4">
      <c r="A83" s="55" t="s">
        <v>55</v>
      </c>
      <c r="B83">
        <v>1</v>
      </c>
      <c r="C83" s="56">
        <v>293.83667823000019</v>
      </c>
      <c r="D83">
        <v>1</v>
      </c>
    </row>
    <row r="84" spans="1:4">
      <c r="A84" s="55" t="s">
        <v>56</v>
      </c>
      <c r="B84">
        <v>1</v>
      </c>
      <c r="C84" s="56">
        <v>264.29178870128453</v>
      </c>
      <c r="D84">
        <v>1</v>
      </c>
    </row>
    <row r="85" spans="1:4">
      <c r="A85" s="55" t="s">
        <v>57</v>
      </c>
      <c r="B85">
        <v>1</v>
      </c>
      <c r="C85" s="56">
        <v>225.68065036500002</v>
      </c>
      <c r="D85">
        <v>1</v>
      </c>
    </row>
    <row r="86" spans="1:4">
      <c r="A86" s="55" t="s">
        <v>58</v>
      </c>
      <c r="B86">
        <v>1</v>
      </c>
      <c r="C86" s="56">
        <v>306.42063925499997</v>
      </c>
      <c r="D86">
        <v>2</v>
      </c>
    </row>
    <row r="87" spans="1:4">
      <c r="A87" s="54" t="s">
        <v>59</v>
      </c>
      <c r="B87">
        <v>3</v>
      </c>
      <c r="C87" s="56">
        <v>555.19861511850002</v>
      </c>
      <c r="D87">
        <v>3</v>
      </c>
    </row>
    <row r="88" spans="1:4">
      <c r="A88" s="55" t="s">
        <v>60</v>
      </c>
      <c r="B88">
        <v>1</v>
      </c>
      <c r="C88" s="56">
        <v>171.75593954999999</v>
      </c>
      <c r="D88">
        <v>1</v>
      </c>
    </row>
    <row r="89" spans="1:4">
      <c r="A89" s="55" t="s">
        <v>61</v>
      </c>
      <c r="B89">
        <v>1</v>
      </c>
      <c r="C89" s="56">
        <v>107.99545247849994</v>
      </c>
      <c r="D89">
        <v>1</v>
      </c>
    </row>
    <row r="90" spans="1:4">
      <c r="A90" s="55" t="s">
        <v>62</v>
      </c>
      <c r="B90">
        <v>1</v>
      </c>
      <c r="C90" s="56">
        <v>275.44722309000008</v>
      </c>
      <c r="D90">
        <v>1</v>
      </c>
    </row>
    <row r="91" spans="1:4">
      <c r="A91" s="54" t="s">
        <v>63</v>
      </c>
      <c r="B91">
        <v>3</v>
      </c>
      <c r="C91" s="56">
        <v>2159.538501068635</v>
      </c>
      <c r="D91">
        <v>8</v>
      </c>
    </row>
    <row r="92" spans="1:4">
      <c r="A92" s="55" t="s">
        <v>64</v>
      </c>
      <c r="B92">
        <v>1</v>
      </c>
      <c r="C92" s="56">
        <v>199.97032151999997</v>
      </c>
      <c r="D92">
        <v>1</v>
      </c>
    </row>
    <row r="93" spans="1:4">
      <c r="A93" s="55" t="s">
        <v>65</v>
      </c>
      <c r="B93">
        <v>1</v>
      </c>
      <c r="C93" s="56">
        <v>1796.0966497286352</v>
      </c>
      <c r="D93">
        <v>6</v>
      </c>
    </row>
    <row r="94" spans="1:4">
      <c r="A94" s="55" t="s">
        <v>66</v>
      </c>
      <c r="B94">
        <v>1</v>
      </c>
      <c r="C94" s="56">
        <v>163.47152982000011</v>
      </c>
      <c r="D94">
        <v>1</v>
      </c>
    </row>
    <row r="95" spans="1:4">
      <c r="A95" s="54" t="s">
        <v>67</v>
      </c>
      <c r="B95">
        <v>4</v>
      </c>
      <c r="C95" s="56">
        <v>747.95607699051993</v>
      </c>
      <c r="D95">
        <v>4</v>
      </c>
    </row>
    <row r="96" spans="1:4">
      <c r="A96" s="55" t="s">
        <v>68</v>
      </c>
      <c r="B96">
        <v>1</v>
      </c>
      <c r="C96" s="56">
        <v>253.31824123008425</v>
      </c>
      <c r="D96">
        <v>1</v>
      </c>
    </row>
    <row r="97" spans="1:4">
      <c r="A97" s="55" t="s">
        <v>69</v>
      </c>
      <c r="B97">
        <v>1</v>
      </c>
      <c r="C97" s="56">
        <v>87.444041054999957</v>
      </c>
      <c r="D97">
        <v>1</v>
      </c>
    </row>
    <row r="98" spans="1:4">
      <c r="A98" s="55" t="s">
        <v>70</v>
      </c>
      <c r="B98">
        <v>1</v>
      </c>
      <c r="C98" s="56">
        <v>156.75</v>
      </c>
      <c r="D98">
        <v>1</v>
      </c>
    </row>
    <row r="99" spans="1:4">
      <c r="A99" s="55" t="s">
        <v>71</v>
      </c>
      <c r="B99">
        <v>1</v>
      </c>
      <c r="C99" s="56">
        <v>250.44379470543572</v>
      </c>
      <c r="D99">
        <v>1</v>
      </c>
    </row>
    <row r="100" spans="1:4">
      <c r="A100" s="54" t="s">
        <v>72</v>
      </c>
      <c r="B100">
        <v>3</v>
      </c>
      <c r="C100" s="56">
        <v>2953.377050412214</v>
      </c>
      <c r="D100">
        <v>11</v>
      </c>
    </row>
    <row r="101" spans="1:4">
      <c r="A101" s="55" t="s">
        <v>73</v>
      </c>
      <c r="B101">
        <v>1</v>
      </c>
      <c r="C101" s="56">
        <v>1634.9627773184352</v>
      </c>
      <c r="D101">
        <v>6</v>
      </c>
    </row>
    <row r="102" spans="1:4">
      <c r="A102" s="55" t="s">
        <v>74</v>
      </c>
      <c r="B102">
        <v>1</v>
      </c>
      <c r="C102" s="56">
        <v>1087.8207900887789</v>
      </c>
      <c r="D102">
        <v>4</v>
      </c>
    </row>
    <row r="103" spans="1:4">
      <c r="A103" s="55" t="s">
        <v>75</v>
      </c>
      <c r="B103">
        <v>1</v>
      </c>
      <c r="C103" s="56">
        <v>230.59348300500005</v>
      </c>
      <c r="D103">
        <v>1</v>
      </c>
    </row>
    <row r="104" spans="1:4">
      <c r="A104" s="29" t="s">
        <v>5</v>
      </c>
      <c r="B104">
        <v>9</v>
      </c>
      <c r="C104" s="56">
        <v>12416.569771773742</v>
      </c>
      <c r="D104">
        <v>45</v>
      </c>
    </row>
    <row r="105" spans="1:4">
      <c r="A105" s="54" t="s">
        <v>76</v>
      </c>
      <c r="B105">
        <v>9</v>
      </c>
      <c r="C105" s="56">
        <v>12416.569771773742</v>
      </c>
      <c r="D105">
        <v>45</v>
      </c>
    </row>
    <row r="106" spans="1:4">
      <c r="A106" s="55" t="s">
        <v>77</v>
      </c>
      <c r="B106">
        <v>1</v>
      </c>
      <c r="C106" s="56">
        <v>565.8719653593223</v>
      </c>
      <c r="D106">
        <v>2</v>
      </c>
    </row>
    <row r="107" spans="1:4">
      <c r="A107" s="55" t="s">
        <v>78</v>
      </c>
      <c r="B107">
        <v>1</v>
      </c>
      <c r="C107" s="56">
        <v>2046.1503385875731</v>
      </c>
      <c r="D107">
        <v>7</v>
      </c>
    </row>
    <row r="108" spans="1:4">
      <c r="A108" s="55" t="s">
        <v>79</v>
      </c>
      <c r="B108">
        <v>1</v>
      </c>
      <c r="C108" s="56">
        <v>1863.7747338797371</v>
      </c>
      <c r="D108">
        <v>7</v>
      </c>
    </row>
    <row r="109" spans="1:4">
      <c r="A109" s="55" t="s">
        <v>80</v>
      </c>
      <c r="B109">
        <v>1</v>
      </c>
      <c r="C109" s="56">
        <v>546.84878166712792</v>
      </c>
      <c r="D109">
        <v>2</v>
      </c>
    </row>
    <row r="110" spans="1:4">
      <c r="A110" s="55" t="s">
        <v>81</v>
      </c>
      <c r="B110">
        <v>1</v>
      </c>
      <c r="C110" s="56">
        <v>1357.7401073120091</v>
      </c>
      <c r="D110">
        <v>5</v>
      </c>
    </row>
    <row r="111" spans="1:4">
      <c r="A111" s="55" t="s">
        <v>82</v>
      </c>
      <c r="B111">
        <v>1</v>
      </c>
      <c r="C111" s="56">
        <v>693.92236280619227</v>
      </c>
      <c r="D111">
        <v>3</v>
      </c>
    </row>
    <row r="112" spans="1:4">
      <c r="A112" s="55" t="s">
        <v>83</v>
      </c>
      <c r="B112">
        <v>1</v>
      </c>
      <c r="C112" s="56">
        <v>3840.1653922150917</v>
      </c>
      <c r="D112">
        <v>13</v>
      </c>
    </row>
    <row r="113" spans="1:4">
      <c r="A113" s="55" t="s">
        <v>84</v>
      </c>
      <c r="B113">
        <v>1</v>
      </c>
      <c r="C113" s="56">
        <v>822.07409835323165</v>
      </c>
      <c r="D113">
        <v>3</v>
      </c>
    </row>
    <row r="114" spans="1:4">
      <c r="A114" s="55" t="s">
        <v>85</v>
      </c>
      <c r="B114">
        <v>1</v>
      </c>
      <c r="C114" s="56">
        <v>680.02199159345628</v>
      </c>
      <c r="D114">
        <v>3</v>
      </c>
    </row>
    <row r="115" spans="1:4">
      <c r="A115" s="29" t="s">
        <v>7</v>
      </c>
      <c r="B115">
        <v>54</v>
      </c>
      <c r="C115" s="56">
        <v>94807.357761829277</v>
      </c>
      <c r="D115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50F1-4C6B-4A19-BD1D-B9C00127F217}">
  <dimension ref="A9:G24"/>
  <sheetViews>
    <sheetView topLeftCell="A4" workbookViewId="0">
      <selection activeCell="C20" sqref="C20"/>
    </sheetView>
  </sheetViews>
  <sheetFormatPr defaultRowHeight="14.45"/>
  <cols>
    <col min="1" max="1" width="16.42578125" bestFit="1" customWidth="1"/>
    <col min="2" max="2" width="15.42578125" customWidth="1"/>
    <col min="3" max="3" width="14.42578125" customWidth="1"/>
    <col min="4" max="4" width="10" bestFit="1" customWidth="1"/>
    <col min="5" max="5" width="10.5703125" customWidth="1"/>
    <col min="6" max="6" width="14.140625" customWidth="1"/>
    <col min="7" max="7" width="15.140625" customWidth="1"/>
    <col min="8" max="8" width="11.42578125" customWidth="1"/>
  </cols>
  <sheetData>
    <row r="9" spans="2:6">
      <c r="B9" s="61" t="s">
        <v>86</v>
      </c>
      <c r="C9" s="61"/>
      <c r="D9" s="61"/>
      <c r="E9" s="61"/>
      <c r="F9" s="61"/>
    </row>
    <row r="10" spans="2:6">
      <c r="B10" s="48" t="s">
        <v>87</v>
      </c>
      <c r="C10" s="51" t="s">
        <v>9</v>
      </c>
      <c r="D10" s="51" t="s">
        <v>10</v>
      </c>
      <c r="E10" s="51" t="s">
        <v>17</v>
      </c>
      <c r="F10" s="48" t="s">
        <v>88</v>
      </c>
    </row>
    <row r="11" spans="2:6">
      <c r="B11" s="32" t="s">
        <v>2</v>
      </c>
      <c r="C11" s="30">
        <v>13</v>
      </c>
      <c r="D11" s="32">
        <v>8</v>
      </c>
      <c r="E11" s="52">
        <v>17</v>
      </c>
      <c r="F11" s="33">
        <f>SUM(C11:E11)</f>
        <v>38</v>
      </c>
    </row>
    <row r="12" spans="2:6">
      <c r="B12" s="32" t="s">
        <v>3</v>
      </c>
      <c r="C12" s="30">
        <v>4</v>
      </c>
      <c r="D12" s="32">
        <v>2</v>
      </c>
      <c r="E12" s="52">
        <v>1</v>
      </c>
      <c r="F12" s="33">
        <f>SUM(C12:E12)</f>
        <v>7</v>
      </c>
    </row>
    <row r="13" spans="2:6">
      <c r="B13" s="32" t="s">
        <v>4</v>
      </c>
      <c r="C13" s="30">
        <v>11</v>
      </c>
      <c r="D13" s="32">
        <v>7</v>
      </c>
      <c r="E13" s="52">
        <v>36</v>
      </c>
      <c r="F13" s="33">
        <f>SUM(C13:E13)</f>
        <v>54</v>
      </c>
    </row>
    <row r="14" spans="2:6">
      <c r="B14" s="32" t="s">
        <v>5</v>
      </c>
      <c r="C14" s="30">
        <v>4</v>
      </c>
      <c r="D14" s="32">
        <v>4</v>
      </c>
      <c r="E14" s="52">
        <v>11</v>
      </c>
      <c r="F14" s="33">
        <f>SUM(C14:E14)</f>
        <v>19</v>
      </c>
    </row>
    <row r="15" spans="2:6">
      <c r="B15" s="31" t="s">
        <v>7</v>
      </c>
      <c r="C15" s="34">
        <v>32</v>
      </c>
      <c r="D15" s="49">
        <v>21</v>
      </c>
      <c r="E15" s="53">
        <v>65</v>
      </c>
      <c r="F15" s="50">
        <f>SUM(F11:F14)</f>
        <v>118</v>
      </c>
    </row>
    <row r="17" spans="1:7" ht="15" thickBot="1"/>
    <row r="18" spans="1:7">
      <c r="A18" s="59" t="s">
        <v>87</v>
      </c>
      <c r="B18" s="62" t="s">
        <v>89</v>
      </c>
      <c r="C18" s="63"/>
      <c r="D18" s="62" t="s">
        <v>90</v>
      </c>
      <c r="E18" s="64"/>
      <c r="F18" s="65" t="s">
        <v>91</v>
      </c>
      <c r="G18" s="57" t="s">
        <v>92</v>
      </c>
    </row>
    <row r="19" spans="1:7">
      <c r="A19" s="60"/>
      <c r="B19" s="40" t="s">
        <v>9</v>
      </c>
      <c r="C19" s="41" t="s">
        <v>10</v>
      </c>
      <c r="D19" s="40" t="s">
        <v>9</v>
      </c>
      <c r="E19" s="42" t="s">
        <v>10</v>
      </c>
      <c r="F19" s="66"/>
      <c r="G19" s="58"/>
    </row>
    <row r="20" spans="1:7">
      <c r="A20" s="36" t="s">
        <v>2</v>
      </c>
      <c r="B20" s="37">
        <v>21069.059729645967</v>
      </c>
      <c r="C20" s="39">
        <v>5090.1135919626176</v>
      </c>
      <c r="D20" s="37">
        <v>45296.659729645973</v>
      </c>
      <c r="E20" s="38">
        <v>21885.304501062619</v>
      </c>
      <c r="F20" s="35">
        <v>26159.173321608585</v>
      </c>
      <c r="G20" s="38">
        <v>67181.964230708589</v>
      </c>
    </row>
    <row r="21" spans="1:7">
      <c r="A21" s="36" t="s">
        <v>3</v>
      </c>
      <c r="B21" s="37">
        <v>20183.749334206979</v>
      </c>
      <c r="C21" s="39">
        <v>9427.3569691095072</v>
      </c>
      <c r="D21" s="37">
        <v>30394.749334206979</v>
      </c>
      <c r="E21" s="38">
        <v>9827.3569691095072</v>
      </c>
      <c r="F21" s="35">
        <v>29611.106303316486</v>
      </c>
      <c r="G21" s="38">
        <v>40222.106303316483</v>
      </c>
    </row>
    <row r="22" spans="1:7">
      <c r="A22" s="36" t="s">
        <v>4</v>
      </c>
      <c r="B22" s="37">
        <v>3033.2966696677181</v>
      </c>
      <c r="C22" s="39">
        <v>3929.461058378999</v>
      </c>
      <c r="D22" s="37">
        <v>13831.744788587719</v>
      </c>
      <c r="E22" s="38">
        <v>9815.855591278998</v>
      </c>
      <c r="F22" s="35">
        <v>6962.7577280467176</v>
      </c>
      <c r="G22" s="38">
        <v>23647.600379866715</v>
      </c>
    </row>
    <row r="23" spans="1:7">
      <c r="A23" s="36" t="s">
        <v>5</v>
      </c>
      <c r="B23" s="37">
        <v>3507.1441908602269</v>
      </c>
      <c r="C23" s="39">
        <v>5448.2868295019562</v>
      </c>
      <c r="D23" s="37">
        <v>10103.344190890226</v>
      </c>
      <c r="E23" s="38">
        <v>7490.4201628319561</v>
      </c>
      <c r="F23" s="35">
        <v>8955.4310203621826</v>
      </c>
      <c r="G23" s="38">
        <v>17593.764353722181</v>
      </c>
    </row>
    <row r="24" spans="1:7" ht="15" thickBot="1">
      <c r="A24" s="43" t="s">
        <v>7</v>
      </c>
      <c r="B24" s="44">
        <v>47793.249924380892</v>
      </c>
      <c r="C24" s="45">
        <v>23895.218448953077</v>
      </c>
      <c r="D24" s="44">
        <v>99626.498043330896</v>
      </c>
      <c r="E24" s="46">
        <v>49018.93722428308</v>
      </c>
      <c r="F24" s="47">
        <v>71688.468373333963</v>
      </c>
      <c r="G24" s="46">
        <v>148645.43526761397</v>
      </c>
    </row>
  </sheetData>
  <mergeCells count="6">
    <mergeCell ref="G18:G19"/>
    <mergeCell ref="A18:A19"/>
    <mergeCell ref="B9:F9"/>
    <mergeCell ref="B18:C18"/>
    <mergeCell ref="D18:E18"/>
    <mergeCell ref="F18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5D46-8C86-4D40-8A98-6F79DF805646}">
  <dimension ref="A1:AX56"/>
  <sheetViews>
    <sheetView tabSelected="1" topLeftCell="Y1" zoomScale="85" zoomScaleNormal="85" workbookViewId="0">
      <pane ySplit="1" topLeftCell="A70" activePane="bottomLeft" state="frozen"/>
      <selection pane="bottomLeft" activeCell="H1" sqref="H1:N1048576"/>
      <selection activeCell="F1" sqref="F1"/>
    </sheetView>
  </sheetViews>
  <sheetFormatPr defaultRowHeight="14.45"/>
  <cols>
    <col min="1" max="1" width="17.85546875" customWidth="1"/>
    <col min="2" max="5" width="15.42578125" customWidth="1"/>
    <col min="6" max="8" width="8.7109375" customWidth="1"/>
    <col min="9" max="9" width="21.140625" customWidth="1"/>
    <col min="10" max="10" width="14.7109375" customWidth="1"/>
    <col min="11" max="11" width="31.85546875" customWidth="1"/>
    <col min="12" max="14" width="21" customWidth="1"/>
    <col min="15" max="15" width="15.42578125" customWidth="1"/>
    <col min="16" max="16" width="24" customWidth="1"/>
    <col min="17" max="17" width="16.5703125" style="3" customWidth="1"/>
    <col min="18" max="18" width="21.5703125" style="3" customWidth="1"/>
    <col min="19" max="19" width="18.85546875" style="3" customWidth="1"/>
    <col min="20" max="20" width="14.42578125" style="3" customWidth="1"/>
    <col min="21" max="21" width="18.85546875" style="3" customWidth="1"/>
    <col min="22" max="22" width="14.28515625" style="19" customWidth="1"/>
    <col min="23" max="23" width="17.5703125" style="3" customWidth="1"/>
    <col min="24" max="24" width="17.7109375" style="3" customWidth="1"/>
    <col min="25" max="25" width="18.85546875" style="3" customWidth="1"/>
    <col min="26" max="28" width="15" customWidth="1"/>
    <col min="29" max="29" width="16.42578125" style="3" customWidth="1"/>
    <col min="30" max="30" width="16.28515625" style="3" customWidth="1"/>
    <col min="31" max="31" width="17.28515625" style="3" customWidth="1"/>
    <col min="32" max="32" width="16.28515625" style="3" customWidth="1"/>
    <col min="33" max="33" width="14.42578125" customWidth="1"/>
    <col min="34" max="34" width="19" style="3" customWidth="1"/>
    <col min="35" max="35" width="16" customWidth="1"/>
    <col min="38" max="38" width="17.7109375" customWidth="1"/>
    <col min="39" max="39" width="9.5703125" bestFit="1" customWidth="1"/>
    <col min="40" max="43" width="8.85546875" bestFit="1" customWidth="1"/>
    <col min="44" max="44" width="9.5703125" customWidth="1"/>
    <col min="45" max="46" width="11.140625" bestFit="1" customWidth="1"/>
    <col min="47" max="47" width="10.5703125" customWidth="1"/>
    <col min="48" max="48" width="9.5703125" customWidth="1"/>
    <col min="49" max="49" width="12.85546875" customWidth="1"/>
    <col min="50" max="50" width="10.85546875" customWidth="1"/>
  </cols>
  <sheetData>
    <row r="1" spans="1:50" s="1" customFormat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6" t="s">
        <v>106</v>
      </c>
      <c r="O1" s="1" t="s">
        <v>107</v>
      </c>
      <c r="P1" s="1" t="s">
        <v>108</v>
      </c>
      <c r="Q1" s="2" t="s">
        <v>109</v>
      </c>
      <c r="R1" s="8" t="s">
        <v>110</v>
      </c>
      <c r="S1" s="10" t="s">
        <v>111</v>
      </c>
      <c r="T1" s="10" t="s">
        <v>112</v>
      </c>
      <c r="U1" s="5" t="s">
        <v>113</v>
      </c>
      <c r="V1" s="18" t="s">
        <v>114</v>
      </c>
      <c r="W1" s="5" t="s">
        <v>89</v>
      </c>
      <c r="X1" s="5" t="s">
        <v>115</v>
      </c>
      <c r="Y1" s="5" t="s">
        <v>90</v>
      </c>
      <c r="Z1" s="1" t="s">
        <v>116</v>
      </c>
      <c r="AA1" s="1" t="s">
        <v>117</v>
      </c>
      <c r="AB1" s="1" t="s">
        <v>118</v>
      </c>
      <c r="AC1" s="2" t="s">
        <v>119</v>
      </c>
      <c r="AD1" s="24" t="s">
        <v>120</v>
      </c>
      <c r="AE1" s="22" t="s">
        <v>121</v>
      </c>
      <c r="AF1" s="2" t="s">
        <v>122</v>
      </c>
      <c r="AG1" s="20" t="s">
        <v>123</v>
      </c>
      <c r="AH1" s="2" t="s">
        <v>124</v>
      </c>
      <c r="AI1" s="1" t="s">
        <v>125</v>
      </c>
      <c r="AJ1" s="25" t="s">
        <v>126</v>
      </c>
      <c r="AK1" s="25" t="s">
        <v>127</v>
      </c>
      <c r="AL1" s="25" t="s">
        <v>128</v>
      </c>
      <c r="AM1" s="25" t="s">
        <v>129</v>
      </c>
      <c r="AN1" s="25" t="s">
        <v>130</v>
      </c>
      <c r="AO1" s="25" t="s">
        <v>131</v>
      </c>
      <c r="AP1" s="25" t="s">
        <v>132</v>
      </c>
      <c r="AQ1" s="25" t="s">
        <v>133</v>
      </c>
      <c r="AR1" s="25" t="s">
        <v>134</v>
      </c>
      <c r="AS1" s="25" t="s">
        <v>135</v>
      </c>
      <c r="AT1" s="25" t="s">
        <v>136</v>
      </c>
      <c r="AU1" s="25" t="s">
        <v>137</v>
      </c>
      <c r="AV1" s="25" t="s">
        <v>138</v>
      </c>
      <c r="AW1" s="25" t="s">
        <v>139</v>
      </c>
      <c r="AX1" s="25" t="s">
        <v>140</v>
      </c>
    </row>
    <row r="2" spans="1:50">
      <c r="A2" t="s">
        <v>141</v>
      </c>
      <c r="B2" t="s">
        <v>142</v>
      </c>
      <c r="C2" t="s">
        <v>2</v>
      </c>
      <c r="D2" t="s">
        <v>33</v>
      </c>
      <c r="E2" t="s">
        <v>34</v>
      </c>
      <c r="F2">
        <v>1</v>
      </c>
      <c r="G2">
        <v>2</v>
      </c>
      <c r="H2" t="s">
        <v>143</v>
      </c>
      <c r="I2" t="s">
        <v>10</v>
      </c>
      <c r="J2" t="s">
        <v>144</v>
      </c>
      <c r="K2" t="s">
        <v>10</v>
      </c>
      <c r="L2" t="s">
        <v>10</v>
      </c>
      <c r="M2" t="s">
        <v>144</v>
      </c>
      <c r="N2" s="7" t="s">
        <v>10</v>
      </c>
      <c r="P2" t="s">
        <v>145</v>
      </c>
      <c r="Q2" s="3">
        <v>29541.768341057414</v>
      </c>
      <c r="R2" s="9">
        <f t="shared" ref="R2:R31" si="0">Q2/5</f>
        <v>5908.3536682114827</v>
      </c>
      <c r="S2" s="11">
        <v>3640.6727273000001</v>
      </c>
      <c r="T2" s="11">
        <f t="shared" ref="T2:T31" si="1">S2*100/R2</f>
        <v>61.61907244801187</v>
      </c>
      <c r="U2" s="16">
        <f>R2*Quota!$I$2/100</f>
        <v>4460.8070194996699</v>
      </c>
      <c r="V2" s="19">
        <f t="shared" ref="V2:V31" si="2">U2*100/R2</f>
        <v>75.500000000000014</v>
      </c>
      <c r="W2" s="3">
        <f t="shared" ref="W2:W31" si="3">U2-S2</f>
        <v>820.13429219966974</v>
      </c>
      <c r="X2" s="16" t="s">
        <v>146</v>
      </c>
      <c r="Y2" s="3">
        <f t="shared" ref="Y2:Y31" si="4">U2</f>
        <v>4460.8070194996699</v>
      </c>
      <c r="Z2" s="3">
        <f t="shared" ref="Z2:Z31" si="5">Q2*6%</f>
        <v>1772.5061004634447</v>
      </c>
      <c r="AA2" s="3">
        <f t="shared" ref="AA2:AA31" si="6">Q2*5%</f>
        <v>1477.0884170528707</v>
      </c>
      <c r="AB2" s="3">
        <f t="shared" ref="AB2:AB31" si="7">Z2+AA2</f>
        <v>3249.5945175163151</v>
      </c>
      <c r="AC2" s="3">
        <f t="shared" ref="AC2:AC31" si="8">Y2*12%</f>
        <v>535.29684233996034</v>
      </c>
      <c r="AD2" s="3">
        <f t="shared" ref="AD2:AD31" si="9">Y2*3%</f>
        <v>133.82421058499008</v>
      </c>
      <c r="AE2" s="23">
        <f t="shared" ref="AE2:AE31" si="10">Y2+AC2+AD2</f>
        <v>5129.928072424621</v>
      </c>
      <c r="AF2" s="3">
        <f t="shared" ref="AF2:AF31" si="11">(AB2*11%)+AB2</f>
        <v>3607.0499144431096</v>
      </c>
      <c r="AG2" s="21">
        <f t="shared" ref="AG2:AG31" si="12">AE2-S2</f>
        <v>1489.2553451246208</v>
      </c>
      <c r="AH2" s="3">
        <f>AG2/Quota!$J$2</f>
        <v>49.641844837487362</v>
      </c>
      <c r="AI2">
        <f>CEILING(AG2/(Quota!$J$2*Quota!$K$2),1)</f>
        <v>5</v>
      </c>
      <c r="AJ2" s="26">
        <v>3.57</v>
      </c>
      <c r="AK2" s="26">
        <v>2</v>
      </c>
      <c r="AL2" s="26" t="s">
        <v>147</v>
      </c>
      <c r="AM2" s="27">
        <f>Y2*(15*0.0004*5)</f>
        <v>133.82421058499008</v>
      </c>
      <c r="AN2" s="27">
        <f>Y2*(15*0.00006*5)</f>
        <v>20.073631587748512</v>
      </c>
      <c r="AO2" s="27">
        <f>Y2*(0.000035*15*5)</f>
        <v>11.709618426186632</v>
      </c>
      <c r="AP2" s="27">
        <f>Y2*(0.0001*3*5)</f>
        <v>6.6912105292495045</v>
      </c>
      <c r="AQ2" s="27">
        <f>Y2*(0.0002*30)</f>
        <v>26.764842116998018</v>
      </c>
      <c r="AR2" s="27">
        <f>Y2*(0.0001*30)</f>
        <v>13.382421058499009</v>
      </c>
      <c r="AS2" s="28">
        <f>AM2*3</f>
        <v>401.47263175497028</v>
      </c>
      <c r="AT2" s="28">
        <f t="shared" ref="AT2:AX2" si="13">AN2*3</f>
        <v>60.220894763245539</v>
      </c>
      <c r="AU2" s="28">
        <f t="shared" si="13"/>
        <v>35.128855278559897</v>
      </c>
      <c r="AV2" s="28">
        <f t="shared" si="13"/>
        <v>20.073631587748515</v>
      </c>
      <c r="AW2" s="28">
        <f t="shared" si="13"/>
        <v>80.294526350994062</v>
      </c>
      <c r="AX2" s="28">
        <f t="shared" si="13"/>
        <v>40.147263175497031</v>
      </c>
    </row>
    <row r="3" spans="1:50">
      <c r="A3" t="s">
        <v>148</v>
      </c>
      <c r="B3" t="s">
        <v>149</v>
      </c>
      <c r="C3" t="s">
        <v>4</v>
      </c>
      <c r="D3" t="s">
        <v>52</v>
      </c>
      <c r="E3" t="s">
        <v>53</v>
      </c>
      <c r="F3">
        <v>1</v>
      </c>
      <c r="G3">
        <v>2</v>
      </c>
      <c r="H3" t="s">
        <v>150</v>
      </c>
      <c r="I3" t="s">
        <v>10</v>
      </c>
      <c r="J3" t="s">
        <v>144</v>
      </c>
      <c r="K3" t="s">
        <v>151</v>
      </c>
      <c r="L3" t="s">
        <v>10</v>
      </c>
      <c r="M3" t="s">
        <v>144</v>
      </c>
      <c r="N3" s="7" t="s">
        <v>9</v>
      </c>
      <c r="P3" t="s">
        <v>152</v>
      </c>
      <c r="Q3" s="3">
        <v>17251.150335337265</v>
      </c>
      <c r="R3" s="9">
        <f t="shared" si="0"/>
        <v>3450.2300670674531</v>
      </c>
      <c r="S3" s="11"/>
      <c r="T3" s="11">
        <f t="shared" si="1"/>
        <v>0</v>
      </c>
      <c r="U3" s="3">
        <f>R3*Quota!$H$2/100</f>
        <v>2611.824160770062</v>
      </c>
      <c r="V3" s="19">
        <f t="shared" si="2"/>
        <v>75.7</v>
      </c>
      <c r="W3" s="3">
        <f t="shared" si="3"/>
        <v>2611.824160770062</v>
      </c>
      <c r="X3" s="13" t="s">
        <v>153</v>
      </c>
      <c r="Y3" s="3">
        <f t="shared" si="4"/>
        <v>2611.824160770062</v>
      </c>
      <c r="Z3" s="3">
        <f t="shared" si="5"/>
        <v>1035.0690201202358</v>
      </c>
      <c r="AA3" s="3">
        <f t="shared" si="6"/>
        <v>862.55751676686327</v>
      </c>
      <c r="AB3" s="3">
        <f t="shared" si="7"/>
        <v>1897.6265368870991</v>
      </c>
      <c r="AC3" s="3">
        <f t="shared" si="8"/>
        <v>313.41889929240745</v>
      </c>
      <c r="AD3" s="3">
        <f t="shared" si="9"/>
        <v>78.354724823101861</v>
      </c>
      <c r="AE3" s="23">
        <f t="shared" si="10"/>
        <v>3003.5977848855714</v>
      </c>
      <c r="AF3" s="3">
        <f t="shared" si="11"/>
        <v>2106.36545594468</v>
      </c>
      <c r="AG3" s="21">
        <f t="shared" si="12"/>
        <v>3003.5977848855714</v>
      </c>
      <c r="AH3" s="3">
        <f>AG3/Quota!$J$2</f>
        <v>100.11992616285238</v>
      </c>
      <c r="AI3">
        <f>CEILING(AG3/(Quota!$J$2*Quota!$K$2),1)</f>
        <v>11</v>
      </c>
      <c r="AJ3" s="26">
        <v>4.55</v>
      </c>
      <c r="AK3" s="26">
        <v>3</v>
      </c>
      <c r="AL3" s="26" t="s">
        <v>154</v>
      </c>
      <c r="AS3" s="28">
        <f t="shared" ref="AS3:AS50" si="14">AM3*3</f>
        <v>0</v>
      </c>
      <c r="AT3" s="28">
        <f t="shared" ref="AT3:AT50" si="15">AN3*3</f>
        <v>0</v>
      </c>
      <c r="AU3" s="28">
        <f t="shared" ref="AU3:AU50" si="16">AO3*3</f>
        <v>0</v>
      </c>
      <c r="AV3" s="28">
        <f t="shared" ref="AV3:AV50" si="17">AP3*3</f>
        <v>0</v>
      </c>
      <c r="AW3" s="28">
        <f t="shared" ref="AW3:AW50" si="18">AQ3*3</f>
        <v>0</v>
      </c>
      <c r="AX3" s="28">
        <f t="shared" ref="AX3:AX50" si="19">AR3*3</f>
        <v>0</v>
      </c>
    </row>
    <row r="4" spans="1:50">
      <c r="A4" t="s">
        <v>141</v>
      </c>
      <c r="B4" t="s">
        <v>155</v>
      </c>
      <c r="C4" t="s">
        <v>2</v>
      </c>
      <c r="D4" t="s">
        <v>24</v>
      </c>
      <c r="E4" t="s">
        <v>25</v>
      </c>
      <c r="F4">
        <v>1</v>
      </c>
      <c r="G4">
        <v>2</v>
      </c>
      <c r="H4" t="s">
        <v>156</v>
      </c>
      <c r="I4" t="s">
        <v>10</v>
      </c>
      <c r="J4" t="s">
        <v>144</v>
      </c>
      <c r="K4" t="s">
        <v>151</v>
      </c>
      <c r="L4" t="s">
        <v>10</v>
      </c>
      <c r="M4" t="s">
        <v>144</v>
      </c>
      <c r="N4" s="7" t="s">
        <v>9</v>
      </c>
      <c r="P4" t="s">
        <v>157</v>
      </c>
      <c r="Q4" s="3">
        <v>16589.713896938221</v>
      </c>
      <c r="R4" s="9">
        <f t="shared" si="0"/>
        <v>3317.9427793876444</v>
      </c>
      <c r="S4" s="11">
        <v>944</v>
      </c>
      <c r="T4" s="11">
        <f t="shared" si="1"/>
        <v>28.45136467887561</v>
      </c>
      <c r="U4" s="16">
        <f>R4*Quota!$I$2/100</f>
        <v>2505.0467984376714</v>
      </c>
      <c r="V4" s="19">
        <f t="shared" si="2"/>
        <v>75.5</v>
      </c>
      <c r="W4" s="3">
        <f t="shared" si="3"/>
        <v>1561.0467984376714</v>
      </c>
      <c r="X4" s="16" t="s">
        <v>146</v>
      </c>
      <c r="Y4" s="3">
        <f t="shared" si="4"/>
        <v>2505.0467984376714</v>
      </c>
      <c r="Z4" s="3">
        <f t="shared" si="5"/>
        <v>995.38283381629321</v>
      </c>
      <c r="AA4" s="3">
        <f t="shared" si="6"/>
        <v>829.48569484691109</v>
      </c>
      <c r="AB4" s="3">
        <f t="shared" si="7"/>
        <v>1824.8685286632044</v>
      </c>
      <c r="AC4" s="3">
        <f t="shared" si="8"/>
        <v>300.60561581252057</v>
      </c>
      <c r="AD4" s="3">
        <f t="shared" si="9"/>
        <v>75.151403953130142</v>
      </c>
      <c r="AE4" s="23">
        <f t="shared" si="10"/>
        <v>2880.8038182033224</v>
      </c>
      <c r="AF4" s="3">
        <f t="shared" si="11"/>
        <v>2025.604066816157</v>
      </c>
      <c r="AG4" s="21">
        <f t="shared" si="12"/>
        <v>1936.8038182033224</v>
      </c>
      <c r="AH4" s="3">
        <f>AG4/Quota!$J$2</f>
        <v>64.560127273444081</v>
      </c>
      <c r="AI4">
        <f>CEILING(AG4/(Quota!$J$2*Quota!$K$2),1)</f>
        <v>7</v>
      </c>
      <c r="AJ4" s="26">
        <v>4.3099999999999996</v>
      </c>
      <c r="AK4" s="26">
        <v>3</v>
      </c>
      <c r="AL4" s="26" t="s">
        <v>147</v>
      </c>
      <c r="AM4" s="27">
        <f t="shared" ref="AM4:AM5" si="20">Y4*(15*0.0004*5)</f>
        <v>75.151403953130142</v>
      </c>
      <c r="AN4" s="27">
        <f t="shared" ref="AN4:AN5" si="21">Y4*(15*0.00006*5)</f>
        <v>11.272710592969521</v>
      </c>
      <c r="AO4" s="27">
        <f t="shared" ref="AO4:AO5" si="22">Y4*(0.000035*15*5)</f>
        <v>6.5757478458988867</v>
      </c>
      <c r="AP4" s="27">
        <f t="shared" ref="AP4:AP5" si="23">Y4*(0.0001*3*5)</f>
        <v>3.7575701976565075</v>
      </c>
      <c r="AQ4" s="27">
        <f t="shared" ref="AQ4:AQ5" si="24">Y4*(0.0002*30)</f>
        <v>15.03028079062603</v>
      </c>
      <c r="AR4" s="27">
        <f t="shared" ref="AR4:AR5" si="25">Y4*(0.0001*30)</f>
        <v>7.5151403953130149</v>
      </c>
      <c r="AS4" s="28">
        <f t="shared" si="14"/>
        <v>225.45421185939043</v>
      </c>
      <c r="AT4" s="28">
        <f t="shared" si="15"/>
        <v>33.818131778908565</v>
      </c>
      <c r="AU4" s="28">
        <f t="shared" si="16"/>
        <v>19.727243537696658</v>
      </c>
      <c r="AV4" s="28">
        <f t="shared" si="17"/>
        <v>11.272710592969522</v>
      </c>
      <c r="AW4" s="28">
        <f t="shared" si="18"/>
        <v>45.09084237187809</v>
      </c>
      <c r="AX4" s="28">
        <f t="shared" si="19"/>
        <v>22.545421185939045</v>
      </c>
    </row>
    <row r="5" spans="1:50">
      <c r="A5" t="s">
        <v>148</v>
      </c>
      <c r="B5" t="s">
        <v>158</v>
      </c>
      <c r="C5" t="s">
        <v>4</v>
      </c>
      <c r="D5" t="s">
        <v>63</v>
      </c>
      <c r="E5" t="s">
        <v>64</v>
      </c>
      <c r="F5">
        <v>2</v>
      </c>
      <c r="G5">
        <v>10</v>
      </c>
      <c r="H5" t="s">
        <v>159</v>
      </c>
      <c r="I5" t="s">
        <v>160</v>
      </c>
      <c r="J5" t="s">
        <v>144</v>
      </c>
      <c r="K5" t="s">
        <v>150</v>
      </c>
      <c r="L5" t="s">
        <v>160</v>
      </c>
      <c r="M5" t="s">
        <v>144</v>
      </c>
      <c r="N5" s="7" t="s">
        <v>10</v>
      </c>
      <c r="P5" t="s">
        <v>161</v>
      </c>
      <c r="Q5" s="3">
        <v>8313.8845015964616</v>
      </c>
      <c r="R5" s="9">
        <f t="shared" si="0"/>
        <v>1662.7769003192923</v>
      </c>
      <c r="S5" s="11">
        <v>1333.1354768000001</v>
      </c>
      <c r="T5" s="15">
        <f t="shared" si="1"/>
        <v>80.175246393187606</v>
      </c>
      <c r="U5" s="15">
        <v>1333.1354768000001</v>
      </c>
      <c r="V5" s="19">
        <f t="shared" si="2"/>
        <v>80.175246393187606</v>
      </c>
      <c r="W5" s="3">
        <f t="shared" si="3"/>
        <v>0</v>
      </c>
      <c r="X5" s="15" t="s">
        <v>162</v>
      </c>
      <c r="Y5" s="3">
        <f t="shared" si="4"/>
        <v>1333.1354768000001</v>
      </c>
      <c r="Z5" s="3">
        <f t="shared" si="5"/>
        <v>498.83307009578766</v>
      </c>
      <c r="AA5" s="3">
        <f t="shared" si="6"/>
        <v>415.69422507982313</v>
      </c>
      <c r="AB5" s="3">
        <f t="shared" si="7"/>
        <v>914.52729517561079</v>
      </c>
      <c r="AC5" s="3">
        <f t="shared" si="8"/>
        <v>159.97625721599999</v>
      </c>
      <c r="AD5" s="3">
        <f t="shared" si="9"/>
        <v>39.994064303999998</v>
      </c>
      <c r="AE5" s="23">
        <f t="shared" si="10"/>
        <v>1533.1057983200001</v>
      </c>
      <c r="AF5" s="3">
        <f t="shared" si="11"/>
        <v>1015.125297644928</v>
      </c>
      <c r="AG5" s="21">
        <f t="shared" si="12"/>
        <v>199.97032151999997</v>
      </c>
      <c r="AH5" s="3">
        <f>AG5/Quota!$J$2</f>
        <v>6.6656773839999994</v>
      </c>
      <c r="AI5">
        <f>CEILING(AG5/(Quota!$J$2*Quota!$K$2),1)</f>
        <v>1</v>
      </c>
      <c r="AJ5" s="26">
        <v>3.73</v>
      </c>
      <c r="AK5" s="26">
        <v>2</v>
      </c>
      <c r="AL5" s="26" t="s">
        <v>147</v>
      </c>
      <c r="AM5" s="27">
        <f t="shared" si="20"/>
        <v>39.994064303999998</v>
      </c>
      <c r="AN5" s="27">
        <f t="shared" si="21"/>
        <v>5.9991096455999999</v>
      </c>
      <c r="AO5" s="27">
        <f t="shared" si="22"/>
        <v>3.4994806266</v>
      </c>
      <c r="AP5" s="27">
        <f t="shared" si="23"/>
        <v>1.9997032152000003</v>
      </c>
      <c r="AQ5" s="27">
        <f t="shared" si="24"/>
        <v>7.9988128608000011</v>
      </c>
      <c r="AR5" s="27">
        <f t="shared" si="25"/>
        <v>3.9994064304000005</v>
      </c>
      <c r="AS5" s="28">
        <f t="shared" si="14"/>
        <v>119.98219291199999</v>
      </c>
      <c r="AT5" s="28">
        <f t="shared" si="15"/>
        <v>17.997328936799999</v>
      </c>
      <c r="AU5" s="28">
        <f t="shared" si="16"/>
        <v>10.4984418798</v>
      </c>
      <c r="AV5" s="28">
        <f t="shared" si="17"/>
        <v>5.9991096456000008</v>
      </c>
      <c r="AW5" s="28">
        <f t="shared" si="18"/>
        <v>23.996438582400003</v>
      </c>
      <c r="AX5" s="28">
        <f t="shared" si="19"/>
        <v>11.998219291200002</v>
      </c>
    </row>
    <row r="6" spans="1:50">
      <c r="A6" t="s">
        <v>141</v>
      </c>
      <c r="B6" t="s">
        <v>163</v>
      </c>
      <c r="C6" t="s">
        <v>2</v>
      </c>
      <c r="D6" t="s">
        <v>40</v>
      </c>
      <c r="E6" t="s">
        <v>41</v>
      </c>
      <c r="F6">
        <v>1</v>
      </c>
      <c r="G6">
        <v>2</v>
      </c>
      <c r="H6" t="s">
        <v>150</v>
      </c>
      <c r="I6" t="s">
        <v>10</v>
      </c>
      <c r="J6" t="s">
        <v>144</v>
      </c>
      <c r="K6" t="s">
        <v>151</v>
      </c>
      <c r="L6" t="s">
        <v>10</v>
      </c>
      <c r="M6" t="s">
        <v>144</v>
      </c>
      <c r="N6" s="7" t="s">
        <v>9</v>
      </c>
      <c r="P6" t="s">
        <v>164</v>
      </c>
      <c r="Q6" s="3">
        <v>10526.076742203237</v>
      </c>
      <c r="R6" s="9">
        <f t="shared" si="0"/>
        <v>2105.2153484406472</v>
      </c>
      <c r="S6" s="11"/>
      <c r="T6" s="11">
        <f t="shared" si="1"/>
        <v>0</v>
      </c>
      <c r="U6" s="3">
        <f>R6*Quota!$H$2/100</f>
        <v>1593.6480187695699</v>
      </c>
      <c r="V6" s="19">
        <f t="shared" si="2"/>
        <v>75.7</v>
      </c>
      <c r="W6" s="3">
        <f t="shared" si="3"/>
        <v>1593.6480187695699</v>
      </c>
      <c r="X6" s="13" t="s">
        <v>153</v>
      </c>
      <c r="Y6" s="3">
        <f t="shared" si="4"/>
        <v>1593.6480187695699</v>
      </c>
      <c r="Z6" s="3">
        <f t="shared" si="5"/>
        <v>631.56460453219415</v>
      </c>
      <c r="AA6" s="3">
        <f t="shared" si="6"/>
        <v>526.30383711016191</v>
      </c>
      <c r="AB6" s="3">
        <f t="shared" si="7"/>
        <v>1157.8684416423562</v>
      </c>
      <c r="AC6" s="3">
        <f t="shared" si="8"/>
        <v>191.23776225234838</v>
      </c>
      <c r="AD6" s="3">
        <f t="shared" si="9"/>
        <v>47.809440563087094</v>
      </c>
      <c r="AE6" s="23">
        <f t="shared" si="10"/>
        <v>1832.6952215850054</v>
      </c>
      <c r="AF6" s="3">
        <f t="shared" si="11"/>
        <v>1285.2339702230154</v>
      </c>
      <c r="AG6" s="21">
        <f t="shared" si="12"/>
        <v>1832.6952215850054</v>
      </c>
      <c r="AH6" s="3">
        <f>AG6/Quota!$J$2</f>
        <v>61.089840719500181</v>
      </c>
      <c r="AI6">
        <f>CEILING(AG6/(Quota!$J$2*Quota!$K$2),1)</f>
        <v>7</v>
      </c>
      <c r="AJ6" s="26">
        <v>5.03</v>
      </c>
      <c r="AK6" s="26">
        <v>4</v>
      </c>
      <c r="AL6" s="26" t="s">
        <v>154</v>
      </c>
      <c r="AS6" s="28">
        <f t="shared" si="14"/>
        <v>0</v>
      </c>
      <c r="AT6" s="28">
        <f t="shared" si="15"/>
        <v>0</v>
      </c>
      <c r="AU6" s="28">
        <f t="shared" si="16"/>
        <v>0</v>
      </c>
      <c r="AV6" s="28">
        <f t="shared" si="17"/>
        <v>0</v>
      </c>
      <c r="AW6" s="28">
        <f t="shared" si="18"/>
        <v>0</v>
      </c>
      <c r="AX6" s="28">
        <f t="shared" si="19"/>
        <v>0</v>
      </c>
    </row>
    <row r="7" spans="1:50">
      <c r="A7" t="s">
        <v>165</v>
      </c>
      <c r="B7" t="s">
        <v>166</v>
      </c>
      <c r="C7" t="s">
        <v>4</v>
      </c>
      <c r="D7" t="s">
        <v>59</v>
      </c>
      <c r="E7" t="s">
        <v>60</v>
      </c>
      <c r="F7">
        <v>2</v>
      </c>
      <c r="G7">
        <v>16</v>
      </c>
      <c r="H7" t="s">
        <v>167</v>
      </c>
      <c r="I7" t="s">
        <v>160</v>
      </c>
      <c r="J7" t="s">
        <v>144</v>
      </c>
      <c r="K7" t="s">
        <v>150</v>
      </c>
      <c r="L7" t="s">
        <v>160</v>
      </c>
      <c r="M7" t="s">
        <v>144</v>
      </c>
      <c r="N7" s="7" t="s">
        <v>9</v>
      </c>
      <c r="P7" t="s">
        <v>168</v>
      </c>
      <c r="Q7" s="3">
        <v>7650.2020323446632</v>
      </c>
      <c r="R7" s="9">
        <f t="shared" si="0"/>
        <v>1530.0404064689326</v>
      </c>
      <c r="S7" s="17">
        <v>1145.039597</v>
      </c>
      <c r="T7" s="17">
        <f t="shared" si="1"/>
        <v>74.83721293626175</v>
      </c>
      <c r="U7" s="17">
        <v>1145.039597</v>
      </c>
      <c r="V7" s="19">
        <f t="shared" si="2"/>
        <v>74.83721293626175</v>
      </c>
      <c r="W7" s="3">
        <f t="shared" si="3"/>
        <v>0</v>
      </c>
      <c r="X7" s="15" t="s">
        <v>162</v>
      </c>
      <c r="Y7" s="3">
        <f t="shared" si="4"/>
        <v>1145.039597</v>
      </c>
      <c r="Z7" s="3">
        <f t="shared" si="5"/>
        <v>459.01212194067978</v>
      </c>
      <c r="AA7" s="3">
        <f t="shared" si="6"/>
        <v>382.5101016172332</v>
      </c>
      <c r="AB7" s="3">
        <f t="shared" si="7"/>
        <v>841.52222355791298</v>
      </c>
      <c r="AC7" s="3">
        <f t="shared" si="8"/>
        <v>137.40475164</v>
      </c>
      <c r="AD7" s="3">
        <f t="shared" si="9"/>
        <v>34.35118791</v>
      </c>
      <c r="AE7" s="23">
        <f t="shared" si="10"/>
        <v>1316.79553655</v>
      </c>
      <c r="AF7" s="3">
        <f t="shared" si="11"/>
        <v>934.0896681492834</v>
      </c>
      <c r="AG7" s="21">
        <f t="shared" si="12"/>
        <v>171.75593954999999</v>
      </c>
      <c r="AH7" s="3">
        <f>AG7/Quota!$J$2</f>
        <v>5.7251979849999994</v>
      </c>
      <c r="AI7">
        <f>CEILING(AG7/(Quota!$J$2*Quota!$K$2),1)</f>
        <v>1</v>
      </c>
      <c r="AJ7" s="26">
        <v>4.32</v>
      </c>
      <c r="AK7" s="26">
        <v>3</v>
      </c>
      <c r="AL7" s="26" t="s">
        <v>169</v>
      </c>
      <c r="AS7" s="28">
        <f t="shared" si="14"/>
        <v>0</v>
      </c>
      <c r="AT7" s="28">
        <f t="shared" si="15"/>
        <v>0</v>
      </c>
      <c r="AU7" s="28">
        <f t="shared" si="16"/>
        <v>0</v>
      </c>
      <c r="AV7" s="28">
        <f t="shared" si="17"/>
        <v>0</v>
      </c>
      <c r="AW7" s="28">
        <f t="shared" si="18"/>
        <v>0</v>
      </c>
      <c r="AX7" s="28">
        <f t="shared" si="19"/>
        <v>0</v>
      </c>
    </row>
    <row r="8" spans="1:50">
      <c r="A8" t="s">
        <v>148</v>
      </c>
      <c r="B8" t="s">
        <v>170</v>
      </c>
      <c r="C8" t="s">
        <v>4</v>
      </c>
      <c r="D8" t="s">
        <v>63</v>
      </c>
      <c r="E8" t="s">
        <v>65</v>
      </c>
      <c r="F8">
        <v>2</v>
      </c>
      <c r="G8">
        <v>9</v>
      </c>
      <c r="H8" t="s">
        <v>150</v>
      </c>
      <c r="I8" t="s">
        <v>160</v>
      </c>
      <c r="J8" t="s">
        <v>144</v>
      </c>
      <c r="K8" t="s">
        <v>150</v>
      </c>
      <c r="L8" t="s">
        <v>160</v>
      </c>
      <c r="M8" t="s">
        <v>144</v>
      </c>
      <c r="N8" s="7" t="s">
        <v>10</v>
      </c>
      <c r="P8" t="s">
        <v>171</v>
      </c>
      <c r="Q8" s="3">
        <v>10315.873009756104</v>
      </c>
      <c r="R8" s="9">
        <f t="shared" si="0"/>
        <v>2063.1746019512207</v>
      </c>
      <c r="S8" s="11"/>
      <c r="T8" s="11">
        <f t="shared" si="1"/>
        <v>0</v>
      </c>
      <c r="U8" s="3">
        <f>R8*Quota!$H$2/100</f>
        <v>1561.823173677074</v>
      </c>
      <c r="V8" s="19">
        <f t="shared" si="2"/>
        <v>75.7</v>
      </c>
      <c r="W8" s="3">
        <f t="shared" si="3"/>
        <v>1561.823173677074</v>
      </c>
      <c r="X8" s="13" t="s">
        <v>153</v>
      </c>
      <c r="Y8" s="3">
        <f t="shared" si="4"/>
        <v>1561.823173677074</v>
      </c>
      <c r="Z8" s="3">
        <f t="shared" si="5"/>
        <v>618.9523805853662</v>
      </c>
      <c r="AA8" s="3">
        <f t="shared" si="6"/>
        <v>515.79365048780517</v>
      </c>
      <c r="AB8" s="3">
        <f t="shared" si="7"/>
        <v>1134.7460310731713</v>
      </c>
      <c r="AC8" s="3">
        <f t="shared" si="8"/>
        <v>187.41878084124886</v>
      </c>
      <c r="AD8" s="3">
        <f t="shared" si="9"/>
        <v>46.854695210312215</v>
      </c>
      <c r="AE8" s="23">
        <f t="shared" si="10"/>
        <v>1796.0966497286352</v>
      </c>
      <c r="AF8" s="3">
        <f t="shared" si="11"/>
        <v>1259.5680944912201</v>
      </c>
      <c r="AG8" s="21">
        <f t="shared" si="12"/>
        <v>1796.0966497286352</v>
      </c>
      <c r="AH8" s="3">
        <f>AG8/Quota!$J$2</f>
        <v>59.869888324287835</v>
      </c>
      <c r="AI8">
        <f>CEILING(AG8/(Quota!$J$2*Quota!$K$2),1)</f>
        <v>6</v>
      </c>
      <c r="AJ8" s="26">
        <v>3.54</v>
      </c>
      <c r="AK8" s="26">
        <v>2</v>
      </c>
      <c r="AL8" s="26" t="s">
        <v>147</v>
      </c>
      <c r="AM8" s="27">
        <f t="shared" ref="AM8:AM9" si="26">Y8*(15*0.0004*5)</f>
        <v>46.854695210312215</v>
      </c>
      <c r="AN8" s="27">
        <f t="shared" ref="AN8:AN9" si="27">Y8*(15*0.00006*5)</f>
        <v>7.0282042815468326</v>
      </c>
      <c r="AO8" s="27">
        <f t="shared" ref="AO8:AO9" si="28">Y8*(0.000035*15*5)</f>
        <v>4.0997858309023192</v>
      </c>
      <c r="AP8" s="27">
        <f t="shared" ref="AP8:AP9" si="29">Y8*(0.0001*3*5)</f>
        <v>2.342734760515611</v>
      </c>
      <c r="AQ8" s="27">
        <f t="shared" ref="AQ8:AQ9" si="30">Y8*(0.0002*30)</f>
        <v>9.3709390420624441</v>
      </c>
      <c r="AR8" s="27">
        <f t="shared" ref="AR8:AR9" si="31">Y8*(0.0001*30)</f>
        <v>4.6854695210312221</v>
      </c>
      <c r="AS8" s="28">
        <f t="shared" si="14"/>
        <v>140.56408563093663</v>
      </c>
      <c r="AT8" s="28">
        <f t="shared" si="15"/>
        <v>21.084612844640496</v>
      </c>
      <c r="AU8" s="28">
        <f t="shared" si="16"/>
        <v>12.299357492706957</v>
      </c>
      <c r="AV8" s="28">
        <f t="shared" si="17"/>
        <v>7.0282042815468326</v>
      </c>
      <c r="AW8" s="28">
        <f t="shared" si="18"/>
        <v>28.112817126187331</v>
      </c>
      <c r="AX8" s="28">
        <f t="shared" si="19"/>
        <v>14.056408563093665</v>
      </c>
    </row>
    <row r="9" spans="1:50">
      <c r="A9" t="s">
        <v>172</v>
      </c>
      <c r="B9" t="s">
        <v>173</v>
      </c>
      <c r="C9" t="s">
        <v>4</v>
      </c>
      <c r="D9" t="s">
        <v>67</v>
      </c>
      <c r="E9" t="s">
        <v>68</v>
      </c>
      <c r="F9">
        <v>2</v>
      </c>
      <c r="G9">
        <v>6</v>
      </c>
      <c r="H9" t="s">
        <v>159</v>
      </c>
      <c r="I9" t="s">
        <v>160</v>
      </c>
      <c r="J9" t="s">
        <v>144</v>
      </c>
      <c r="K9" t="s">
        <v>150</v>
      </c>
      <c r="L9" t="s">
        <v>160</v>
      </c>
      <c r="M9" t="s">
        <v>144</v>
      </c>
      <c r="N9" s="7" t="s">
        <v>9</v>
      </c>
      <c r="P9" t="s">
        <v>174</v>
      </c>
      <c r="Q9" s="3">
        <v>4967.4144564934304</v>
      </c>
      <c r="R9" s="9">
        <f t="shared" si="0"/>
        <v>993.48289129868613</v>
      </c>
      <c r="S9" s="11">
        <v>609.27327914</v>
      </c>
      <c r="T9" s="11">
        <f t="shared" si="1"/>
        <v>61.327002656639081</v>
      </c>
      <c r="U9" s="16">
        <f>R9*Quota!$I$2/100</f>
        <v>750.07958293050808</v>
      </c>
      <c r="V9" s="19">
        <f t="shared" si="2"/>
        <v>75.5</v>
      </c>
      <c r="W9" s="3">
        <f t="shared" si="3"/>
        <v>140.80630379050808</v>
      </c>
      <c r="X9" s="16" t="s">
        <v>146</v>
      </c>
      <c r="Y9" s="3">
        <f t="shared" si="4"/>
        <v>750.07958293050808</v>
      </c>
      <c r="Z9" s="3">
        <f t="shared" si="5"/>
        <v>298.04486738960583</v>
      </c>
      <c r="AA9" s="3">
        <f t="shared" si="6"/>
        <v>248.37072282467153</v>
      </c>
      <c r="AB9" s="3">
        <f t="shared" si="7"/>
        <v>546.41559021427736</v>
      </c>
      <c r="AC9" s="3">
        <f t="shared" si="8"/>
        <v>90.009549951660972</v>
      </c>
      <c r="AD9" s="3">
        <f t="shared" si="9"/>
        <v>22.502387487915243</v>
      </c>
      <c r="AE9" s="23">
        <f t="shared" si="10"/>
        <v>862.59152037008425</v>
      </c>
      <c r="AF9" s="3">
        <f t="shared" si="11"/>
        <v>606.52130513784789</v>
      </c>
      <c r="AG9" s="21">
        <f t="shared" si="12"/>
        <v>253.31824123008425</v>
      </c>
      <c r="AH9" s="3">
        <f>AG9/Quota!$J$2</f>
        <v>8.4439413743361413</v>
      </c>
      <c r="AI9">
        <f>CEILING(AG9/(Quota!$J$2*Quota!$K$2),1)</f>
        <v>1</v>
      </c>
      <c r="AJ9" s="26">
        <v>4.0999999999999996</v>
      </c>
      <c r="AK9" s="26">
        <v>3</v>
      </c>
      <c r="AL9" s="26" t="s">
        <v>147</v>
      </c>
      <c r="AM9" s="27">
        <f t="shared" si="26"/>
        <v>22.502387487915243</v>
      </c>
      <c r="AN9" s="27">
        <f t="shared" si="27"/>
        <v>3.375358123187286</v>
      </c>
      <c r="AO9" s="27">
        <f t="shared" si="28"/>
        <v>1.9689589051925835</v>
      </c>
      <c r="AP9" s="27">
        <f t="shared" si="29"/>
        <v>1.1251193743957622</v>
      </c>
      <c r="AQ9" s="27">
        <f t="shared" si="30"/>
        <v>4.5004774975830486</v>
      </c>
      <c r="AR9" s="27">
        <f t="shared" si="31"/>
        <v>2.2502387487915243</v>
      </c>
      <c r="AS9" s="28">
        <f t="shared" si="14"/>
        <v>67.507162463745729</v>
      </c>
      <c r="AT9" s="28">
        <f t="shared" si="15"/>
        <v>10.126074369561858</v>
      </c>
      <c r="AU9" s="28">
        <f t="shared" si="16"/>
        <v>5.9068767155777504</v>
      </c>
      <c r="AV9" s="28">
        <f t="shared" si="17"/>
        <v>3.3753581231872865</v>
      </c>
      <c r="AW9" s="28">
        <f t="shared" si="18"/>
        <v>13.501432492749146</v>
      </c>
      <c r="AX9" s="28">
        <f t="shared" si="19"/>
        <v>6.7507162463745729</v>
      </c>
    </row>
    <row r="10" spans="1:50">
      <c r="A10" t="s">
        <v>175</v>
      </c>
      <c r="B10" t="s">
        <v>176</v>
      </c>
      <c r="C10" t="s">
        <v>3</v>
      </c>
      <c r="D10" t="s">
        <v>46</v>
      </c>
      <c r="E10" t="s">
        <v>46</v>
      </c>
      <c r="F10">
        <v>1</v>
      </c>
      <c r="G10">
        <v>15</v>
      </c>
      <c r="H10" t="s">
        <v>150</v>
      </c>
      <c r="I10" t="s">
        <v>10</v>
      </c>
      <c r="J10" t="s">
        <v>144</v>
      </c>
      <c r="K10" t="s">
        <v>151</v>
      </c>
      <c r="L10" t="s">
        <v>10</v>
      </c>
      <c r="M10" t="s">
        <v>144</v>
      </c>
      <c r="N10" s="7" t="s">
        <v>10</v>
      </c>
      <c r="P10" t="s">
        <v>177</v>
      </c>
      <c r="Q10" s="3">
        <v>52754.23846914513</v>
      </c>
      <c r="R10" s="9">
        <f t="shared" si="0"/>
        <v>10550.847693829026</v>
      </c>
      <c r="S10" s="11"/>
      <c r="T10" s="11">
        <f t="shared" si="1"/>
        <v>0</v>
      </c>
      <c r="U10" s="3">
        <f>R10*Quota!$H$2/100</f>
        <v>7986.9917042285724</v>
      </c>
      <c r="V10" s="19">
        <f t="shared" si="2"/>
        <v>75.7</v>
      </c>
      <c r="W10" s="3">
        <f t="shared" si="3"/>
        <v>7986.9917042285724</v>
      </c>
      <c r="X10" s="13" t="s">
        <v>153</v>
      </c>
      <c r="Y10" s="3">
        <f t="shared" si="4"/>
        <v>7986.9917042285724</v>
      </c>
      <c r="Z10" s="3">
        <f t="shared" si="5"/>
        <v>3165.2543081487079</v>
      </c>
      <c r="AA10" s="3">
        <f t="shared" si="6"/>
        <v>2637.7119234572565</v>
      </c>
      <c r="AB10" s="3">
        <f t="shared" si="7"/>
        <v>5802.9662316059639</v>
      </c>
      <c r="AC10" s="3">
        <f t="shared" si="8"/>
        <v>958.43900450742865</v>
      </c>
      <c r="AD10" s="3">
        <f t="shared" si="9"/>
        <v>239.60975112685716</v>
      </c>
      <c r="AE10" s="23">
        <f t="shared" si="10"/>
        <v>9185.0404598628575</v>
      </c>
      <c r="AF10" s="3">
        <f t="shared" si="11"/>
        <v>6441.2925170826202</v>
      </c>
      <c r="AG10" s="21">
        <f t="shared" si="12"/>
        <v>9185.0404598628575</v>
      </c>
      <c r="AH10" s="3">
        <f>AG10/Quota!$J$2</f>
        <v>306.1680153287619</v>
      </c>
      <c r="AI10">
        <f>CEILING(AG10/(Quota!$J$2*Quota!$K$2),1)</f>
        <v>31</v>
      </c>
      <c r="AJ10" s="26">
        <v>2.09</v>
      </c>
      <c r="AK10" s="26">
        <v>1</v>
      </c>
      <c r="AL10" s="26" t="s">
        <v>169</v>
      </c>
      <c r="AS10" s="28">
        <f t="shared" si="14"/>
        <v>0</v>
      </c>
      <c r="AT10" s="28">
        <f t="shared" si="15"/>
        <v>0</v>
      </c>
      <c r="AU10" s="28">
        <f t="shared" si="16"/>
        <v>0</v>
      </c>
      <c r="AV10" s="28">
        <f t="shared" si="17"/>
        <v>0</v>
      </c>
      <c r="AW10" s="28">
        <f t="shared" si="18"/>
        <v>0</v>
      </c>
      <c r="AX10" s="28">
        <f t="shared" si="19"/>
        <v>0</v>
      </c>
    </row>
    <row r="11" spans="1:50">
      <c r="A11" t="s">
        <v>175</v>
      </c>
      <c r="B11" t="s">
        <v>178</v>
      </c>
      <c r="C11" t="s">
        <v>3</v>
      </c>
      <c r="D11" t="s">
        <v>46</v>
      </c>
      <c r="E11" t="s">
        <v>47</v>
      </c>
      <c r="F11">
        <v>1</v>
      </c>
      <c r="G11">
        <v>5</v>
      </c>
      <c r="H11" t="s">
        <v>156</v>
      </c>
      <c r="I11" t="s">
        <v>10</v>
      </c>
      <c r="J11" t="s">
        <v>144</v>
      </c>
      <c r="K11" t="s">
        <v>151</v>
      </c>
      <c r="L11" t="s">
        <v>10</v>
      </c>
      <c r="M11" t="s">
        <v>144</v>
      </c>
      <c r="N11" s="7" t="s">
        <v>10</v>
      </c>
      <c r="P11" t="s">
        <v>179</v>
      </c>
      <c r="Q11" s="3">
        <v>12187.849436297582</v>
      </c>
      <c r="R11" s="9">
        <f t="shared" si="0"/>
        <v>2437.5698872595162</v>
      </c>
      <c r="S11" s="11">
        <v>400</v>
      </c>
      <c r="T11" s="11">
        <f t="shared" si="1"/>
        <v>16.409785913859789</v>
      </c>
      <c r="U11" s="16">
        <f>R11*Quota!$I$2/100</f>
        <v>1840.3652648809348</v>
      </c>
      <c r="V11" s="19">
        <f t="shared" si="2"/>
        <v>75.5</v>
      </c>
      <c r="W11" s="3">
        <f t="shared" si="3"/>
        <v>1440.3652648809348</v>
      </c>
      <c r="X11" s="16" t="s">
        <v>146</v>
      </c>
      <c r="Y11" s="3">
        <f t="shared" si="4"/>
        <v>1840.3652648809348</v>
      </c>
      <c r="Z11" s="3">
        <f t="shared" si="5"/>
        <v>731.27096617785492</v>
      </c>
      <c r="AA11" s="3">
        <f t="shared" si="6"/>
        <v>609.39247181487906</v>
      </c>
      <c r="AB11" s="3">
        <f t="shared" si="7"/>
        <v>1340.6634379927341</v>
      </c>
      <c r="AC11" s="3">
        <f t="shared" si="8"/>
        <v>220.84383178571215</v>
      </c>
      <c r="AD11" s="3">
        <f t="shared" si="9"/>
        <v>55.210957946428039</v>
      </c>
      <c r="AE11" s="23">
        <f t="shared" si="10"/>
        <v>2116.4200546130751</v>
      </c>
      <c r="AF11" s="3">
        <f t="shared" si="11"/>
        <v>1488.1364161719348</v>
      </c>
      <c r="AG11" s="21">
        <f t="shared" si="12"/>
        <v>1716.4200546130751</v>
      </c>
      <c r="AH11" s="3">
        <f>AG11/Quota!$J$2</f>
        <v>57.214001820435833</v>
      </c>
      <c r="AI11">
        <f>CEILING(AG11/(Quota!$J$2*Quota!$K$2),1)</f>
        <v>6</v>
      </c>
      <c r="AJ11" s="26">
        <v>4.3099999999999996</v>
      </c>
      <c r="AK11" s="26">
        <v>3</v>
      </c>
      <c r="AL11" s="26" t="s">
        <v>147</v>
      </c>
      <c r="AM11" s="27">
        <f>Y11*(15*0.0004*5)</f>
        <v>55.210957946428039</v>
      </c>
      <c r="AN11" s="27">
        <f>Y11*(15*0.00006*5)</f>
        <v>8.2816436919642058</v>
      </c>
      <c r="AO11" s="27">
        <f>Y11*(0.000035*15*5)</f>
        <v>4.8309588203124534</v>
      </c>
      <c r="AP11" s="27">
        <f>Y11*(0.0001*3*5)</f>
        <v>2.7605478973214024</v>
      </c>
      <c r="AQ11" s="27">
        <f>Y11*(0.0002*30)</f>
        <v>11.04219158928561</v>
      </c>
      <c r="AR11" s="27">
        <f>Y11*(0.0001*30)</f>
        <v>5.5210957946428048</v>
      </c>
      <c r="AS11" s="28">
        <f t="shared" si="14"/>
        <v>165.63287383928412</v>
      </c>
      <c r="AT11" s="28">
        <f t="shared" si="15"/>
        <v>24.844931075892617</v>
      </c>
      <c r="AU11" s="28">
        <f t="shared" si="16"/>
        <v>14.49287646093736</v>
      </c>
      <c r="AV11" s="28">
        <f t="shared" si="17"/>
        <v>8.2816436919642076</v>
      </c>
      <c r="AW11" s="28">
        <f t="shared" si="18"/>
        <v>33.12657476785683</v>
      </c>
      <c r="AX11" s="28">
        <f t="shared" si="19"/>
        <v>16.563287383928415</v>
      </c>
    </row>
    <row r="12" spans="1:50">
      <c r="A12" t="s">
        <v>148</v>
      </c>
      <c r="B12" t="s">
        <v>180</v>
      </c>
      <c r="C12" t="s">
        <v>4</v>
      </c>
      <c r="D12" t="s">
        <v>72</v>
      </c>
      <c r="E12" t="s">
        <v>73</v>
      </c>
      <c r="F12">
        <v>1</v>
      </c>
      <c r="G12">
        <v>5</v>
      </c>
      <c r="H12" t="s">
        <v>150</v>
      </c>
      <c r="I12" t="s">
        <v>10</v>
      </c>
      <c r="J12" t="s">
        <v>144</v>
      </c>
      <c r="K12" t="s">
        <v>151</v>
      </c>
      <c r="L12" t="s">
        <v>10</v>
      </c>
      <c r="M12" t="s">
        <v>144</v>
      </c>
      <c r="N12" s="7" t="s">
        <v>10</v>
      </c>
      <c r="P12" t="s">
        <v>181</v>
      </c>
      <c r="Q12" s="3">
        <v>9390.4013400633794</v>
      </c>
      <c r="R12" s="9">
        <f t="shared" si="0"/>
        <v>1878.0802680126758</v>
      </c>
      <c r="S12" s="11"/>
      <c r="T12" s="11">
        <f t="shared" si="1"/>
        <v>0</v>
      </c>
      <c r="U12" s="3">
        <f>R12*Quota!$H$2/100</f>
        <v>1421.7067628855957</v>
      </c>
      <c r="V12" s="19">
        <f t="shared" si="2"/>
        <v>75.7</v>
      </c>
      <c r="W12" s="3">
        <f t="shared" si="3"/>
        <v>1421.7067628855957</v>
      </c>
      <c r="X12" s="13" t="s">
        <v>153</v>
      </c>
      <c r="Y12" s="3">
        <f t="shared" si="4"/>
        <v>1421.7067628855957</v>
      </c>
      <c r="Z12" s="3">
        <f t="shared" si="5"/>
        <v>563.42408040380269</v>
      </c>
      <c r="AA12" s="3">
        <f t="shared" si="6"/>
        <v>469.520067003169</v>
      </c>
      <c r="AB12" s="3">
        <f t="shared" si="7"/>
        <v>1032.9441474069718</v>
      </c>
      <c r="AC12" s="3">
        <f t="shared" si="8"/>
        <v>170.60481154627149</v>
      </c>
      <c r="AD12" s="3">
        <f t="shared" si="9"/>
        <v>42.651202886567873</v>
      </c>
      <c r="AE12" s="23">
        <f t="shared" si="10"/>
        <v>1634.9627773184352</v>
      </c>
      <c r="AF12" s="3">
        <f t="shared" si="11"/>
        <v>1146.5680036217386</v>
      </c>
      <c r="AG12" s="21">
        <f t="shared" si="12"/>
        <v>1634.9627773184352</v>
      </c>
      <c r="AH12" s="3">
        <f>AG12/Quota!$J$2</f>
        <v>54.498759243947838</v>
      </c>
      <c r="AI12">
        <f>CEILING(AG12/(Quota!$J$2*Quota!$K$2),1)</f>
        <v>6</v>
      </c>
      <c r="AJ12" s="26">
        <v>4.62</v>
      </c>
      <c r="AK12" s="26">
        <v>3</v>
      </c>
      <c r="AL12" s="26" t="s">
        <v>154</v>
      </c>
      <c r="AS12" s="28">
        <f t="shared" si="14"/>
        <v>0</v>
      </c>
      <c r="AT12" s="28">
        <f t="shared" si="15"/>
        <v>0</v>
      </c>
      <c r="AU12" s="28">
        <f t="shared" si="16"/>
        <v>0</v>
      </c>
      <c r="AV12" s="28">
        <f t="shared" si="17"/>
        <v>0</v>
      </c>
      <c r="AW12" s="28">
        <f t="shared" si="18"/>
        <v>0</v>
      </c>
      <c r="AX12" s="28">
        <f t="shared" si="19"/>
        <v>0</v>
      </c>
    </row>
    <row r="13" spans="1:50">
      <c r="A13" t="s">
        <v>141</v>
      </c>
      <c r="B13" t="s">
        <v>182</v>
      </c>
      <c r="C13" t="s">
        <v>2</v>
      </c>
      <c r="D13" t="s">
        <v>29</v>
      </c>
      <c r="E13" t="s">
        <v>30</v>
      </c>
      <c r="F13">
        <v>1</v>
      </c>
      <c r="G13">
        <v>4</v>
      </c>
      <c r="H13" t="s">
        <v>143</v>
      </c>
      <c r="I13" t="s">
        <v>10</v>
      </c>
      <c r="J13" t="s">
        <v>144</v>
      </c>
      <c r="K13" t="s">
        <v>151</v>
      </c>
      <c r="L13" t="s">
        <v>10</v>
      </c>
      <c r="M13" t="s">
        <v>144</v>
      </c>
      <c r="N13" s="7" t="s">
        <v>9</v>
      </c>
      <c r="P13" t="s">
        <v>183</v>
      </c>
      <c r="Q13" s="3">
        <v>49864.559994823205</v>
      </c>
      <c r="R13" s="9">
        <f t="shared" si="0"/>
        <v>9972.9119989646406</v>
      </c>
      <c r="S13" s="11">
        <v>6765.6</v>
      </c>
      <c r="T13" s="11">
        <f t="shared" si="1"/>
        <v>67.839764360724189</v>
      </c>
      <c r="U13" s="16">
        <f>R13*Quota!$I$2/100</f>
        <v>7529.548559218304</v>
      </c>
      <c r="V13" s="19">
        <f t="shared" si="2"/>
        <v>75.5</v>
      </c>
      <c r="W13" s="3">
        <f t="shared" si="3"/>
        <v>763.94855921830367</v>
      </c>
      <c r="X13" s="16" t="s">
        <v>146</v>
      </c>
      <c r="Y13" s="3">
        <f t="shared" si="4"/>
        <v>7529.548559218304</v>
      </c>
      <c r="Z13" s="3">
        <f t="shared" si="5"/>
        <v>2991.873599689392</v>
      </c>
      <c r="AA13" s="3">
        <f t="shared" si="6"/>
        <v>2493.2279997411606</v>
      </c>
      <c r="AB13" s="3">
        <f t="shared" si="7"/>
        <v>5485.1015994305526</v>
      </c>
      <c r="AC13" s="3">
        <f t="shared" si="8"/>
        <v>903.5458271061965</v>
      </c>
      <c r="AD13" s="3">
        <f t="shared" si="9"/>
        <v>225.88645677654912</v>
      </c>
      <c r="AE13" s="23">
        <f t="shared" si="10"/>
        <v>8658.9808431010497</v>
      </c>
      <c r="AF13" s="3">
        <f t="shared" si="11"/>
        <v>6088.4627753679133</v>
      </c>
      <c r="AG13" s="21">
        <f t="shared" si="12"/>
        <v>1893.3808431010493</v>
      </c>
      <c r="AH13" s="3">
        <f>AG13/Quota!$J$2</f>
        <v>63.112694770034977</v>
      </c>
      <c r="AI13">
        <f>CEILING(AG13/(Quota!$J$2*Quota!$K$2),1)</f>
        <v>7</v>
      </c>
      <c r="AJ13" s="26">
        <v>3.61</v>
      </c>
      <c r="AK13" s="26">
        <v>2</v>
      </c>
      <c r="AL13" s="26" t="s">
        <v>147</v>
      </c>
      <c r="AM13" s="27">
        <f t="shared" ref="AM13:AM15" si="32">Y13*(15*0.0004*5)</f>
        <v>225.88645677654912</v>
      </c>
      <c r="AN13" s="27">
        <f t="shared" ref="AN13:AN15" si="33">Y13*(15*0.00006*5)</f>
        <v>33.882968516482364</v>
      </c>
      <c r="AO13" s="27">
        <f t="shared" ref="AO13:AO15" si="34">Y13*(0.000035*15*5)</f>
        <v>19.765064967948046</v>
      </c>
      <c r="AP13" s="27">
        <f t="shared" ref="AP13:AP15" si="35">Y13*(0.0001*3*5)</f>
        <v>11.294322838827457</v>
      </c>
      <c r="AQ13" s="27">
        <f t="shared" ref="AQ13:AQ15" si="36">Y13*(0.0002*30)</f>
        <v>45.177291355309826</v>
      </c>
      <c r="AR13" s="27">
        <f t="shared" ref="AR13:AR15" si="37">Y13*(0.0001*30)</f>
        <v>22.588645677654913</v>
      </c>
      <c r="AS13" s="28">
        <f t="shared" si="14"/>
        <v>677.65937032964734</v>
      </c>
      <c r="AT13" s="28">
        <f t="shared" si="15"/>
        <v>101.64890554944709</v>
      </c>
      <c r="AU13" s="28">
        <f t="shared" si="16"/>
        <v>59.295194903844134</v>
      </c>
      <c r="AV13" s="28">
        <f t="shared" si="17"/>
        <v>33.882968516482372</v>
      </c>
      <c r="AW13" s="28">
        <f t="shared" si="18"/>
        <v>135.53187406592949</v>
      </c>
      <c r="AX13" s="28">
        <f t="shared" si="19"/>
        <v>67.765937032964743</v>
      </c>
    </row>
    <row r="14" spans="1:50">
      <c r="A14" t="s">
        <v>175</v>
      </c>
      <c r="B14" t="s">
        <v>184</v>
      </c>
      <c r="C14" t="s">
        <v>3</v>
      </c>
      <c r="D14" t="s">
        <v>46</v>
      </c>
      <c r="E14" t="s">
        <v>48</v>
      </c>
      <c r="F14">
        <v>1</v>
      </c>
      <c r="G14">
        <v>3</v>
      </c>
      <c r="H14" t="s">
        <v>143</v>
      </c>
      <c r="I14" t="s">
        <v>10</v>
      </c>
      <c r="J14" t="s">
        <v>144</v>
      </c>
      <c r="K14" t="s">
        <v>151</v>
      </c>
      <c r="L14" t="s">
        <v>10</v>
      </c>
      <c r="M14" t="s">
        <v>144</v>
      </c>
      <c r="N14" s="7" t="s">
        <v>9</v>
      </c>
      <c r="P14" t="s">
        <v>185</v>
      </c>
      <c r="Q14" s="3">
        <v>20666.18631689177</v>
      </c>
      <c r="R14" s="9">
        <f t="shared" si="0"/>
        <v>4133.2372633783543</v>
      </c>
      <c r="S14" s="11">
        <v>2311</v>
      </c>
      <c r="T14" s="11">
        <f t="shared" si="1"/>
        <v>55.912589883869252</v>
      </c>
      <c r="U14" s="16">
        <f>R14*Quota!$I$2/100</f>
        <v>3120.5941338506573</v>
      </c>
      <c r="V14" s="19">
        <f t="shared" si="2"/>
        <v>75.5</v>
      </c>
      <c r="W14" s="3">
        <f t="shared" si="3"/>
        <v>809.59413385065727</v>
      </c>
      <c r="X14" s="16" t="s">
        <v>146</v>
      </c>
      <c r="Y14" s="3">
        <f t="shared" si="4"/>
        <v>3120.5941338506573</v>
      </c>
      <c r="Z14" s="3">
        <f t="shared" si="5"/>
        <v>1239.9711790135061</v>
      </c>
      <c r="AA14" s="3">
        <f t="shared" si="6"/>
        <v>1033.3093158445886</v>
      </c>
      <c r="AB14" s="3">
        <f t="shared" si="7"/>
        <v>2273.2804948580947</v>
      </c>
      <c r="AC14" s="3">
        <f t="shared" si="8"/>
        <v>374.47129606207886</v>
      </c>
      <c r="AD14" s="3">
        <f t="shared" si="9"/>
        <v>93.617824015519716</v>
      </c>
      <c r="AE14" s="23">
        <f t="shared" si="10"/>
        <v>3588.6832539282559</v>
      </c>
      <c r="AF14" s="3">
        <f t="shared" si="11"/>
        <v>2523.3413492924851</v>
      </c>
      <c r="AG14" s="21">
        <f t="shared" si="12"/>
        <v>1277.6832539282559</v>
      </c>
      <c r="AH14" s="3">
        <f>AG14/Quota!$J$2</f>
        <v>42.589441797608529</v>
      </c>
      <c r="AI14">
        <f>CEILING(AG14/(Quota!$J$2*Quota!$K$2),1)</f>
        <v>5</v>
      </c>
      <c r="AJ14" s="26">
        <v>3.32</v>
      </c>
      <c r="AK14" s="26">
        <v>1</v>
      </c>
      <c r="AL14" s="26" t="s">
        <v>147</v>
      </c>
      <c r="AM14" s="27">
        <f t="shared" si="32"/>
        <v>93.617824015519716</v>
      </c>
      <c r="AN14" s="27">
        <f t="shared" si="33"/>
        <v>14.042673602327957</v>
      </c>
      <c r="AO14" s="27">
        <f t="shared" si="34"/>
        <v>8.1915596013579748</v>
      </c>
      <c r="AP14" s="27">
        <f t="shared" si="35"/>
        <v>4.680891200775986</v>
      </c>
      <c r="AQ14" s="27">
        <f t="shared" si="36"/>
        <v>18.723564803103944</v>
      </c>
      <c r="AR14" s="27">
        <f t="shared" si="37"/>
        <v>9.3617824015519719</v>
      </c>
      <c r="AS14" s="28">
        <f t="shared" si="14"/>
        <v>280.85347204655915</v>
      </c>
      <c r="AT14" s="28">
        <f t="shared" si="15"/>
        <v>42.128020806983869</v>
      </c>
      <c r="AU14" s="28">
        <f t="shared" si="16"/>
        <v>24.574678804073926</v>
      </c>
      <c r="AV14" s="28">
        <f t="shared" si="17"/>
        <v>14.042673602327959</v>
      </c>
      <c r="AW14" s="28">
        <f t="shared" si="18"/>
        <v>56.170694409311835</v>
      </c>
      <c r="AX14" s="28">
        <f t="shared" si="19"/>
        <v>28.085347204655918</v>
      </c>
    </row>
    <row r="15" spans="1:50">
      <c r="A15" t="s">
        <v>175</v>
      </c>
      <c r="B15" t="s">
        <v>186</v>
      </c>
      <c r="C15" t="s">
        <v>3</v>
      </c>
      <c r="D15" t="s">
        <v>46</v>
      </c>
      <c r="E15" t="s">
        <v>49</v>
      </c>
      <c r="F15">
        <v>1</v>
      </c>
      <c r="G15">
        <v>16</v>
      </c>
      <c r="H15" t="s">
        <v>143</v>
      </c>
      <c r="I15" t="s">
        <v>10</v>
      </c>
      <c r="J15" t="s">
        <v>144</v>
      </c>
      <c r="K15" t="s">
        <v>151</v>
      </c>
      <c r="L15" t="s">
        <v>10</v>
      </c>
      <c r="M15" t="s">
        <v>144</v>
      </c>
      <c r="N15" s="7" t="s">
        <v>9</v>
      </c>
      <c r="P15" t="s">
        <v>187</v>
      </c>
      <c r="Q15" s="3">
        <v>49359.82953523146</v>
      </c>
      <c r="R15" s="9">
        <f t="shared" si="0"/>
        <v>9871.9659070462912</v>
      </c>
      <c r="S15" s="11">
        <v>7000</v>
      </c>
      <c r="T15" s="11">
        <f t="shared" si="1"/>
        <v>70.907862384366879</v>
      </c>
      <c r="U15" s="16">
        <f>R15*Quota!$I$2/100</f>
        <v>7453.3342598199497</v>
      </c>
      <c r="V15" s="19">
        <f t="shared" si="2"/>
        <v>75.5</v>
      </c>
      <c r="W15" s="3">
        <f t="shared" si="3"/>
        <v>453.33425981994969</v>
      </c>
      <c r="X15" s="16" t="s">
        <v>146</v>
      </c>
      <c r="Y15" s="3">
        <f t="shared" si="4"/>
        <v>7453.3342598199497</v>
      </c>
      <c r="Z15" s="3">
        <f t="shared" si="5"/>
        <v>2961.5897721138876</v>
      </c>
      <c r="AA15" s="3">
        <f t="shared" si="6"/>
        <v>2467.9914767615733</v>
      </c>
      <c r="AB15" s="3">
        <f t="shared" si="7"/>
        <v>5429.5812488754609</v>
      </c>
      <c r="AC15" s="3">
        <f t="shared" si="8"/>
        <v>894.4001111783939</v>
      </c>
      <c r="AD15" s="3">
        <f t="shared" si="9"/>
        <v>223.60002779459847</v>
      </c>
      <c r="AE15" s="23">
        <f t="shared" si="10"/>
        <v>8571.334398792942</v>
      </c>
      <c r="AF15" s="3">
        <f t="shared" si="11"/>
        <v>6026.8351862517611</v>
      </c>
      <c r="AG15" s="21">
        <f t="shared" si="12"/>
        <v>1571.334398792942</v>
      </c>
      <c r="AH15" s="3">
        <f>AG15/Quota!$J$2</f>
        <v>52.377813293098065</v>
      </c>
      <c r="AI15">
        <f>CEILING(AG15/(Quota!$J$2*Quota!$K$2),1)</f>
        <v>6</v>
      </c>
      <c r="AJ15" s="26">
        <v>3.98</v>
      </c>
      <c r="AK15" s="26">
        <v>2</v>
      </c>
      <c r="AL15" s="26" t="s">
        <v>147</v>
      </c>
      <c r="AM15" s="27">
        <f t="shared" si="32"/>
        <v>223.60002779459847</v>
      </c>
      <c r="AN15" s="27">
        <f t="shared" si="33"/>
        <v>33.540004169189771</v>
      </c>
      <c r="AO15" s="27">
        <f t="shared" si="34"/>
        <v>19.565002432027367</v>
      </c>
      <c r="AP15" s="27">
        <f t="shared" si="35"/>
        <v>11.180001389729926</v>
      </c>
      <c r="AQ15" s="27">
        <f t="shared" si="36"/>
        <v>44.720005558919702</v>
      </c>
      <c r="AR15" s="27">
        <f t="shared" si="37"/>
        <v>22.360002779459851</v>
      </c>
      <c r="AS15" s="28">
        <f t="shared" si="14"/>
        <v>670.80008338379548</v>
      </c>
      <c r="AT15" s="28">
        <f t="shared" si="15"/>
        <v>100.62001250756931</v>
      </c>
      <c r="AU15" s="28">
        <f t="shared" si="16"/>
        <v>58.695007296082096</v>
      </c>
      <c r="AV15" s="28">
        <f t="shared" si="17"/>
        <v>33.540004169189778</v>
      </c>
      <c r="AW15" s="28">
        <f t="shared" si="18"/>
        <v>134.16001667675911</v>
      </c>
      <c r="AX15" s="28">
        <f t="shared" si="19"/>
        <v>67.080008338379557</v>
      </c>
    </row>
    <row r="16" spans="1:50">
      <c r="A16" t="s">
        <v>141</v>
      </c>
      <c r="B16" t="s">
        <v>188</v>
      </c>
      <c r="C16" t="s">
        <v>2</v>
      </c>
      <c r="D16" t="s">
        <v>24</v>
      </c>
      <c r="E16" t="s">
        <v>26</v>
      </c>
      <c r="F16">
        <v>1</v>
      </c>
      <c r="G16">
        <v>1</v>
      </c>
      <c r="H16" t="s">
        <v>143</v>
      </c>
      <c r="I16" t="s">
        <v>10</v>
      </c>
      <c r="J16" t="s">
        <v>144</v>
      </c>
      <c r="K16" t="s">
        <v>151</v>
      </c>
      <c r="L16" t="s">
        <v>10</v>
      </c>
      <c r="M16" t="s">
        <v>144</v>
      </c>
      <c r="N16" s="7" t="s">
        <v>10</v>
      </c>
      <c r="P16" t="s">
        <v>189</v>
      </c>
      <c r="Q16" s="3">
        <v>19993.402439928064</v>
      </c>
      <c r="R16" s="9">
        <f t="shared" si="0"/>
        <v>3998.6804879856127</v>
      </c>
      <c r="S16" s="11">
        <v>3397</v>
      </c>
      <c r="T16" s="15">
        <f t="shared" si="1"/>
        <v>84.953024134000842</v>
      </c>
      <c r="U16" s="15">
        <v>3397</v>
      </c>
      <c r="V16" s="19">
        <f t="shared" si="2"/>
        <v>84.953024134000842</v>
      </c>
      <c r="W16" s="3">
        <f t="shared" si="3"/>
        <v>0</v>
      </c>
      <c r="X16" s="15" t="s">
        <v>162</v>
      </c>
      <c r="Y16" s="3">
        <f t="shared" si="4"/>
        <v>3397</v>
      </c>
      <c r="Z16" s="3">
        <f t="shared" si="5"/>
        <v>1199.6041463956838</v>
      </c>
      <c r="AA16" s="3">
        <f t="shared" si="6"/>
        <v>999.67012199640328</v>
      </c>
      <c r="AB16" s="3">
        <f t="shared" si="7"/>
        <v>2199.2742683920869</v>
      </c>
      <c r="AC16" s="3">
        <f t="shared" si="8"/>
        <v>407.64</v>
      </c>
      <c r="AD16" s="3">
        <f t="shared" si="9"/>
        <v>101.91</v>
      </c>
      <c r="AE16" s="23">
        <f t="shared" si="10"/>
        <v>3906.5499999999997</v>
      </c>
      <c r="AF16" s="3">
        <f t="shared" si="11"/>
        <v>2441.1944379152164</v>
      </c>
      <c r="AG16" s="21">
        <f t="shared" si="12"/>
        <v>509.54999999999973</v>
      </c>
      <c r="AH16" s="3">
        <f>AG16/Quota!$J$2</f>
        <v>16.984999999999992</v>
      </c>
      <c r="AI16">
        <f>CEILING(AG16/(Quota!$J$2*Quota!$K$2),1)</f>
        <v>2</v>
      </c>
      <c r="AJ16" s="26">
        <v>2.5299999999999998</v>
      </c>
      <c r="AK16" s="26">
        <v>1</v>
      </c>
      <c r="AL16" s="26" t="s">
        <v>169</v>
      </c>
      <c r="AS16" s="28">
        <f t="shared" si="14"/>
        <v>0</v>
      </c>
      <c r="AT16" s="28">
        <f t="shared" si="15"/>
        <v>0</v>
      </c>
      <c r="AU16" s="28">
        <f t="shared" si="16"/>
        <v>0</v>
      </c>
      <c r="AV16" s="28">
        <f t="shared" si="17"/>
        <v>0</v>
      </c>
      <c r="AW16" s="28">
        <f t="shared" si="18"/>
        <v>0</v>
      </c>
      <c r="AX16" s="28">
        <f t="shared" si="19"/>
        <v>0</v>
      </c>
    </row>
    <row r="17" spans="1:50">
      <c r="A17" t="s">
        <v>175</v>
      </c>
      <c r="B17" t="s">
        <v>190</v>
      </c>
      <c r="C17" t="s">
        <v>5</v>
      </c>
      <c r="D17" t="s">
        <v>76</v>
      </c>
      <c r="E17" t="s">
        <v>77</v>
      </c>
      <c r="F17">
        <v>2</v>
      </c>
      <c r="G17">
        <v>20</v>
      </c>
      <c r="H17" t="s">
        <v>143</v>
      </c>
      <c r="I17" t="s">
        <v>160</v>
      </c>
      <c r="J17" t="s">
        <v>144</v>
      </c>
      <c r="K17" t="s">
        <v>151</v>
      </c>
      <c r="L17" t="s">
        <v>160</v>
      </c>
      <c r="M17" t="s">
        <v>144</v>
      </c>
      <c r="N17" s="7" t="s">
        <v>9</v>
      </c>
      <c r="P17" t="s">
        <v>191</v>
      </c>
      <c r="Q17" s="3">
        <v>7435.6769288184405</v>
      </c>
      <c r="R17" s="9">
        <f t="shared" si="0"/>
        <v>1487.1353857636882</v>
      </c>
      <c r="S17" s="11">
        <v>725.33333332999996</v>
      </c>
      <c r="T17" s="11">
        <f t="shared" si="1"/>
        <v>48.773860152451405</v>
      </c>
      <c r="U17" s="16">
        <f>R17*Quota!$I$2/100</f>
        <v>1122.7872162515846</v>
      </c>
      <c r="V17" s="19">
        <f t="shared" si="2"/>
        <v>75.5</v>
      </c>
      <c r="W17" s="3">
        <f t="shared" si="3"/>
        <v>397.45388292158464</v>
      </c>
      <c r="X17" s="16" t="s">
        <v>146</v>
      </c>
      <c r="Y17" s="3">
        <f t="shared" si="4"/>
        <v>1122.7872162515846</v>
      </c>
      <c r="Z17" s="3">
        <f t="shared" si="5"/>
        <v>446.1406157291064</v>
      </c>
      <c r="AA17" s="3">
        <f t="shared" si="6"/>
        <v>371.78384644092205</v>
      </c>
      <c r="AB17" s="3">
        <f t="shared" si="7"/>
        <v>817.92446217002839</v>
      </c>
      <c r="AC17" s="3">
        <f t="shared" si="8"/>
        <v>134.73446595019016</v>
      </c>
      <c r="AD17" s="3">
        <f t="shared" si="9"/>
        <v>33.683616487547539</v>
      </c>
      <c r="AE17" s="23">
        <f t="shared" si="10"/>
        <v>1291.2052986893223</v>
      </c>
      <c r="AF17" s="3">
        <f t="shared" si="11"/>
        <v>907.89615300873152</v>
      </c>
      <c r="AG17" s="21">
        <f t="shared" si="12"/>
        <v>565.8719653593223</v>
      </c>
      <c r="AH17" s="3">
        <f>AG17/Quota!$J$2</f>
        <v>18.862398845310743</v>
      </c>
      <c r="AI17">
        <f>CEILING(AG17/(Quota!$J$2*Quota!$K$2),1)</f>
        <v>2</v>
      </c>
      <c r="AJ17" s="26">
        <v>4.1500000000000004</v>
      </c>
      <c r="AK17" s="26">
        <v>3</v>
      </c>
      <c r="AL17" s="26" t="s">
        <v>169</v>
      </c>
      <c r="AS17" s="28">
        <f t="shared" si="14"/>
        <v>0</v>
      </c>
      <c r="AT17" s="28">
        <f t="shared" si="15"/>
        <v>0</v>
      </c>
      <c r="AU17" s="28">
        <f t="shared" si="16"/>
        <v>0</v>
      </c>
      <c r="AV17" s="28">
        <f t="shared" si="17"/>
        <v>0</v>
      </c>
      <c r="AW17" s="28">
        <f t="shared" si="18"/>
        <v>0</v>
      </c>
      <c r="AX17" s="28">
        <f t="shared" si="19"/>
        <v>0</v>
      </c>
    </row>
    <row r="18" spans="1:50">
      <c r="A18" t="s">
        <v>175</v>
      </c>
      <c r="B18" t="s">
        <v>192</v>
      </c>
      <c r="C18" t="s">
        <v>5</v>
      </c>
      <c r="D18" t="s">
        <v>76</v>
      </c>
      <c r="E18" t="s">
        <v>78</v>
      </c>
      <c r="F18">
        <v>2</v>
      </c>
      <c r="G18">
        <v>16</v>
      </c>
      <c r="H18" t="s">
        <v>143</v>
      </c>
      <c r="I18" t="s">
        <v>160</v>
      </c>
      <c r="J18" t="s">
        <v>144</v>
      </c>
      <c r="K18" t="s">
        <v>151</v>
      </c>
      <c r="L18" t="s">
        <v>160</v>
      </c>
      <c r="M18" t="s">
        <v>144</v>
      </c>
      <c r="N18" s="7" t="s">
        <v>9</v>
      </c>
      <c r="P18" t="s">
        <v>193</v>
      </c>
      <c r="Q18" s="3">
        <v>25604.090633962413</v>
      </c>
      <c r="R18" s="9">
        <f t="shared" si="0"/>
        <v>5120.8181267924829</v>
      </c>
      <c r="S18" s="11">
        <v>2400</v>
      </c>
      <c r="T18" s="11">
        <f t="shared" si="1"/>
        <v>46.867511022174952</v>
      </c>
      <c r="U18" s="16">
        <f>R18*Quota!$I$2/100</f>
        <v>3866.2176857283248</v>
      </c>
      <c r="V18" s="19">
        <f t="shared" si="2"/>
        <v>75.5</v>
      </c>
      <c r="W18" s="3">
        <f t="shared" si="3"/>
        <v>1466.2176857283248</v>
      </c>
      <c r="X18" s="16" t="s">
        <v>146</v>
      </c>
      <c r="Y18" s="3">
        <f t="shared" si="4"/>
        <v>3866.2176857283248</v>
      </c>
      <c r="Z18" s="3">
        <f t="shared" si="5"/>
        <v>1536.2454380377446</v>
      </c>
      <c r="AA18" s="3">
        <f t="shared" si="6"/>
        <v>1280.2045316981207</v>
      </c>
      <c r="AB18" s="3">
        <f t="shared" si="7"/>
        <v>2816.4499697358651</v>
      </c>
      <c r="AC18" s="3">
        <f t="shared" si="8"/>
        <v>463.94612228739896</v>
      </c>
      <c r="AD18" s="3">
        <f t="shared" si="9"/>
        <v>115.98653057184974</v>
      </c>
      <c r="AE18" s="23">
        <f t="shared" si="10"/>
        <v>4446.1503385875731</v>
      </c>
      <c r="AF18" s="3">
        <f t="shared" si="11"/>
        <v>3126.2594664068101</v>
      </c>
      <c r="AG18" s="21">
        <f t="shared" si="12"/>
        <v>2046.1503385875731</v>
      </c>
      <c r="AH18" s="3">
        <f>AG18/Quota!$J$2</f>
        <v>68.205011286252429</v>
      </c>
      <c r="AI18">
        <f>CEILING(AG18/(Quota!$J$2*Quota!$K$2),1)</f>
        <v>7</v>
      </c>
      <c r="AJ18" s="26">
        <v>4.47</v>
      </c>
      <c r="AK18" s="26">
        <v>3</v>
      </c>
      <c r="AL18" s="26" t="s">
        <v>169</v>
      </c>
      <c r="AS18" s="28">
        <f t="shared" si="14"/>
        <v>0</v>
      </c>
      <c r="AT18" s="28">
        <f t="shared" si="15"/>
        <v>0</v>
      </c>
      <c r="AU18" s="28">
        <f t="shared" si="16"/>
        <v>0</v>
      </c>
      <c r="AV18" s="28">
        <f t="shared" si="17"/>
        <v>0</v>
      </c>
      <c r="AW18" s="28">
        <f t="shared" si="18"/>
        <v>0</v>
      </c>
      <c r="AX18" s="28">
        <f t="shared" si="19"/>
        <v>0</v>
      </c>
    </row>
    <row r="19" spans="1:50">
      <c r="A19" t="s">
        <v>172</v>
      </c>
      <c r="B19" t="s">
        <v>194</v>
      </c>
      <c r="C19" t="s">
        <v>4</v>
      </c>
      <c r="D19" t="s">
        <v>67</v>
      </c>
      <c r="E19" t="s">
        <v>69</v>
      </c>
      <c r="F19">
        <v>1</v>
      </c>
      <c r="G19">
        <v>4</v>
      </c>
      <c r="H19" t="s">
        <v>159</v>
      </c>
      <c r="I19" t="s">
        <v>10</v>
      </c>
      <c r="J19" t="s">
        <v>144</v>
      </c>
      <c r="K19" t="s">
        <v>151</v>
      </c>
      <c r="L19" t="s">
        <v>10</v>
      </c>
      <c r="M19" t="s">
        <v>144</v>
      </c>
      <c r="N19" s="7" t="s">
        <v>9</v>
      </c>
      <c r="P19" t="s">
        <v>195</v>
      </c>
      <c r="Q19" s="3">
        <v>3885.6646158953922</v>
      </c>
      <c r="R19" s="9">
        <f t="shared" si="0"/>
        <v>777.13292317907849</v>
      </c>
      <c r="S19" s="17">
        <v>582.96027370000002</v>
      </c>
      <c r="T19" s="17">
        <f t="shared" si="1"/>
        <v>75.014229395305861</v>
      </c>
      <c r="U19" s="17">
        <v>582.96027370000002</v>
      </c>
      <c r="V19" s="19">
        <f t="shared" si="2"/>
        <v>75.014229395305861</v>
      </c>
      <c r="W19" s="3">
        <f t="shared" si="3"/>
        <v>0</v>
      </c>
      <c r="X19" s="15" t="s">
        <v>162</v>
      </c>
      <c r="Y19" s="3">
        <f t="shared" si="4"/>
        <v>582.96027370000002</v>
      </c>
      <c r="Z19" s="3">
        <f t="shared" si="5"/>
        <v>233.13987695372353</v>
      </c>
      <c r="AA19" s="3">
        <f t="shared" si="6"/>
        <v>194.28323079476962</v>
      </c>
      <c r="AB19" s="3">
        <f t="shared" si="7"/>
        <v>427.42310774849318</v>
      </c>
      <c r="AC19" s="3">
        <f t="shared" si="8"/>
        <v>69.955232843999994</v>
      </c>
      <c r="AD19" s="3">
        <f t="shared" si="9"/>
        <v>17.488808210999998</v>
      </c>
      <c r="AE19" s="23">
        <f t="shared" si="10"/>
        <v>670.40431475499997</v>
      </c>
      <c r="AF19" s="3">
        <f t="shared" si="11"/>
        <v>474.43964960082741</v>
      </c>
      <c r="AG19" s="21">
        <f t="shared" si="12"/>
        <v>87.444041054999957</v>
      </c>
      <c r="AH19" s="3">
        <f>AG19/Quota!$J$2</f>
        <v>2.9148013684999987</v>
      </c>
      <c r="AI19">
        <f>CEILING(AG19/(Quota!$J$2*Quota!$K$2),1)</f>
        <v>1</v>
      </c>
      <c r="AJ19" s="26">
        <v>3.34</v>
      </c>
      <c r="AK19" s="26">
        <v>1</v>
      </c>
      <c r="AL19" s="26" t="s">
        <v>147</v>
      </c>
      <c r="AM19" s="27">
        <f>Y19*(15*0.0004*5)</f>
        <v>17.488808210999998</v>
      </c>
      <c r="AN19" s="27">
        <f>Y19*(15*0.00006*5)</f>
        <v>2.6233212316499999</v>
      </c>
      <c r="AO19" s="27">
        <f>Y19*(0.000035*15*5)</f>
        <v>1.5302707184625</v>
      </c>
      <c r="AP19" s="27">
        <f>Y19*(0.0001*3*5)</f>
        <v>0.87444041054999999</v>
      </c>
      <c r="AQ19" s="27">
        <f>Y19*(0.0002*30)</f>
        <v>3.4977616422</v>
      </c>
      <c r="AR19" s="27">
        <f>Y19*(0.0001*30)</f>
        <v>1.7488808211</v>
      </c>
      <c r="AS19" s="28">
        <f t="shared" si="14"/>
        <v>52.466424632999995</v>
      </c>
      <c r="AT19" s="28">
        <f t="shared" si="15"/>
        <v>7.86996369495</v>
      </c>
      <c r="AU19" s="28">
        <f t="shared" si="16"/>
        <v>4.5908121553874999</v>
      </c>
      <c r="AV19" s="28">
        <f t="shared" si="17"/>
        <v>2.6233212316499999</v>
      </c>
      <c r="AW19" s="28">
        <f t="shared" si="18"/>
        <v>10.493284926599999</v>
      </c>
      <c r="AX19" s="28">
        <f t="shared" si="19"/>
        <v>5.2466424632999997</v>
      </c>
    </row>
    <row r="20" spans="1:50">
      <c r="A20" t="s">
        <v>172</v>
      </c>
      <c r="B20" t="s">
        <v>196</v>
      </c>
      <c r="C20" t="s">
        <v>4</v>
      </c>
      <c r="D20" t="s">
        <v>54</v>
      </c>
      <c r="E20" t="s">
        <v>55</v>
      </c>
      <c r="F20">
        <v>2</v>
      </c>
      <c r="G20">
        <v>25</v>
      </c>
      <c r="H20" t="s">
        <v>167</v>
      </c>
      <c r="I20" t="s">
        <v>160</v>
      </c>
      <c r="J20" t="s">
        <v>144</v>
      </c>
      <c r="K20" t="s">
        <v>150</v>
      </c>
      <c r="L20" t="s">
        <v>160</v>
      </c>
      <c r="M20" t="s">
        <v>144</v>
      </c>
      <c r="N20" s="7" t="s">
        <v>10</v>
      </c>
      <c r="P20" t="s">
        <v>197</v>
      </c>
      <c r="Q20" s="3">
        <v>11040.564337633636</v>
      </c>
      <c r="R20" s="9">
        <f t="shared" si="0"/>
        <v>2208.1128675267273</v>
      </c>
      <c r="S20" s="11">
        <v>1958.9111882</v>
      </c>
      <c r="T20" s="15">
        <f t="shared" si="1"/>
        <v>88.714268958277742</v>
      </c>
      <c r="U20" s="15">
        <v>1958.9111882</v>
      </c>
      <c r="V20" s="19">
        <f t="shared" si="2"/>
        <v>88.714268958277742</v>
      </c>
      <c r="W20" s="3">
        <f t="shared" si="3"/>
        <v>0</v>
      </c>
      <c r="X20" s="15" t="s">
        <v>162</v>
      </c>
      <c r="Y20" s="3">
        <f t="shared" si="4"/>
        <v>1958.9111882</v>
      </c>
      <c r="Z20" s="3">
        <f t="shared" si="5"/>
        <v>662.43386025801817</v>
      </c>
      <c r="AA20" s="3">
        <f t="shared" si="6"/>
        <v>552.02821688168183</v>
      </c>
      <c r="AB20" s="3">
        <f t="shared" si="7"/>
        <v>1214.4620771396999</v>
      </c>
      <c r="AC20" s="3">
        <f t="shared" si="8"/>
        <v>235.069342584</v>
      </c>
      <c r="AD20" s="3">
        <f t="shared" si="9"/>
        <v>58.767335645999999</v>
      </c>
      <c r="AE20" s="23">
        <f t="shared" si="10"/>
        <v>2252.7478664300002</v>
      </c>
      <c r="AF20" s="3">
        <f t="shared" si="11"/>
        <v>1348.0529056250668</v>
      </c>
      <c r="AG20" s="21">
        <f t="shared" si="12"/>
        <v>293.83667823000019</v>
      </c>
      <c r="AH20" s="3">
        <f>AG20/Quota!$J$2</f>
        <v>9.7945559410000058</v>
      </c>
      <c r="AI20">
        <f>CEILING(AG20/(Quota!$J$2*Quota!$K$2),1)</f>
        <v>1</v>
      </c>
      <c r="AJ20" s="26">
        <v>4.6100000000000003</v>
      </c>
      <c r="AK20" s="26">
        <v>3</v>
      </c>
      <c r="AL20" s="26" t="s">
        <v>154</v>
      </c>
      <c r="AS20" s="28">
        <f t="shared" si="14"/>
        <v>0</v>
      </c>
      <c r="AT20" s="28">
        <f t="shared" si="15"/>
        <v>0</v>
      </c>
      <c r="AU20" s="28">
        <f t="shared" si="16"/>
        <v>0</v>
      </c>
      <c r="AV20" s="28">
        <f t="shared" si="17"/>
        <v>0</v>
      </c>
      <c r="AW20" s="28">
        <f t="shared" si="18"/>
        <v>0</v>
      </c>
      <c r="AX20" s="28">
        <f t="shared" si="19"/>
        <v>0</v>
      </c>
    </row>
    <row r="21" spans="1:50">
      <c r="A21" t="s">
        <v>141</v>
      </c>
      <c r="B21" t="s">
        <v>198</v>
      </c>
      <c r="C21" t="s">
        <v>2</v>
      </c>
      <c r="D21" t="s">
        <v>29</v>
      </c>
      <c r="E21" t="s">
        <v>31</v>
      </c>
      <c r="F21">
        <v>1</v>
      </c>
      <c r="G21">
        <v>5</v>
      </c>
      <c r="H21" t="s">
        <v>143</v>
      </c>
      <c r="I21" t="s">
        <v>10</v>
      </c>
      <c r="J21" t="s">
        <v>144</v>
      </c>
      <c r="K21" t="s">
        <v>151</v>
      </c>
      <c r="L21" t="s">
        <v>10</v>
      </c>
      <c r="M21" t="s">
        <v>144</v>
      </c>
      <c r="N21" s="7" t="s">
        <v>9</v>
      </c>
      <c r="P21" t="s">
        <v>199</v>
      </c>
      <c r="Q21" s="3">
        <v>39572.454162449147</v>
      </c>
      <c r="R21" s="9">
        <f t="shared" si="0"/>
        <v>7914.4908324898297</v>
      </c>
      <c r="S21" s="11">
        <v>5280.6</v>
      </c>
      <c r="T21" s="11">
        <f t="shared" si="1"/>
        <v>66.720653441438998</v>
      </c>
      <c r="U21" s="16">
        <f>R21*Quota!$I$2/100</f>
        <v>5975.4405785298222</v>
      </c>
      <c r="V21" s="19">
        <f t="shared" si="2"/>
        <v>75.5</v>
      </c>
      <c r="W21" s="3">
        <f t="shared" si="3"/>
        <v>694.84057852982187</v>
      </c>
      <c r="X21" s="16" t="s">
        <v>146</v>
      </c>
      <c r="Y21" s="3">
        <f t="shared" si="4"/>
        <v>5975.4405785298222</v>
      </c>
      <c r="Z21" s="3">
        <f t="shared" si="5"/>
        <v>2374.3472497469488</v>
      </c>
      <c r="AA21" s="3">
        <f t="shared" si="6"/>
        <v>1978.6227081224574</v>
      </c>
      <c r="AB21" s="3">
        <f t="shared" si="7"/>
        <v>4352.9699578694062</v>
      </c>
      <c r="AC21" s="3">
        <f t="shared" si="8"/>
        <v>717.05286942357861</v>
      </c>
      <c r="AD21" s="3">
        <f t="shared" si="9"/>
        <v>179.26321735589465</v>
      </c>
      <c r="AE21" s="23">
        <f t="shared" si="10"/>
        <v>6871.7566653092954</v>
      </c>
      <c r="AF21" s="3">
        <f t="shared" si="11"/>
        <v>4831.796653235041</v>
      </c>
      <c r="AG21" s="21">
        <f t="shared" si="12"/>
        <v>1591.156665309295</v>
      </c>
      <c r="AH21" s="3">
        <f>AG21/Quota!$J$2</f>
        <v>53.038555510309834</v>
      </c>
      <c r="AI21">
        <f>CEILING(AG21/(Quota!$J$2*Quota!$K$2),1)</f>
        <v>6</v>
      </c>
      <c r="AJ21" s="26">
        <v>3.55</v>
      </c>
      <c r="AK21" s="26">
        <v>2</v>
      </c>
      <c r="AL21" s="26" t="s">
        <v>147</v>
      </c>
      <c r="AM21" s="27">
        <f t="shared" ref="AM21" si="38">Y21*(15*0.0004*5)</f>
        <v>179.26321735589465</v>
      </c>
      <c r="AN21" s="27">
        <f t="shared" ref="AN21" si="39">Y21*(15*0.00006*5)</f>
        <v>26.889482603384199</v>
      </c>
      <c r="AO21" s="27">
        <f t="shared" ref="AO21" si="40">Y21*(0.000035*15*5)</f>
        <v>15.685531518640781</v>
      </c>
      <c r="AP21" s="27">
        <f t="shared" ref="AP21" si="41">Y21*(0.0001*3*5)</f>
        <v>8.9631608677947341</v>
      </c>
      <c r="AQ21" s="27">
        <f t="shared" ref="AQ21" si="42">Y21*(0.0002*30)</f>
        <v>35.852643471178936</v>
      </c>
      <c r="AR21" s="27">
        <f t="shared" ref="AR21" si="43">Y21*(0.0001*30)</f>
        <v>17.926321735589468</v>
      </c>
      <c r="AS21" s="28">
        <f t="shared" si="14"/>
        <v>537.78965206768396</v>
      </c>
      <c r="AT21" s="28">
        <f t="shared" si="15"/>
        <v>80.6684478101526</v>
      </c>
      <c r="AU21" s="28">
        <f t="shared" si="16"/>
        <v>47.056594555922345</v>
      </c>
      <c r="AV21" s="28">
        <f t="shared" si="17"/>
        <v>26.889482603384202</v>
      </c>
      <c r="AW21" s="28">
        <f t="shared" si="18"/>
        <v>107.55793041353681</v>
      </c>
      <c r="AX21" s="28">
        <f t="shared" si="19"/>
        <v>53.778965206768405</v>
      </c>
    </row>
    <row r="22" spans="1:50">
      <c r="A22" t="s">
        <v>141</v>
      </c>
      <c r="B22" t="s">
        <v>200</v>
      </c>
      <c r="C22" t="s">
        <v>2</v>
      </c>
      <c r="D22" t="s">
        <v>33</v>
      </c>
      <c r="E22" t="s">
        <v>35</v>
      </c>
      <c r="F22">
        <v>1</v>
      </c>
      <c r="G22">
        <v>3</v>
      </c>
      <c r="H22" t="s">
        <v>143</v>
      </c>
      <c r="I22" t="s">
        <v>10</v>
      </c>
      <c r="J22" t="s">
        <v>144</v>
      </c>
      <c r="K22" t="s">
        <v>151</v>
      </c>
      <c r="L22" t="s">
        <v>10</v>
      </c>
      <c r="M22" t="s">
        <v>144</v>
      </c>
      <c r="N22" s="7" t="s">
        <v>10</v>
      </c>
      <c r="P22" t="s">
        <v>201</v>
      </c>
      <c r="Q22" s="3">
        <v>10954.805560214247</v>
      </c>
      <c r="R22" s="9">
        <f t="shared" si="0"/>
        <v>2190.9611120428494</v>
      </c>
      <c r="S22" s="11">
        <v>1781.1181818</v>
      </c>
      <c r="T22" s="15">
        <f t="shared" si="1"/>
        <v>81.29392037174442</v>
      </c>
      <c r="U22" s="15">
        <v>1781.1181818</v>
      </c>
      <c r="V22" s="19">
        <f t="shared" si="2"/>
        <v>81.29392037174442</v>
      </c>
      <c r="W22" s="3">
        <f t="shared" si="3"/>
        <v>0</v>
      </c>
      <c r="X22" s="15" t="s">
        <v>162</v>
      </c>
      <c r="Y22" s="3">
        <f>U22</f>
        <v>1781.1181818</v>
      </c>
      <c r="Z22" s="3">
        <f>Q22*6%</f>
        <v>657.28833361285479</v>
      </c>
      <c r="AA22" s="3">
        <f>Q22*5%</f>
        <v>547.74027801071236</v>
      </c>
      <c r="AB22" s="3">
        <f>Z22+AA22</f>
        <v>1205.028611623567</v>
      </c>
      <c r="AC22" s="3">
        <f>Y22*12%</f>
        <v>213.73418181599999</v>
      </c>
      <c r="AD22" s="3">
        <f>Y22*3%</f>
        <v>53.433545453999997</v>
      </c>
      <c r="AE22" s="23">
        <f>Y22+AC22+AD22</f>
        <v>2048.2859090699999</v>
      </c>
      <c r="AF22" s="3">
        <f>(AB22*11%)+AB22</f>
        <v>1337.5817589021594</v>
      </c>
      <c r="AG22" s="21">
        <f>AE22-S22</f>
        <v>267.16772726999989</v>
      </c>
      <c r="AH22" s="3">
        <f>AG22/Quota!$J$2</f>
        <v>8.9055909089999954</v>
      </c>
      <c r="AI22">
        <f>CEILING(AG22/(Quota!$J$2*Quota!$K$2),1)</f>
        <v>1</v>
      </c>
      <c r="AJ22" s="26">
        <v>3.37</v>
      </c>
      <c r="AK22" s="26">
        <v>1</v>
      </c>
      <c r="AL22" s="26" t="s">
        <v>147</v>
      </c>
      <c r="AM22" s="27">
        <f>Y22*(15*0.0004*5)</f>
        <v>53.433545453999997</v>
      </c>
      <c r="AN22" s="27">
        <f>Y22*(15*0.00006*5)</f>
        <v>8.0150318180999989</v>
      </c>
      <c r="AO22" s="27">
        <f>Y22*(0.000035*15*5)</f>
        <v>4.6754352272249999</v>
      </c>
      <c r="AP22" s="27">
        <f>Y22*(0.0001*3*5)</f>
        <v>2.6716772727000002</v>
      </c>
      <c r="AQ22" s="27">
        <f>Y22*(0.0002*30)</f>
        <v>10.686709090800001</v>
      </c>
      <c r="AR22" s="27">
        <f>Y22*(0.0001*30)</f>
        <v>5.3433545454000004</v>
      </c>
      <c r="AS22" s="28">
        <f t="shared" ref="AS22:AX22" si="44">AM22*3</f>
        <v>160.30063636199998</v>
      </c>
      <c r="AT22" s="28">
        <f t="shared" si="44"/>
        <v>24.045095454299997</v>
      </c>
      <c r="AU22" s="28">
        <f t="shared" si="44"/>
        <v>14.026305681675</v>
      </c>
      <c r="AV22" s="28">
        <f t="shared" si="44"/>
        <v>8.0150318181000006</v>
      </c>
      <c r="AW22" s="28">
        <f t="shared" si="44"/>
        <v>32.060127272400003</v>
      </c>
      <c r="AX22" s="28">
        <f t="shared" si="44"/>
        <v>16.030063636200001</v>
      </c>
    </row>
    <row r="23" spans="1:50">
      <c r="A23" t="s">
        <v>141</v>
      </c>
      <c r="B23" t="s">
        <v>202</v>
      </c>
      <c r="C23" t="s">
        <v>2</v>
      </c>
      <c r="D23" t="s">
        <v>40</v>
      </c>
      <c r="E23" t="s">
        <v>42</v>
      </c>
      <c r="F23">
        <v>1</v>
      </c>
      <c r="G23">
        <v>1</v>
      </c>
      <c r="H23" t="s">
        <v>150</v>
      </c>
      <c r="I23" t="s">
        <v>10</v>
      </c>
      <c r="J23" t="s">
        <v>144</v>
      </c>
      <c r="K23" t="s">
        <v>151</v>
      </c>
      <c r="L23" t="s">
        <v>10</v>
      </c>
      <c r="M23" t="s">
        <v>144</v>
      </c>
      <c r="N23" s="7" t="s">
        <v>9</v>
      </c>
      <c r="P23" t="s">
        <v>203</v>
      </c>
      <c r="Q23" s="3">
        <v>9007.2264783959399</v>
      </c>
      <c r="R23" s="9">
        <f t="shared" si="0"/>
        <v>1801.4452956791879</v>
      </c>
      <c r="S23" s="11"/>
      <c r="T23" s="11">
        <f t="shared" si="1"/>
        <v>0</v>
      </c>
      <c r="U23" s="3">
        <f>R23*Quota!$H$2/100</f>
        <v>1363.6940888291451</v>
      </c>
      <c r="V23" s="19">
        <f t="shared" si="2"/>
        <v>75.7</v>
      </c>
      <c r="W23" s="3">
        <f t="shared" si="3"/>
        <v>1363.6940888291451</v>
      </c>
      <c r="X23" s="13" t="s">
        <v>153</v>
      </c>
      <c r="Y23" s="3">
        <f t="shared" si="4"/>
        <v>1363.6940888291451</v>
      </c>
      <c r="Z23" s="3">
        <f t="shared" si="5"/>
        <v>540.43358870375641</v>
      </c>
      <c r="AA23" s="3">
        <f t="shared" si="6"/>
        <v>450.36132391979703</v>
      </c>
      <c r="AB23" s="3">
        <f t="shared" si="7"/>
        <v>990.7949126235535</v>
      </c>
      <c r="AC23" s="3">
        <f t="shared" si="8"/>
        <v>163.64329065949741</v>
      </c>
      <c r="AD23" s="3">
        <f t="shared" si="9"/>
        <v>40.910822664874352</v>
      </c>
      <c r="AE23" s="23">
        <f t="shared" si="10"/>
        <v>1568.2482021535168</v>
      </c>
      <c r="AF23" s="3">
        <f t="shared" si="11"/>
        <v>1099.7823530121443</v>
      </c>
      <c r="AG23" s="21">
        <f t="shared" si="12"/>
        <v>1568.2482021535168</v>
      </c>
      <c r="AH23" s="3">
        <f>AG23/Quota!$J$2</f>
        <v>52.274940071783895</v>
      </c>
      <c r="AI23">
        <f>CEILING(AG23/(Quota!$J$2*Quota!$K$2),1)</f>
        <v>6</v>
      </c>
      <c r="AJ23" s="26">
        <v>4.8499999999999996</v>
      </c>
      <c r="AK23" s="26">
        <v>3</v>
      </c>
      <c r="AL23" s="26" t="s">
        <v>169</v>
      </c>
      <c r="AS23" s="28">
        <f t="shared" si="14"/>
        <v>0</v>
      </c>
      <c r="AT23" s="28">
        <f t="shared" si="15"/>
        <v>0</v>
      </c>
      <c r="AU23" s="28">
        <f t="shared" si="16"/>
        <v>0</v>
      </c>
      <c r="AV23" s="28">
        <f t="shared" si="17"/>
        <v>0</v>
      </c>
      <c r="AW23" s="28">
        <f t="shared" si="18"/>
        <v>0</v>
      </c>
      <c r="AX23" s="28">
        <f t="shared" si="19"/>
        <v>0</v>
      </c>
    </row>
    <row r="24" spans="1:50">
      <c r="A24" t="s">
        <v>204</v>
      </c>
      <c r="B24" t="s">
        <v>205</v>
      </c>
      <c r="C24" t="s">
        <v>2</v>
      </c>
      <c r="D24" t="s">
        <v>19</v>
      </c>
      <c r="E24" t="s">
        <v>20</v>
      </c>
      <c r="F24">
        <v>2</v>
      </c>
      <c r="G24">
        <v>8</v>
      </c>
      <c r="H24" t="s">
        <v>143</v>
      </c>
      <c r="I24" t="s">
        <v>160</v>
      </c>
      <c r="J24" t="s">
        <v>144</v>
      </c>
      <c r="K24" t="s">
        <v>151</v>
      </c>
      <c r="L24" t="s">
        <v>160</v>
      </c>
      <c r="M24" t="s">
        <v>144</v>
      </c>
      <c r="N24" s="7" t="s">
        <v>9</v>
      </c>
      <c r="P24" t="s">
        <v>206</v>
      </c>
      <c r="Q24" s="3">
        <v>13316.715217575194</v>
      </c>
      <c r="R24" s="9">
        <f t="shared" si="0"/>
        <v>2663.343043515039</v>
      </c>
      <c r="S24" s="11">
        <v>2540</v>
      </c>
      <c r="T24" s="15">
        <f t="shared" si="1"/>
        <v>95.368863811390483</v>
      </c>
      <c r="U24" s="15">
        <v>2540</v>
      </c>
      <c r="V24" s="19">
        <f t="shared" si="2"/>
        <v>95.368863811390483</v>
      </c>
      <c r="W24" s="3">
        <f t="shared" si="3"/>
        <v>0</v>
      </c>
      <c r="X24" s="15" t="s">
        <v>162</v>
      </c>
      <c r="Y24" s="3">
        <f t="shared" si="4"/>
        <v>2540</v>
      </c>
      <c r="Z24" s="3">
        <f t="shared" si="5"/>
        <v>799.00291305451162</v>
      </c>
      <c r="AA24" s="3">
        <f t="shared" si="6"/>
        <v>665.83576087875974</v>
      </c>
      <c r="AB24" s="3">
        <f t="shared" si="7"/>
        <v>1464.8386739332714</v>
      </c>
      <c r="AC24" s="3">
        <f t="shared" si="8"/>
        <v>304.8</v>
      </c>
      <c r="AD24" s="3">
        <f t="shared" si="9"/>
        <v>76.2</v>
      </c>
      <c r="AE24" s="23">
        <f t="shared" si="10"/>
        <v>2921</v>
      </c>
      <c r="AF24" s="3">
        <f t="shared" si="11"/>
        <v>1625.9709280659313</v>
      </c>
      <c r="AG24" s="21">
        <f t="shared" si="12"/>
        <v>381</v>
      </c>
      <c r="AH24" s="3">
        <f>AG24/Quota!$J$2</f>
        <v>12.7</v>
      </c>
      <c r="AI24">
        <f>CEILING(AG24/(Quota!$J$2*Quota!$K$2),1)</f>
        <v>2</v>
      </c>
      <c r="AJ24" s="26">
        <v>4.2</v>
      </c>
      <c r="AK24" s="26">
        <v>3</v>
      </c>
      <c r="AL24" s="26" t="s">
        <v>147</v>
      </c>
      <c r="AM24" s="27">
        <f t="shared" ref="AM24:AM26" si="45">Y24*(15*0.0004*5)</f>
        <v>76.2</v>
      </c>
      <c r="AN24" s="27">
        <f t="shared" ref="AN24:AN26" si="46">Y24*(15*0.00006*5)</f>
        <v>11.43</v>
      </c>
      <c r="AO24" s="27">
        <f t="shared" ref="AO24:AO26" si="47">Y24*(0.000035*15*5)</f>
        <v>6.6674999999999995</v>
      </c>
      <c r="AP24" s="27">
        <f t="shared" ref="AP24:AP26" si="48">Y24*(0.0001*3*5)</f>
        <v>3.81</v>
      </c>
      <c r="AQ24" s="27">
        <f t="shared" ref="AQ24:AQ26" si="49">Y24*(0.0002*30)</f>
        <v>15.24</v>
      </c>
      <c r="AR24" s="27">
        <f t="shared" ref="AR24:AR26" si="50">Y24*(0.0001*30)</f>
        <v>7.62</v>
      </c>
      <c r="AS24" s="28">
        <f t="shared" si="14"/>
        <v>228.60000000000002</v>
      </c>
      <c r="AT24" s="28">
        <f t="shared" si="15"/>
        <v>34.29</v>
      </c>
      <c r="AU24" s="28">
        <f t="shared" si="16"/>
        <v>20.002499999999998</v>
      </c>
      <c r="AV24" s="28">
        <f t="shared" si="17"/>
        <v>11.43</v>
      </c>
      <c r="AW24" s="28">
        <f t="shared" si="18"/>
        <v>45.72</v>
      </c>
      <c r="AX24" s="28">
        <f t="shared" si="19"/>
        <v>22.86</v>
      </c>
    </row>
    <row r="25" spans="1:50">
      <c r="A25" t="s">
        <v>175</v>
      </c>
      <c r="B25" t="s">
        <v>207</v>
      </c>
      <c r="C25" t="s">
        <v>3</v>
      </c>
      <c r="D25" t="s">
        <v>46</v>
      </c>
      <c r="E25" t="s">
        <v>50</v>
      </c>
      <c r="F25">
        <v>1</v>
      </c>
      <c r="G25">
        <v>2</v>
      </c>
      <c r="H25" t="s">
        <v>156</v>
      </c>
      <c r="I25" t="s">
        <v>10</v>
      </c>
      <c r="J25" t="s">
        <v>144</v>
      </c>
      <c r="K25" t="s">
        <v>151</v>
      </c>
      <c r="L25" t="s">
        <v>10</v>
      </c>
      <c r="M25" t="s">
        <v>144</v>
      </c>
      <c r="N25" s="7" t="s">
        <v>9</v>
      </c>
      <c r="P25" t="s">
        <v>208</v>
      </c>
      <c r="Q25" s="3">
        <v>65728.566050885347</v>
      </c>
      <c r="R25" s="9">
        <f t="shared" si="0"/>
        <v>13145.713210177069</v>
      </c>
      <c r="S25" s="11">
        <v>400</v>
      </c>
      <c r="T25" s="11">
        <f t="shared" si="1"/>
        <v>3.0428170279139395</v>
      </c>
      <c r="U25" s="16">
        <f>R25*Quota!$I$2/100</f>
        <v>9925.0134736836881</v>
      </c>
      <c r="V25" s="19">
        <f t="shared" si="2"/>
        <v>75.5</v>
      </c>
      <c r="W25" s="3">
        <f t="shared" si="3"/>
        <v>9525.0134736836881</v>
      </c>
      <c r="X25" s="16" t="s">
        <v>146</v>
      </c>
      <c r="Y25" s="3">
        <f t="shared" si="4"/>
        <v>9925.0134736836881</v>
      </c>
      <c r="Z25" s="3">
        <f t="shared" si="5"/>
        <v>3943.7139630531206</v>
      </c>
      <c r="AA25" s="3">
        <f t="shared" si="6"/>
        <v>3286.4283025442674</v>
      </c>
      <c r="AB25" s="3">
        <f t="shared" si="7"/>
        <v>7230.1422655973874</v>
      </c>
      <c r="AC25" s="3">
        <f t="shared" si="8"/>
        <v>1191.0016168420425</v>
      </c>
      <c r="AD25" s="3">
        <f t="shared" si="9"/>
        <v>297.75040421051062</v>
      </c>
      <c r="AE25" s="23">
        <f t="shared" si="10"/>
        <v>11413.765494736241</v>
      </c>
      <c r="AF25" s="3">
        <f t="shared" si="11"/>
        <v>8025.4579148130997</v>
      </c>
      <c r="AG25" s="21">
        <f t="shared" si="12"/>
        <v>11013.765494736241</v>
      </c>
      <c r="AH25" s="3">
        <f>AG25/Quota!$J$2</f>
        <v>367.12551649120803</v>
      </c>
      <c r="AI25">
        <f>CEILING(AG25/(Quota!$J$2*Quota!$K$2),1)</f>
        <v>37</v>
      </c>
      <c r="AJ25" s="26">
        <v>3.32</v>
      </c>
      <c r="AK25" s="26">
        <v>1</v>
      </c>
      <c r="AL25" s="26" t="s">
        <v>147</v>
      </c>
      <c r="AM25" s="27">
        <f t="shared" si="45"/>
        <v>297.75040421051062</v>
      </c>
      <c r="AN25" s="27">
        <f t="shared" si="46"/>
        <v>44.662560631576596</v>
      </c>
      <c r="AO25" s="27">
        <f t="shared" si="47"/>
        <v>26.053160368419679</v>
      </c>
      <c r="AP25" s="27">
        <f t="shared" si="48"/>
        <v>14.887520210525532</v>
      </c>
      <c r="AQ25" s="27">
        <f t="shared" si="49"/>
        <v>59.550080842102126</v>
      </c>
      <c r="AR25" s="27">
        <f t="shared" si="50"/>
        <v>29.775040421051063</v>
      </c>
      <c r="AS25" s="28">
        <f t="shared" si="14"/>
        <v>893.25121263153187</v>
      </c>
      <c r="AT25" s="28">
        <f t="shared" si="15"/>
        <v>133.9876818947298</v>
      </c>
      <c r="AU25" s="28">
        <f t="shared" si="16"/>
        <v>78.159481105259033</v>
      </c>
      <c r="AV25" s="28">
        <f t="shared" si="17"/>
        <v>44.662560631576596</v>
      </c>
      <c r="AW25" s="28">
        <f t="shared" si="18"/>
        <v>178.65024252630639</v>
      </c>
      <c r="AX25" s="28">
        <f t="shared" si="19"/>
        <v>89.325121263153193</v>
      </c>
    </row>
    <row r="26" spans="1:50">
      <c r="A26" t="s">
        <v>175</v>
      </c>
      <c r="B26" t="s">
        <v>209</v>
      </c>
      <c r="C26" t="s">
        <v>3</v>
      </c>
      <c r="D26" t="s">
        <v>46</v>
      </c>
      <c r="E26" t="s">
        <v>51</v>
      </c>
      <c r="F26">
        <v>1</v>
      </c>
      <c r="G26">
        <v>6</v>
      </c>
      <c r="H26" t="s">
        <v>156</v>
      </c>
      <c r="I26" t="s">
        <v>10</v>
      </c>
      <c r="J26" t="s">
        <v>144</v>
      </c>
      <c r="K26" t="s">
        <v>151</v>
      </c>
      <c r="L26" t="s">
        <v>10</v>
      </c>
      <c r="M26" t="s">
        <v>144</v>
      </c>
      <c r="N26" s="7" t="s">
        <v>9</v>
      </c>
      <c r="P26" t="s">
        <v>210</v>
      </c>
      <c r="Q26" s="3">
        <v>65535.148787103855</v>
      </c>
      <c r="R26" s="9">
        <f t="shared" si="0"/>
        <v>13107.029757420771</v>
      </c>
      <c r="S26" s="11">
        <v>500</v>
      </c>
      <c r="T26" s="11">
        <f t="shared" si="1"/>
        <v>3.8147468133801739</v>
      </c>
      <c r="U26" s="16">
        <f>R26*Quota!$I$2/100</f>
        <v>9895.8074668526824</v>
      </c>
      <c r="V26" s="19">
        <f t="shared" si="2"/>
        <v>75.5</v>
      </c>
      <c r="W26" s="3">
        <f t="shared" si="3"/>
        <v>9395.8074668526824</v>
      </c>
      <c r="X26" s="16" t="s">
        <v>146</v>
      </c>
      <c r="Y26" s="3">
        <f t="shared" si="4"/>
        <v>9895.8074668526824</v>
      </c>
      <c r="Z26" s="3">
        <f t="shared" si="5"/>
        <v>3932.1089272262311</v>
      </c>
      <c r="AA26" s="3">
        <f t="shared" si="6"/>
        <v>3276.7574393551931</v>
      </c>
      <c r="AB26" s="3">
        <f t="shared" si="7"/>
        <v>7208.8663665814238</v>
      </c>
      <c r="AC26" s="3">
        <f t="shared" si="8"/>
        <v>1187.4968960223218</v>
      </c>
      <c r="AD26" s="3">
        <f t="shared" si="9"/>
        <v>296.87422400558046</v>
      </c>
      <c r="AE26" s="23">
        <f t="shared" si="10"/>
        <v>11380.178586880584</v>
      </c>
      <c r="AF26" s="3">
        <f t="shared" si="11"/>
        <v>8001.8416669053804</v>
      </c>
      <c r="AG26" s="21">
        <f t="shared" si="12"/>
        <v>10880.178586880584</v>
      </c>
      <c r="AH26" s="3">
        <f>AG26/Quota!$J$2</f>
        <v>362.67261956268612</v>
      </c>
      <c r="AI26">
        <f>CEILING(AG26/(Quota!$J$2*Quota!$K$2),1)</f>
        <v>37</v>
      </c>
      <c r="AJ26" s="26">
        <v>3.41</v>
      </c>
      <c r="AK26" s="26">
        <v>1</v>
      </c>
      <c r="AL26" s="26" t="s">
        <v>147</v>
      </c>
      <c r="AM26" s="27">
        <f t="shared" si="45"/>
        <v>296.87422400558046</v>
      </c>
      <c r="AN26" s="27">
        <f t="shared" si="46"/>
        <v>44.531133600837066</v>
      </c>
      <c r="AO26" s="27">
        <f t="shared" si="47"/>
        <v>25.976494600488287</v>
      </c>
      <c r="AP26" s="27">
        <f t="shared" si="48"/>
        <v>14.843711200279024</v>
      </c>
      <c r="AQ26" s="27">
        <f t="shared" si="49"/>
        <v>59.374844801116097</v>
      </c>
      <c r="AR26" s="27">
        <f t="shared" si="50"/>
        <v>29.687422400558049</v>
      </c>
      <c r="AS26" s="28">
        <f t="shared" si="14"/>
        <v>890.62267201674138</v>
      </c>
      <c r="AT26" s="28">
        <f t="shared" si="15"/>
        <v>133.59340080251121</v>
      </c>
      <c r="AU26" s="28">
        <f t="shared" si="16"/>
        <v>77.929483801464869</v>
      </c>
      <c r="AV26" s="28">
        <f t="shared" si="17"/>
        <v>44.531133600837073</v>
      </c>
      <c r="AW26" s="28">
        <f t="shared" si="18"/>
        <v>178.12453440334829</v>
      </c>
      <c r="AX26" s="28">
        <f t="shared" si="19"/>
        <v>89.062267201674146</v>
      </c>
    </row>
    <row r="27" spans="1:50">
      <c r="A27" t="s">
        <v>148</v>
      </c>
      <c r="B27" t="s">
        <v>211</v>
      </c>
      <c r="C27" t="s">
        <v>4</v>
      </c>
      <c r="D27" t="s">
        <v>72</v>
      </c>
      <c r="E27" t="s">
        <v>74</v>
      </c>
      <c r="F27">
        <v>1</v>
      </c>
      <c r="G27">
        <v>4</v>
      </c>
      <c r="H27" t="s">
        <v>150</v>
      </c>
      <c r="I27" t="s">
        <v>10</v>
      </c>
      <c r="J27" t="s">
        <v>144</v>
      </c>
      <c r="K27" t="s">
        <v>151</v>
      </c>
      <c r="L27" t="s">
        <v>10</v>
      </c>
      <c r="M27" t="s">
        <v>144</v>
      </c>
      <c r="N27" s="7" t="s">
        <v>10</v>
      </c>
      <c r="P27" t="s">
        <v>212</v>
      </c>
      <c r="Q27" s="3">
        <v>6247.8938032782653</v>
      </c>
      <c r="R27" s="9">
        <f t="shared" si="0"/>
        <v>1249.578760655653</v>
      </c>
      <c r="S27" s="11"/>
      <c r="T27" s="11">
        <f t="shared" si="1"/>
        <v>0</v>
      </c>
      <c r="U27" s="3">
        <f>R27*Quota!$H$2/100</f>
        <v>945.93112181632944</v>
      </c>
      <c r="V27" s="19">
        <f t="shared" si="2"/>
        <v>75.7</v>
      </c>
      <c r="W27" s="3">
        <f t="shared" si="3"/>
        <v>945.93112181632944</v>
      </c>
      <c r="X27" s="13" t="s">
        <v>153</v>
      </c>
      <c r="Y27" s="3">
        <f t="shared" si="4"/>
        <v>945.93112181632944</v>
      </c>
      <c r="Z27" s="3">
        <f t="shared" si="5"/>
        <v>374.8736281966959</v>
      </c>
      <c r="AA27" s="3">
        <f t="shared" si="6"/>
        <v>312.39469016391331</v>
      </c>
      <c r="AB27" s="3">
        <f t="shared" si="7"/>
        <v>687.26831836060921</v>
      </c>
      <c r="AC27" s="3">
        <f t="shared" si="8"/>
        <v>113.51173461795953</v>
      </c>
      <c r="AD27" s="3">
        <f t="shared" si="9"/>
        <v>28.377933654489883</v>
      </c>
      <c r="AE27" s="23">
        <f t="shared" si="10"/>
        <v>1087.8207900887789</v>
      </c>
      <c r="AF27" s="3">
        <f t="shared" si="11"/>
        <v>762.86783338027624</v>
      </c>
      <c r="AG27" s="21">
        <f t="shared" si="12"/>
        <v>1087.8207900887789</v>
      </c>
      <c r="AH27" s="3">
        <f>AG27/Quota!$J$2</f>
        <v>36.2606930029593</v>
      </c>
      <c r="AI27">
        <f>CEILING(AG27/(Quota!$J$2*Quota!$K$2),1)</f>
        <v>4</v>
      </c>
      <c r="AJ27" s="26">
        <v>4.5199999999999996</v>
      </c>
      <c r="AK27" s="26">
        <v>3</v>
      </c>
      <c r="AL27" s="26" t="s">
        <v>154</v>
      </c>
      <c r="AS27" s="28">
        <f t="shared" si="14"/>
        <v>0</v>
      </c>
      <c r="AT27" s="28">
        <f t="shared" si="15"/>
        <v>0</v>
      </c>
      <c r="AU27" s="28">
        <f t="shared" si="16"/>
        <v>0</v>
      </c>
      <c r="AV27" s="28">
        <f t="shared" si="17"/>
        <v>0</v>
      </c>
      <c r="AW27" s="28">
        <f t="shared" si="18"/>
        <v>0</v>
      </c>
      <c r="AX27" s="28">
        <f t="shared" si="19"/>
        <v>0</v>
      </c>
    </row>
    <row r="28" spans="1:50">
      <c r="A28" t="s">
        <v>204</v>
      </c>
      <c r="B28" t="s">
        <v>213</v>
      </c>
      <c r="C28" t="s">
        <v>2</v>
      </c>
      <c r="D28" t="s">
        <v>19</v>
      </c>
      <c r="E28" t="s">
        <v>21</v>
      </c>
      <c r="F28">
        <v>2</v>
      </c>
      <c r="G28">
        <v>16</v>
      </c>
      <c r="H28" t="s">
        <v>156</v>
      </c>
      <c r="I28" t="s">
        <v>160</v>
      </c>
      <c r="J28" t="s">
        <v>144</v>
      </c>
      <c r="K28" t="s">
        <v>151</v>
      </c>
      <c r="L28" t="s">
        <v>160</v>
      </c>
      <c r="M28" t="s">
        <v>144</v>
      </c>
      <c r="N28" s="7" t="s">
        <v>9</v>
      </c>
      <c r="P28" t="s">
        <v>214</v>
      </c>
      <c r="Q28" s="3">
        <v>28158.096060482811</v>
      </c>
      <c r="R28" s="9">
        <f t="shared" si="0"/>
        <v>5631.6192120965625</v>
      </c>
      <c r="S28" s="11">
        <v>1402</v>
      </c>
      <c r="T28" s="11">
        <f t="shared" si="1"/>
        <v>24.895149107179382</v>
      </c>
      <c r="U28" s="16">
        <f>R28*Quota!$I$2/100</f>
        <v>4251.8725051329047</v>
      </c>
      <c r="V28" s="19">
        <f t="shared" si="2"/>
        <v>75.5</v>
      </c>
      <c r="W28" s="3">
        <f t="shared" si="3"/>
        <v>2849.8725051329047</v>
      </c>
      <c r="X28" s="16" t="s">
        <v>146</v>
      </c>
      <c r="Y28" s="3">
        <f t="shared" si="4"/>
        <v>4251.8725051329047</v>
      </c>
      <c r="Z28" s="3">
        <f t="shared" si="5"/>
        <v>1689.4857636289685</v>
      </c>
      <c r="AA28" s="3">
        <f t="shared" si="6"/>
        <v>1407.9048030241406</v>
      </c>
      <c r="AB28" s="3">
        <f t="shared" si="7"/>
        <v>3097.3905666531091</v>
      </c>
      <c r="AC28" s="3">
        <f t="shared" si="8"/>
        <v>510.22470061594856</v>
      </c>
      <c r="AD28" s="3">
        <f t="shared" si="9"/>
        <v>127.55617515398714</v>
      </c>
      <c r="AE28" s="23">
        <f t="shared" si="10"/>
        <v>4889.6533809028406</v>
      </c>
      <c r="AF28" s="3">
        <f t="shared" si="11"/>
        <v>3438.103528984951</v>
      </c>
      <c r="AG28" s="21">
        <f t="shared" si="12"/>
        <v>3487.6533809028406</v>
      </c>
      <c r="AH28" s="3">
        <f>AG28/Quota!$J$2</f>
        <v>116.25511269676136</v>
      </c>
      <c r="AI28">
        <f>CEILING(AG28/(Quota!$J$2*Quota!$K$2),1)</f>
        <v>12</v>
      </c>
      <c r="AJ28" s="26">
        <v>3.73</v>
      </c>
      <c r="AK28" s="26">
        <v>2</v>
      </c>
      <c r="AL28" s="26" t="s">
        <v>147</v>
      </c>
      <c r="AM28" s="27">
        <f t="shared" ref="AM28:AM29" si="51">Y28*(15*0.0004*5)</f>
        <v>127.55617515398714</v>
      </c>
      <c r="AN28" s="27">
        <f t="shared" ref="AN28:AN29" si="52">Y28*(15*0.00006*5)</f>
        <v>19.13342627309807</v>
      </c>
      <c r="AO28" s="27">
        <f t="shared" ref="AO28:AO29" si="53">Y28*(0.000035*15*5)</f>
        <v>11.161165325973874</v>
      </c>
      <c r="AP28" s="27">
        <f t="shared" ref="AP28:AP29" si="54">Y28*(0.0001*3*5)</f>
        <v>6.3778087576993574</v>
      </c>
      <c r="AQ28" s="27">
        <f t="shared" ref="AQ28:AQ29" si="55">Y28*(0.0002*30)</f>
        <v>25.51123503079743</v>
      </c>
      <c r="AR28" s="27">
        <f t="shared" ref="AR28:AR29" si="56">Y28*(0.0001*30)</f>
        <v>12.755617515398715</v>
      </c>
      <c r="AS28" s="28">
        <f t="shared" si="14"/>
        <v>382.66852546196139</v>
      </c>
      <c r="AT28" s="28">
        <f t="shared" si="15"/>
        <v>57.400278819294215</v>
      </c>
      <c r="AU28" s="28">
        <f t="shared" si="16"/>
        <v>33.483495977921621</v>
      </c>
      <c r="AV28" s="28">
        <f t="shared" si="17"/>
        <v>19.133426273098074</v>
      </c>
      <c r="AW28" s="28">
        <f t="shared" si="18"/>
        <v>76.533705092392296</v>
      </c>
      <c r="AX28" s="28">
        <f t="shared" si="19"/>
        <v>38.266852546196148</v>
      </c>
    </row>
    <row r="29" spans="1:50">
      <c r="A29" t="s">
        <v>141</v>
      </c>
      <c r="B29" t="s">
        <v>215</v>
      </c>
      <c r="C29" t="s">
        <v>2</v>
      </c>
      <c r="D29" t="s">
        <v>44</v>
      </c>
      <c r="E29" t="s">
        <v>45</v>
      </c>
      <c r="F29">
        <v>1</v>
      </c>
      <c r="G29">
        <v>2</v>
      </c>
      <c r="H29" t="s">
        <v>150</v>
      </c>
      <c r="I29" t="s">
        <v>10</v>
      </c>
      <c r="J29" t="s">
        <v>144</v>
      </c>
      <c r="K29" t="s">
        <v>151</v>
      </c>
      <c r="L29" t="s">
        <v>10</v>
      </c>
      <c r="M29" t="s">
        <v>144</v>
      </c>
      <c r="N29" s="7" t="s">
        <v>10</v>
      </c>
      <c r="P29" t="s">
        <v>216</v>
      </c>
      <c r="Q29" s="3">
        <v>18126.863561514281</v>
      </c>
      <c r="R29" s="9">
        <f t="shared" si="0"/>
        <v>3625.3727123028561</v>
      </c>
      <c r="S29" s="11"/>
      <c r="T29" s="11">
        <f t="shared" si="1"/>
        <v>0</v>
      </c>
      <c r="U29" s="3">
        <f>R29*Quota!$H$2/100</f>
        <v>2744.4071432132623</v>
      </c>
      <c r="V29" s="19">
        <f t="shared" si="2"/>
        <v>75.7</v>
      </c>
      <c r="W29" s="3">
        <f t="shared" si="3"/>
        <v>2744.4071432132623</v>
      </c>
      <c r="X29" s="13" t="s">
        <v>153</v>
      </c>
      <c r="Y29" s="3">
        <f t="shared" si="4"/>
        <v>2744.4071432132623</v>
      </c>
      <c r="Z29" s="3">
        <f t="shared" si="5"/>
        <v>1087.6118136908569</v>
      </c>
      <c r="AA29" s="3">
        <f t="shared" si="6"/>
        <v>906.34317807571415</v>
      </c>
      <c r="AB29" s="3">
        <f t="shared" si="7"/>
        <v>1993.9549917665711</v>
      </c>
      <c r="AC29" s="3">
        <f t="shared" si="8"/>
        <v>329.32885718559146</v>
      </c>
      <c r="AD29" s="3">
        <f t="shared" si="9"/>
        <v>82.332214296397865</v>
      </c>
      <c r="AE29" s="23">
        <f t="shared" si="10"/>
        <v>3156.0682146952518</v>
      </c>
      <c r="AF29" s="3">
        <f t="shared" si="11"/>
        <v>2213.2900408608939</v>
      </c>
      <c r="AG29" s="21">
        <f t="shared" si="12"/>
        <v>3156.0682146952518</v>
      </c>
      <c r="AH29" s="3">
        <f>AG29/Quota!$J$2</f>
        <v>105.20227382317506</v>
      </c>
      <c r="AI29">
        <f>CEILING(AG29/(Quota!$J$2*Quota!$K$2),1)</f>
        <v>11</v>
      </c>
      <c r="AJ29" s="26">
        <v>3.56</v>
      </c>
      <c r="AK29" s="26">
        <v>2</v>
      </c>
      <c r="AL29" s="26" t="s">
        <v>147</v>
      </c>
      <c r="AM29" s="27">
        <f t="shared" si="51"/>
        <v>82.332214296397865</v>
      </c>
      <c r="AN29" s="27">
        <f t="shared" si="52"/>
        <v>12.349832144459679</v>
      </c>
      <c r="AO29" s="27">
        <f t="shared" si="53"/>
        <v>7.2040687509348125</v>
      </c>
      <c r="AP29" s="27">
        <f t="shared" si="54"/>
        <v>4.1166107148198936</v>
      </c>
      <c r="AQ29" s="27">
        <f t="shared" si="55"/>
        <v>16.466442859279574</v>
      </c>
      <c r="AR29" s="27">
        <f t="shared" si="56"/>
        <v>8.2332214296397872</v>
      </c>
      <c r="AS29" s="28">
        <f t="shared" si="14"/>
        <v>246.99664288919359</v>
      </c>
      <c r="AT29" s="28">
        <f t="shared" si="15"/>
        <v>37.049496433379034</v>
      </c>
      <c r="AU29" s="28">
        <f t="shared" si="16"/>
        <v>21.612206252804437</v>
      </c>
      <c r="AV29" s="28">
        <f t="shared" si="17"/>
        <v>12.349832144459681</v>
      </c>
      <c r="AW29" s="28">
        <f t="shared" si="18"/>
        <v>49.399328577838723</v>
      </c>
      <c r="AX29" s="28">
        <f t="shared" si="19"/>
        <v>24.699664288919362</v>
      </c>
    </row>
    <row r="30" spans="1:50">
      <c r="A30" t="s">
        <v>172</v>
      </c>
      <c r="B30" t="s">
        <v>217</v>
      </c>
      <c r="C30" t="s">
        <v>4</v>
      </c>
      <c r="D30" t="s">
        <v>67</v>
      </c>
      <c r="E30" t="s">
        <v>70</v>
      </c>
      <c r="F30">
        <v>1</v>
      </c>
      <c r="G30">
        <v>3</v>
      </c>
      <c r="H30" t="s">
        <v>156</v>
      </c>
      <c r="I30" t="s">
        <v>10</v>
      </c>
      <c r="J30" t="s">
        <v>144</v>
      </c>
      <c r="K30" t="s">
        <v>151</v>
      </c>
      <c r="L30" t="s">
        <v>10</v>
      </c>
      <c r="M30" t="s">
        <v>144</v>
      </c>
      <c r="N30" s="7" t="s">
        <v>9</v>
      </c>
      <c r="P30" t="s">
        <v>218</v>
      </c>
      <c r="Q30" s="3">
        <v>3676.9900346713807</v>
      </c>
      <c r="R30" s="9">
        <f t="shared" si="0"/>
        <v>735.39800693427617</v>
      </c>
      <c r="S30" s="12">
        <v>1045</v>
      </c>
      <c r="T30" s="15">
        <f t="shared" si="1"/>
        <v>142.0999227828195</v>
      </c>
      <c r="U30" s="15">
        <v>1045</v>
      </c>
      <c r="V30" s="19">
        <f t="shared" si="2"/>
        <v>142.0999227828195</v>
      </c>
      <c r="W30" s="3">
        <f t="shared" si="3"/>
        <v>0</v>
      </c>
      <c r="X30" s="15" t="s">
        <v>162</v>
      </c>
      <c r="Y30" s="3">
        <f t="shared" si="4"/>
        <v>1045</v>
      </c>
      <c r="Z30" s="3">
        <f t="shared" si="5"/>
        <v>220.61940208028284</v>
      </c>
      <c r="AA30" s="3">
        <f t="shared" si="6"/>
        <v>183.84950173356904</v>
      </c>
      <c r="AB30" s="3">
        <f t="shared" si="7"/>
        <v>404.46890381385185</v>
      </c>
      <c r="AC30" s="3">
        <f t="shared" si="8"/>
        <v>125.39999999999999</v>
      </c>
      <c r="AD30" s="3">
        <f t="shared" si="9"/>
        <v>31.349999999999998</v>
      </c>
      <c r="AE30" s="23">
        <f t="shared" si="10"/>
        <v>1201.75</v>
      </c>
      <c r="AF30" s="3">
        <f t="shared" si="11"/>
        <v>448.96048323337556</v>
      </c>
      <c r="AG30" s="21">
        <f t="shared" si="12"/>
        <v>156.75</v>
      </c>
      <c r="AH30" s="3">
        <f>AG30/Quota!$J$2</f>
        <v>5.2249999999999996</v>
      </c>
      <c r="AI30">
        <f>CEILING(AG30/(Quota!$J$2*Quota!$K$2),1)</f>
        <v>1</v>
      </c>
      <c r="AJ30" s="26">
        <v>2.56</v>
      </c>
      <c r="AK30" s="26">
        <v>1</v>
      </c>
      <c r="AL30" s="26" t="s">
        <v>169</v>
      </c>
      <c r="AS30" s="28">
        <f t="shared" si="14"/>
        <v>0</v>
      </c>
      <c r="AT30" s="28">
        <f t="shared" si="15"/>
        <v>0</v>
      </c>
      <c r="AU30" s="28">
        <f t="shared" si="16"/>
        <v>0</v>
      </c>
      <c r="AV30" s="28">
        <f t="shared" si="17"/>
        <v>0</v>
      </c>
      <c r="AW30" s="28">
        <f t="shared" si="18"/>
        <v>0</v>
      </c>
      <c r="AX30" s="28">
        <f t="shared" si="19"/>
        <v>0</v>
      </c>
    </row>
    <row r="31" spans="1:50">
      <c r="A31" t="s">
        <v>141</v>
      </c>
      <c r="B31" t="s">
        <v>219</v>
      </c>
      <c r="C31" t="s">
        <v>2</v>
      </c>
      <c r="D31" t="s">
        <v>29</v>
      </c>
      <c r="E31" t="s">
        <v>32</v>
      </c>
      <c r="F31">
        <v>1</v>
      </c>
      <c r="G31">
        <v>3</v>
      </c>
      <c r="H31" t="s">
        <v>143</v>
      </c>
      <c r="I31" t="s">
        <v>10</v>
      </c>
      <c r="J31" t="s">
        <v>144</v>
      </c>
      <c r="K31" t="s">
        <v>151</v>
      </c>
      <c r="L31" t="s">
        <v>10</v>
      </c>
      <c r="M31" t="s">
        <v>144</v>
      </c>
      <c r="N31" s="7" t="s">
        <v>9</v>
      </c>
      <c r="P31" t="s">
        <v>220</v>
      </c>
      <c r="Q31" s="3">
        <v>40065.230883150827</v>
      </c>
      <c r="R31" s="9">
        <f t="shared" si="0"/>
        <v>8013.0461766301651</v>
      </c>
      <c r="S31" s="11">
        <v>5335.4</v>
      </c>
      <c r="T31" s="11">
        <f t="shared" si="1"/>
        <v>66.583916807575022</v>
      </c>
      <c r="U31" s="16">
        <f>R31*Quota!$I$2/100</f>
        <v>6049.8498633557747</v>
      </c>
      <c r="V31" s="19">
        <f t="shared" si="2"/>
        <v>75.5</v>
      </c>
      <c r="W31" s="3">
        <f t="shared" si="3"/>
        <v>714.44986335577505</v>
      </c>
      <c r="X31" s="16" t="s">
        <v>146</v>
      </c>
      <c r="Y31" s="3">
        <f t="shared" si="4"/>
        <v>6049.8498633557747</v>
      </c>
      <c r="Z31" s="3">
        <f t="shared" si="5"/>
        <v>2403.9138529890497</v>
      </c>
      <c r="AA31" s="3">
        <f t="shared" si="6"/>
        <v>2003.2615441575415</v>
      </c>
      <c r="AB31" s="3">
        <f t="shared" si="7"/>
        <v>4407.1753971465914</v>
      </c>
      <c r="AC31" s="3">
        <f t="shared" si="8"/>
        <v>725.98198360269294</v>
      </c>
      <c r="AD31" s="3">
        <f t="shared" si="9"/>
        <v>181.49549590067323</v>
      </c>
      <c r="AE31" s="23">
        <f t="shared" si="10"/>
        <v>6957.327342859141</v>
      </c>
      <c r="AF31" s="3">
        <f t="shared" si="11"/>
        <v>4891.9646908327168</v>
      </c>
      <c r="AG31" s="21">
        <f t="shared" si="12"/>
        <v>1621.9273428591414</v>
      </c>
      <c r="AH31" s="3">
        <f>AG31/Quota!$J$2</f>
        <v>54.064244761971381</v>
      </c>
      <c r="AI31">
        <f>CEILING(AG31/(Quota!$J$2*Quota!$K$2),1)</f>
        <v>6</v>
      </c>
      <c r="AJ31" s="26">
        <v>3.61</v>
      </c>
      <c r="AK31" s="26">
        <v>2</v>
      </c>
      <c r="AL31" s="26" t="s">
        <v>147</v>
      </c>
      <c r="AM31" s="27">
        <f>Y31*(15*0.0004*5)</f>
        <v>181.49549590067323</v>
      </c>
      <c r="AN31" s="27">
        <f>Y31*(15*0.00006*5)</f>
        <v>27.224324385100985</v>
      </c>
      <c r="AO31" s="27">
        <f>Y31*(0.000035*15*5)</f>
        <v>15.880855891308906</v>
      </c>
      <c r="AP31" s="27">
        <f>Y31*(0.0001*3*5)</f>
        <v>9.0747747950336617</v>
      </c>
      <c r="AQ31" s="27">
        <f>Y31*(0.0002*30)</f>
        <v>36.299099180134647</v>
      </c>
      <c r="AR31" s="27">
        <f>Y31*(0.0001*30)</f>
        <v>18.149549590067323</v>
      </c>
      <c r="AS31" s="28">
        <f t="shared" si="14"/>
        <v>544.48648770201976</v>
      </c>
      <c r="AT31" s="28">
        <f t="shared" si="15"/>
        <v>81.672973155302955</v>
      </c>
      <c r="AU31" s="28">
        <f t="shared" si="16"/>
        <v>47.64256767392672</v>
      </c>
      <c r="AV31" s="28">
        <f t="shared" si="17"/>
        <v>27.224324385100985</v>
      </c>
      <c r="AW31" s="28">
        <f t="shared" si="18"/>
        <v>108.89729754040394</v>
      </c>
      <c r="AX31" s="28">
        <f t="shared" si="19"/>
        <v>54.44864877020197</v>
      </c>
    </row>
    <row r="32" spans="1:50">
      <c r="A32" t="s">
        <v>175</v>
      </c>
      <c r="B32" t="s">
        <v>221</v>
      </c>
      <c r="C32" t="s">
        <v>5</v>
      </c>
      <c r="D32" t="s">
        <v>76</v>
      </c>
      <c r="E32" t="s">
        <v>79</v>
      </c>
      <c r="F32">
        <v>2</v>
      </c>
      <c r="G32">
        <v>10</v>
      </c>
      <c r="H32" t="s">
        <v>143</v>
      </c>
      <c r="I32" t="s">
        <v>160</v>
      </c>
      <c r="J32" t="s">
        <v>144</v>
      </c>
      <c r="K32" t="s">
        <v>151</v>
      </c>
      <c r="L32" t="s">
        <v>160</v>
      </c>
      <c r="M32" t="s">
        <v>144</v>
      </c>
      <c r="N32" s="7" t="s">
        <v>9</v>
      </c>
      <c r="P32" t="s">
        <v>222</v>
      </c>
      <c r="Q32" s="3">
        <v>23286.926195679458</v>
      </c>
      <c r="R32" s="9">
        <f t="shared" ref="R32:R50" si="57">Q32/5</f>
        <v>4657.3852391358914</v>
      </c>
      <c r="S32" s="11">
        <v>2180</v>
      </c>
      <c r="T32" s="11">
        <f t="shared" ref="T32:T50" si="58">S32*100/R32</f>
        <v>46.807379850855256</v>
      </c>
      <c r="U32" s="16">
        <f>R32*Quota!$I$2/100</f>
        <v>3516.3258555475977</v>
      </c>
      <c r="V32" s="19">
        <f t="shared" ref="V32:V50" si="59">U32*100/R32</f>
        <v>75.5</v>
      </c>
      <c r="W32" s="3">
        <f t="shared" ref="W32:W50" si="60">U32-S32</f>
        <v>1336.3258555475977</v>
      </c>
      <c r="X32" s="16" t="s">
        <v>146</v>
      </c>
      <c r="Y32" s="3">
        <f t="shared" ref="Y32:Y50" si="61">U32</f>
        <v>3516.3258555475977</v>
      </c>
      <c r="Z32" s="3">
        <f t="shared" ref="Z32:Z50" si="62">Q32*6%</f>
        <v>1397.2155717407675</v>
      </c>
      <c r="AA32" s="3">
        <f t="shared" ref="AA32:AA50" si="63">Q32*5%</f>
        <v>1164.3463097839729</v>
      </c>
      <c r="AB32" s="3">
        <f t="shared" ref="AB32:AB50" si="64">Z32+AA32</f>
        <v>2561.5618815247403</v>
      </c>
      <c r="AC32" s="3">
        <f t="shared" ref="AC32:AC50" si="65">Y32*12%</f>
        <v>421.95910266571173</v>
      </c>
      <c r="AD32" s="3">
        <f t="shared" ref="AD32:AD50" si="66">Y32*3%</f>
        <v>105.48977566642793</v>
      </c>
      <c r="AE32" s="23">
        <f t="shared" ref="AE32:AE50" si="67">Y32+AC32+AD32</f>
        <v>4043.7747338797371</v>
      </c>
      <c r="AF32" s="3">
        <f t="shared" ref="AF32:AF50" si="68">(AB32*11%)+AB32</f>
        <v>2843.333688492462</v>
      </c>
      <c r="AG32" s="21">
        <f t="shared" ref="AG32:AG50" si="69">AE32-S32</f>
        <v>1863.7747338797371</v>
      </c>
      <c r="AH32" s="3">
        <f>AG32/Quota!$J$2</f>
        <v>62.125824462657903</v>
      </c>
      <c r="AI32">
        <f>CEILING(AG32/(Quota!$J$2*Quota!$K$2),1)</f>
        <v>7</v>
      </c>
      <c r="AJ32" s="26">
        <v>2.2400000000000002</v>
      </c>
      <c r="AK32" s="26">
        <v>1</v>
      </c>
      <c r="AL32" s="26" t="s">
        <v>169</v>
      </c>
      <c r="AS32" s="28">
        <f t="shared" si="14"/>
        <v>0</v>
      </c>
      <c r="AT32" s="28">
        <f t="shared" si="15"/>
        <v>0</v>
      </c>
      <c r="AU32" s="28">
        <f t="shared" si="16"/>
        <v>0</v>
      </c>
      <c r="AV32" s="28">
        <f t="shared" si="17"/>
        <v>0</v>
      </c>
      <c r="AW32" s="28">
        <f t="shared" si="18"/>
        <v>0</v>
      </c>
      <c r="AX32" s="28">
        <f t="shared" si="19"/>
        <v>0</v>
      </c>
    </row>
    <row r="33" spans="1:50">
      <c r="A33" t="s">
        <v>141</v>
      </c>
      <c r="B33" t="s">
        <v>223</v>
      </c>
      <c r="C33" t="s">
        <v>2</v>
      </c>
      <c r="D33" t="s">
        <v>40</v>
      </c>
      <c r="E33" t="s">
        <v>43</v>
      </c>
      <c r="F33">
        <v>1</v>
      </c>
      <c r="G33">
        <v>3</v>
      </c>
      <c r="H33" t="s">
        <v>150</v>
      </c>
      <c r="I33" t="s">
        <v>10</v>
      </c>
      <c r="J33" t="s">
        <v>144</v>
      </c>
      <c r="K33" t="s">
        <v>151</v>
      </c>
      <c r="L33" t="s">
        <v>10</v>
      </c>
      <c r="M33" t="s">
        <v>144</v>
      </c>
      <c r="N33" s="7" t="s">
        <v>10</v>
      </c>
      <c r="P33" t="s">
        <v>224</v>
      </c>
      <c r="Q33" s="3">
        <v>10076.434323313641</v>
      </c>
      <c r="R33" s="9">
        <f t="shared" si="57"/>
        <v>2015.286864662728</v>
      </c>
      <c r="S33" s="11"/>
      <c r="T33" s="11">
        <f t="shared" si="58"/>
        <v>0</v>
      </c>
      <c r="U33" s="3">
        <f>R33*Quota!$H$2/100</f>
        <v>1525.5721565496851</v>
      </c>
      <c r="V33" s="19">
        <f t="shared" si="59"/>
        <v>75.7</v>
      </c>
      <c r="W33" s="3">
        <f t="shared" si="60"/>
        <v>1525.5721565496851</v>
      </c>
      <c r="X33" s="13" t="s">
        <v>153</v>
      </c>
      <c r="Y33" s="3">
        <f t="shared" si="61"/>
        <v>1525.5721565496851</v>
      </c>
      <c r="Z33" s="3">
        <f t="shared" si="62"/>
        <v>604.58605939881841</v>
      </c>
      <c r="AA33" s="3">
        <f t="shared" si="63"/>
        <v>503.82171616568206</v>
      </c>
      <c r="AB33" s="3">
        <f t="shared" si="64"/>
        <v>1108.4077755645005</v>
      </c>
      <c r="AC33" s="3">
        <f t="shared" si="65"/>
        <v>183.06865878596221</v>
      </c>
      <c r="AD33" s="3">
        <f t="shared" si="66"/>
        <v>45.767164696490553</v>
      </c>
      <c r="AE33" s="23">
        <f t="shared" si="67"/>
        <v>1754.4079800321379</v>
      </c>
      <c r="AF33" s="3">
        <f t="shared" si="68"/>
        <v>1230.3326308765957</v>
      </c>
      <c r="AG33" s="21">
        <f t="shared" si="69"/>
        <v>1754.4079800321379</v>
      </c>
      <c r="AH33" s="3">
        <f>AG33/Quota!$J$2</f>
        <v>58.480266001071264</v>
      </c>
      <c r="AI33">
        <f>CEILING(AG33/(Quota!$J$2*Quota!$K$2),1)</f>
        <v>6</v>
      </c>
      <c r="AJ33" s="26">
        <v>3.61</v>
      </c>
      <c r="AK33" s="26">
        <v>2</v>
      </c>
      <c r="AL33" s="26" t="s">
        <v>147</v>
      </c>
      <c r="AM33" s="27">
        <f>Y33*(15*0.0004*5)</f>
        <v>45.767164696490553</v>
      </c>
      <c r="AN33" s="27">
        <f>Y33*(15*0.00006*5)</f>
        <v>6.8650747044735825</v>
      </c>
      <c r="AO33" s="27">
        <f>Y33*(0.000035*15*5)</f>
        <v>4.0046269109429229</v>
      </c>
      <c r="AP33" s="27">
        <f>Y33*(0.0001*3*5)</f>
        <v>2.2883582348245279</v>
      </c>
      <c r="AQ33" s="27">
        <f>Y33*(0.0002*30)</f>
        <v>9.1534329392981117</v>
      </c>
      <c r="AR33" s="27">
        <f>Y33*(0.0001*30)</f>
        <v>4.5767164696490559</v>
      </c>
      <c r="AS33" s="28">
        <f t="shared" si="14"/>
        <v>137.30149408947165</v>
      </c>
      <c r="AT33" s="28">
        <f t="shared" si="15"/>
        <v>20.595224113420748</v>
      </c>
      <c r="AU33" s="28">
        <f t="shared" si="16"/>
        <v>12.013880732828769</v>
      </c>
      <c r="AV33" s="28">
        <f t="shared" si="17"/>
        <v>6.8650747044735834</v>
      </c>
      <c r="AW33" s="28">
        <f t="shared" si="18"/>
        <v>27.460298817894333</v>
      </c>
      <c r="AX33" s="28">
        <f t="shared" si="19"/>
        <v>13.730149408947167</v>
      </c>
    </row>
    <row r="34" spans="1:50">
      <c r="A34" t="s">
        <v>204</v>
      </c>
      <c r="B34" t="s">
        <v>225</v>
      </c>
      <c r="C34" t="s">
        <v>2</v>
      </c>
      <c r="D34" t="s">
        <v>19</v>
      </c>
      <c r="E34" t="s">
        <v>22</v>
      </c>
      <c r="F34">
        <v>2</v>
      </c>
      <c r="G34">
        <v>9</v>
      </c>
      <c r="H34" t="s">
        <v>143</v>
      </c>
      <c r="I34" t="s">
        <v>160</v>
      </c>
      <c r="J34" t="s">
        <v>144</v>
      </c>
      <c r="K34" t="s">
        <v>226</v>
      </c>
      <c r="L34" t="s">
        <v>160</v>
      </c>
      <c r="M34" t="s">
        <v>144</v>
      </c>
      <c r="N34" s="7" t="s">
        <v>10</v>
      </c>
      <c r="P34" t="s">
        <v>227</v>
      </c>
      <c r="Q34" s="3">
        <v>20400.489936393496</v>
      </c>
      <c r="R34" s="9">
        <f t="shared" si="57"/>
        <v>4080.0979872786993</v>
      </c>
      <c r="S34" s="11">
        <v>3767</v>
      </c>
      <c r="T34" s="15">
        <f t="shared" si="58"/>
        <v>92.326214020964571</v>
      </c>
      <c r="U34" s="15">
        <v>3767</v>
      </c>
      <c r="V34" s="19">
        <f t="shared" si="59"/>
        <v>92.326214020964571</v>
      </c>
      <c r="W34" s="3">
        <f t="shared" si="60"/>
        <v>0</v>
      </c>
      <c r="X34" s="15" t="s">
        <v>162</v>
      </c>
      <c r="Y34" s="3">
        <f t="shared" si="61"/>
        <v>3767</v>
      </c>
      <c r="Z34" s="3">
        <f t="shared" si="62"/>
        <v>1224.0293961836098</v>
      </c>
      <c r="AA34" s="3">
        <f t="shared" si="63"/>
        <v>1020.0244968196748</v>
      </c>
      <c r="AB34" s="3">
        <f t="shared" si="64"/>
        <v>2244.0538930032844</v>
      </c>
      <c r="AC34" s="3">
        <f t="shared" si="65"/>
        <v>452.03999999999996</v>
      </c>
      <c r="AD34" s="3">
        <f t="shared" si="66"/>
        <v>113.00999999999999</v>
      </c>
      <c r="AE34" s="23">
        <f t="shared" si="67"/>
        <v>4332.05</v>
      </c>
      <c r="AF34" s="3">
        <f t="shared" si="68"/>
        <v>2490.8998212336455</v>
      </c>
      <c r="AG34" s="21">
        <f t="shared" si="69"/>
        <v>565.05000000000018</v>
      </c>
      <c r="AH34" s="3">
        <f>AG34/Quota!$J$2</f>
        <v>18.835000000000004</v>
      </c>
      <c r="AI34">
        <f>CEILING(AG34/(Quota!$J$2*Quota!$K$2),1)</f>
        <v>2</v>
      </c>
      <c r="AJ34" s="26">
        <v>4.5199999999999996</v>
      </c>
      <c r="AK34" s="26">
        <v>3</v>
      </c>
      <c r="AL34" s="26" t="s">
        <v>154</v>
      </c>
      <c r="AS34" s="28">
        <f t="shared" si="14"/>
        <v>0</v>
      </c>
      <c r="AT34" s="28">
        <f t="shared" si="15"/>
        <v>0</v>
      </c>
      <c r="AU34" s="28">
        <f t="shared" si="16"/>
        <v>0</v>
      </c>
      <c r="AV34" s="28">
        <f t="shared" si="17"/>
        <v>0</v>
      </c>
      <c r="AW34" s="28">
        <f t="shared" si="18"/>
        <v>0</v>
      </c>
      <c r="AX34" s="28">
        <f t="shared" si="19"/>
        <v>0</v>
      </c>
    </row>
    <row r="35" spans="1:50">
      <c r="A35" t="s">
        <v>165</v>
      </c>
      <c r="B35" t="s">
        <v>228</v>
      </c>
      <c r="C35" t="s">
        <v>4</v>
      </c>
      <c r="D35" t="s">
        <v>59</v>
      </c>
      <c r="E35" t="s">
        <v>61</v>
      </c>
      <c r="F35">
        <v>2</v>
      </c>
      <c r="G35">
        <v>17</v>
      </c>
      <c r="H35" t="s">
        <v>167</v>
      </c>
      <c r="I35" t="s">
        <v>160</v>
      </c>
      <c r="J35" t="s">
        <v>144</v>
      </c>
      <c r="K35" t="s">
        <v>150</v>
      </c>
      <c r="L35" t="s">
        <v>160</v>
      </c>
      <c r="M35" t="s">
        <v>144</v>
      </c>
      <c r="N35" s="7" t="s">
        <v>9</v>
      </c>
      <c r="P35" t="s">
        <v>229</v>
      </c>
      <c r="Q35" s="3">
        <v>4370.1734136798796</v>
      </c>
      <c r="R35" s="9">
        <f t="shared" si="57"/>
        <v>874.03468273597593</v>
      </c>
      <c r="S35" s="11">
        <v>719.96968318999996</v>
      </c>
      <c r="T35" s="15">
        <f t="shared" si="58"/>
        <v>82.373125164357447</v>
      </c>
      <c r="U35" s="15">
        <v>719.96968318999996</v>
      </c>
      <c r="V35" s="19">
        <f t="shared" si="59"/>
        <v>82.373125164357447</v>
      </c>
      <c r="W35" s="3">
        <f t="shared" si="60"/>
        <v>0</v>
      </c>
      <c r="X35" s="15" t="s">
        <v>162</v>
      </c>
      <c r="Y35" s="3">
        <f t="shared" si="61"/>
        <v>719.96968318999996</v>
      </c>
      <c r="Z35" s="3">
        <f t="shared" si="62"/>
        <v>262.21040482079275</v>
      </c>
      <c r="AA35" s="3">
        <f t="shared" si="63"/>
        <v>218.50867068399398</v>
      </c>
      <c r="AB35" s="3">
        <f t="shared" si="64"/>
        <v>480.7190755047867</v>
      </c>
      <c r="AC35" s="3">
        <f t="shared" si="65"/>
        <v>86.396361982799988</v>
      </c>
      <c r="AD35" s="3">
        <f t="shared" si="66"/>
        <v>21.599090495699997</v>
      </c>
      <c r="AE35" s="23">
        <f t="shared" si="67"/>
        <v>827.9651356684999</v>
      </c>
      <c r="AF35" s="3">
        <f t="shared" si="68"/>
        <v>533.59817381031326</v>
      </c>
      <c r="AG35" s="21">
        <f t="shared" si="69"/>
        <v>107.99545247849994</v>
      </c>
      <c r="AH35" s="3">
        <f>AG35/Quota!$J$2</f>
        <v>3.5998484159499982</v>
      </c>
      <c r="AI35">
        <f>CEILING(AG35/(Quota!$J$2*Quota!$K$2),1)</f>
        <v>1</v>
      </c>
      <c r="AJ35" s="26">
        <v>7.07</v>
      </c>
      <c r="AK35" s="26">
        <v>4</v>
      </c>
      <c r="AL35" s="26" t="s">
        <v>154</v>
      </c>
      <c r="AS35" s="28">
        <f t="shared" si="14"/>
        <v>0</v>
      </c>
      <c r="AT35" s="28">
        <f t="shared" si="15"/>
        <v>0</v>
      </c>
      <c r="AU35" s="28">
        <f t="shared" si="16"/>
        <v>0</v>
      </c>
      <c r="AV35" s="28">
        <f t="shared" si="17"/>
        <v>0</v>
      </c>
      <c r="AW35" s="28">
        <f t="shared" si="18"/>
        <v>0</v>
      </c>
      <c r="AX35" s="28">
        <f t="shared" si="19"/>
        <v>0</v>
      </c>
    </row>
    <row r="36" spans="1:50">
      <c r="A36" t="s">
        <v>148</v>
      </c>
      <c r="B36" t="s">
        <v>230</v>
      </c>
      <c r="C36" t="s">
        <v>4</v>
      </c>
      <c r="D36" t="s">
        <v>72</v>
      </c>
      <c r="E36" t="s">
        <v>75</v>
      </c>
      <c r="F36">
        <v>1</v>
      </c>
      <c r="G36">
        <v>1</v>
      </c>
      <c r="H36" t="s">
        <v>143</v>
      </c>
      <c r="I36" t="s">
        <v>10</v>
      </c>
      <c r="J36" t="s">
        <v>144</v>
      </c>
      <c r="K36" t="s">
        <v>151</v>
      </c>
      <c r="L36" t="s">
        <v>10</v>
      </c>
      <c r="M36" t="s">
        <v>144</v>
      </c>
      <c r="N36" s="7" t="s">
        <v>9</v>
      </c>
      <c r="P36" t="s">
        <v>231</v>
      </c>
      <c r="Q36" s="3">
        <v>10081.624993775788</v>
      </c>
      <c r="R36" s="9">
        <f t="shared" si="57"/>
        <v>2016.3249987551576</v>
      </c>
      <c r="S36" s="17">
        <v>1537.2898866999999</v>
      </c>
      <c r="T36" s="17">
        <f t="shared" si="58"/>
        <v>76.242167688695758</v>
      </c>
      <c r="U36" s="17">
        <v>1537.2898866999999</v>
      </c>
      <c r="V36" s="19">
        <f t="shared" si="59"/>
        <v>76.242167688695758</v>
      </c>
      <c r="W36" s="3">
        <f t="shared" si="60"/>
        <v>0</v>
      </c>
      <c r="X36" s="15" t="s">
        <v>162</v>
      </c>
      <c r="Y36" s="3">
        <f t="shared" si="61"/>
        <v>1537.2898866999999</v>
      </c>
      <c r="Z36" s="3">
        <f t="shared" si="62"/>
        <v>604.89749962654719</v>
      </c>
      <c r="AA36" s="3">
        <f t="shared" si="63"/>
        <v>504.0812496887894</v>
      </c>
      <c r="AB36" s="3">
        <f t="shared" si="64"/>
        <v>1108.9787493153367</v>
      </c>
      <c r="AC36" s="3">
        <f t="shared" si="65"/>
        <v>184.47478640399999</v>
      </c>
      <c r="AD36" s="3">
        <f t="shared" si="66"/>
        <v>46.118696600999996</v>
      </c>
      <c r="AE36" s="23">
        <f t="shared" si="67"/>
        <v>1767.883369705</v>
      </c>
      <c r="AF36" s="3">
        <f t="shared" si="68"/>
        <v>1230.9664117400237</v>
      </c>
      <c r="AG36" s="21">
        <f t="shared" si="69"/>
        <v>230.59348300500005</v>
      </c>
      <c r="AH36" s="3">
        <f>AG36/Quota!$J$2</f>
        <v>7.6864494335000018</v>
      </c>
      <c r="AI36">
        <f>CEILING(AG36/(Quota!$J$2*Quota!$K$2),1)</f>
        <v>1</v>
      </c>
      <c r="AJ36" s="26">
        <v>3.12</v>
      </c>
      <c r="AK36" s="26">
        <v>1</v>
      </c>
      <c r="AL36" s="26" t="s">
        <v>169</v>
      </c>
      <c r="AS36" s="28">
        <f t="shared" si="14"/>
        <v>0</v>
      </c>
      <c r="AT36" s="28">
        <f t="shared" si="15"/>
        <v>0</v>
      </c>
      <c r="AU36" s="28">
        <f t="shared" si="16"/>
        <v>0</v>
      </c>
      <c r="AV36" s="28">
        <f t="shared" si="17"/>
        <v>0</v>
      </c>
      <c r="AW36" s="28">
        <f t="shared" si="18"/>
        <v>0</v>
      </c>
      <c r="AX36" s="28">
        <f t="shared" si="19"/>
        <v>0</v>
      </c>
    </row>
    <row r="37" spans="1:50">
      <c r="A37" t="s">
        <v>165</v>
      </c>
      <c r="B37" t="s">
        <v>232</v>
      </c>
      <c r="C37" t="s">
        <v>4</v>
      </c>
      <c r="D37" t="s">
        <v>59</v>
      </c>
      <c r="E37" t="s">
        <v>62</v>
      </c>
      <c r="F37">
        <v>2</v>
      </c>
      <c r="G37">
        <v>13</v>
      </c>
      <c r="H37" t="s">
        <v>167</v>
      </c>
      <c r="I37" t="s">
        <v>160</v>
      </c>
      <c r="J37" t="s">
        <v>144</v>
      </c>
      <c r="K37" t="s">
        <v>233</v>
      </c>
      <c r="L37" t="s">
        <v>160</v>
      </c>
      <c r="M37" t="s">
        <v>144</v>
      </c>
      <c r="N37" s="7" t="s">
        <v>9</v>
      </c>
      <c r="O37" t="s">
        <v>234</v>
      </c>
      <c r="P37" t="s">
        <v>235</v>
      </c>
      <c r="Q37" s="3">
        <v>10560.852656658897</v>
      </c>
      <c r="R37" s="9">
        <f t="shared" si="57"/>
        <v>2112.1705313317793</v>
      </c>
      <c r="S37" s="11">
        <v>1836.3148206000001</v>
      </c>
      <c r="T37" s="15">
        <f t="shared" si="58"/>
        <v>86.939704600563431</v>
      </c>
      <c r="U37" s="15">
        <v>1836.3148206000001</v>
      </c>
      <c r="V37" s="19">
        <f t="shared" si="59"/>
        <v>86.939704600563431</v>
      </c>
      <c r="W37" s="3">
        <f t="shared" si="60"/>
        <v>0</v>
      </c>
      <c r="X37" s="15" t="s">
        <v>162</v>
      </c>
      <c r="Y37" s="3">
        <f t="shared" si="61"/>
        <v>1836.3148206000001</v>
      </c>
      <c r="Z37" s="3">
        <f t="shared" si="62"/>
        <v>633.65115939953375</v>
      </c>
      <c r="AA37" s="3">
        <f t="shared" si="63"/>
        <v>528.04263283294483</v>
      </c>
      <c r="AB37" s="3">
        <f t="shared" si="64"/>
        <v>1161.6937922324787</v>
      </c>
      <c r="AC37" s="3">
        <f t="shared" si="65"/>
        <v>220.35777847200001</v>
      </c>
      <c r="AD37" s="3">
        <f t="shared" si="66"/>
        <v>55.089444618000002</v>
      </c>
      <c r="AE37" s="23">
        <f t="shared" si="67"/>
        <v>2111.7620436900002</v>
      </c>
      <c r="AF37" s="3">
        <f t="shared" si="68"/>
        <v>1289.4801093780513</v>
      </c>
      <c r="AG37" s="21">
        <f t="shared" si="69"/>
        <v>275.44722309000008</v>
      </c>
      <c r="AH37" s="3">
        <f>AG37/Quota!$J$2</f>
        <v>9.1815741030000027</v>
      </c>
      <c r="AI37">
        <f>CEILING(AG37/(Quota!$J$2*Quota!$K$2),1)</f>
        <v>1</v>
      </c>
      <c r="AJ37" s="26">
        <v>3.59</v>
      </c>
      <c r="AK37" s="26">
        <v>2</v>
      </c>
      <c r="AL37" s="26" t="s">
        <v>147</v>
      </c>
      <c r="AM37" s="27">
        <f>Y37*(15*0.0004*5)</f>
        <v>55.089444618000002</v>
      </c>
      <c r="AN37" s="27">
        <f>Y37*(15*0.00006*5)</f>
        <v>8.2634166926999999</v>
      </c>
      <c r="AO37" s="27">
        <f>Y37*(0.000035*15*5)</f>
        <v>4.8203264040749998</v>
      </c>
      <c r="AP37" s="27">
        <f>Y37*(0.0001*3*5)</f>
        <v>2.7544722309000003</v>
      </c>
      <c r="AQ37" s="27">
        <f>Y37*(0.0002*30)</f>
        <v>11.017888923600001</v>
      </c>
      <c r="AR37" s="27">
        <f>Y37*(0.0001*30)</f>
        <v>5.5089444618000005</v>
      </c>
      <c r="AS37" s="28">
        <f t="shared" si="14"/>
        <v>165.26833385399999</v>
      </c>
      <c r="AT37" s="28">
        <f t="shared" si="15"/>
        <v>24.790250078100001</v>
      </c>
      <c r="AU37" s="28">
        <f t="shared" si="16"/>
        <v>14.460979212224998</v>
      </c>
      <c r="AV37" s="28">
        <f t="shared" si="17"/>
        <v>8.2634166927000017</v>
      </c>
      <c r="AW37" s="28">
        <f t="shared" si="18"/>
        <v>33.053666770800007</v>
      </c>
      <c r="AX37" s="28">
        <f t="shared" si="19"/>
        <v>16.526833385400003</v>
      </c>
    </row>
    <row r="38" spans="1:50">
      <c r="A38" t="s">
        <v>172</v>
      </c>
      <c r="B38" t="s">
        <v>236</v>
      </c>
      <c r="C38" t="s">
        <v>4</v>
      </c>
      <c r="D38" t="s">
        <v>54</v>
      </c>
      <c r="E38" t="s">
        <v>56</v>
      </c>
      <c r="F38">
        <v>2</v>
      </c>
      <c r="G38">
        <v>18</v>
      </c>
      <c r="H38" t="s">
        <v>167</v>
      </c>
      <c r="I38" t="s">
        <v>160</v>
      </c>
      <c r="J38" t="s">
        <v>144</v>
      </c>
      <c r="K38" t="s">
        <v>150</v>
      </c>
      <c r="L38" t="s">
        <v>160</v>
      </c>
      <c r="M38" t="s">
        <v>144</v>
      </c>
      <c r="N38" s="7" t="s">
        <v>9</v>
      </c>
      <c r="P38" t="s">
        <v>237</v>
      </c>
      <c r="Q38" s="3">
        <v>5423.1405534194337</v>
      </c>
      <c r="R38" s="9">
        <f t="shared" si="57"/>
        <v>1084.6281106838867</v>
      </c>
      <c r="S38" s="11">
        <v>677.43656840000006</v>
      </c>
      <c r="T38" s="11">
        <f t="shared" si="58"/>
        <v>62.457957868421687</v>
      </c>
      <c r="U38" s="16">
        <f>R38*Quota!$I$2/100</f>
        <v>818.8942235663344</v>
      </c>
      <c r="V38" s="19">
        <f t="shared" si="59"/>
        <v>75.5</v>
      </c>
      <c r="W38" s="3">
        <f t="shared" si="60"/>
        <v>141.45765516633435</v>
      </c>
      <c r="X38" s="16" t="s">
        <v>146</v>
      </c>
      <c r="Y38" s="3">
        <f t="shared" si="61"/>
        <v>818.8942235663344</v>
      </c>
      <c r="Z38" s="3">
        <f t="shared" si="62"/>
        <v>325.388433205166</v>
      </c>
      <c r="AA38" s="3">
        <f t="shared" si="63"/>
        <v>271.15702767097167</v>
      </c>
      <c r="AB38" s="3">
        <f t="shared" si="64"/>
        <v>596.54546087613767</v>
      </c>
      <c r="AC38" s="3">
        <f t="shared" si="65"/>
        <v>98.267306827960127</v>
      </c>
      <c r="AD38" s="3">
        <f t="shared" si="66"/>
        <v>24.566826706990032</v>
      </c>
      <c r="AE38" s="23">
        <f t="shared" si="67"/>
        <v>941.72835710128459</v>
      </c>
      <c r="AF38" s="3">
        <f t="shared" si="68"/>
        <v>662.16546157251287</v>
      </c>
      <c r="AG38" s="21">
        <f t="shared" si="69"/>
        <v>264.29178870128453</v>
      </c>
      <c r="AH38" s="3">
        <f>AG38/Quota!$J$2</f>
        <v>8.8097262900428177</v>
      </c>
      <c r="AI38">
        <f>CEILING(AG38/(Quota!$J$2*Quota!$K$2),1)</f>
        <v>1</v>
      </c>
      <c r="AJ38" s="26">
        <v>4.38</v>
      </c>
      <c r="AK38" s="26">
        <v>3</v>
      </c>
      <c r="AL38" s="26" t="s">
        <v>169</v>
      </c>
      <c r="AS38" s="28">
        <f t="shared" si="14"/>
        <v>0</v>
      </c>
      <c r="AT38" s="28">
        <f t="shared" si="15"/>
        <v>0</v>
      </c>
      <c r="AU38" s="28">
        <f t="shared" si="16"/>
        <v>0</v>
      </c>
      <c r="AV38" s="28">
        <f t="shared" si="17"/>
        <v>0</v>
      </c>
      <c r="AW38" s="28">
        <f t="shared" si="18"/>
        <v>0</v>
      </c>
      <c r="AX38" s="28">
        <f t="shared" si="19"/>
        <v>0</v>
      </c>
    </row>
    <row r="39" spans="1:50">
      <c r="A39" t="s">
        <v>172</v>
      </c>
      <c r="B39" t="s">
        <v>238</v>
      </c>
      <c r="C39" t="s">
        <v>4</v>
      </c>
      <c r="D39" t="s">
        <v>54</v>
      </c>
      <c r="E39" t="s">
        <v>57</v>
      </c>
      <c r="F39">
        <v>2</v>
      </c>
      <c r="G39">
        <v>20</v>
      </c>
      <c r="H39" t="s">
        <v>167</v>
      </c>
      <c r="I39" t="s">
        <v>160</v>
      </c>
      <c r="J39" t="s">
        <v>144</v>
      </c>
      <c r="K39" t="s">
        <v>167</v>
      </c>
      <c r="L39" t="s">
        <v>160</v>
      </c>
      <c r="M39" t="s">
        <v>144</v>
      </c>
      <c r="N39" s="7" t="s">
        <v>10</v>
      </c>
      <c r="P39" t="s">
        <v>239</v>
      </c>
      <c r="Q39" s="3">
        <v>8950.2206877862081</v>
      </c>
      <c r="R39" s="9">
        <f t="shared" si="57"/>
        <v>1790.0441375572416</v>
      </c>
      <c r="S39" s="11">
        <v>1504.5376690999999</v>
      </c>
      <c r="T39" s="15">
        <f t="shared" si="58"/>
        <v>84.050311248366526</v>
      </c>
      <c r="U39" s="15">
        <v>1504.5376690999999</v>
      </c>
      <c r="V39" s="19">
        <f t="shared" si="59"/>
        <v>84.050311248366526</v>
      </c>
      <c r="W39" s="3">
        <f t="shared" si="60"/>
        <v>0</v>
      </c>
      <c r="X39" s="15" t="s">
        <v>162</v>
      </c>
      <c r="Y39" s="3">
        <f t="shared" si="61"/>
        <v>1504.5376690999999</v>
      </c>
      <c r="Z39" s="3">
        <f t="shared" si="62"/>
        <v>537.01324126717248</v>
      </c>
      <c r="AA39" s="3">
        <f t="shared" si="63"/>
        <v>447.51103438931045</v>
      </c>
      <c r="AB39" s="3">
        <f t="shared" si="64"/>
        <v>984.52427565648293</v>
      </c>
      <c r="AC39" s="3">
        <f t="shared" si="65"/>
        <v>180.54452029199999</v>
      </c>
      <c r="AD39" s="3">
        <f t="shared" si="66"/>
        <v>45.136130072999997</v>
      </c>
      <c r="AE39" s="23">
        <f t="shared" si="67"/>
        <v>1730.2183194649999</v>
      </c>
      <c r="AF39" s="3">
        <f t="shared" si="68"/>
        <v>1092.821945978696</v>
      </c>
      <c r="AG39" s="21">
        <f t="shared" si="69"/>
        <v>225.68065036500002</v>
      </c>
      <c r="AH39" s="3">
        <f>AG39/Quota!$J$2</f>
        <v>7.5226883455000007</v>
      </c>
      <c r="AI39">
        <f>CEILING(AG39/(Quota!$J$2*Quota!$K$2),1)</f>
        <v>1</v>
      </c>
      <c r="AJ39" s="26">
        <v>3.99</v>
      </c>
      <c r="AK39" s="26">
        <v>2</v>
      </c>
      <c r="AL39" s="26" t="s">
        <v>147</v>
      </c>
      <c r="AM39" s="27">
        <f>Y39*(15*0.0004*5)</f>
        <v>45.136130072999997</v>
      </c>
      <c r="AN39" s="27">
        <f>Y39*(15*0.00006*5)</f>
        <v>6.7704195109499992</v>
      </c>
      <c r="AO39" s="27">
        <f>Y39*(0.000035*15*5)</f>
        <v>3.9494113813874994</v>
      </c>
      <c r="AP39" s="27">
        <f>Y39*(0.0001*3*5)</f>
        <v>2.25680650365</v>
      </c>
      <c r="AQ39" s="27">
        <f>Y39*(0.0002*30)</f>
        <v>9.0272260146000001</v>
      </c>
      <c r="AR39" s="27">
        <f>Y39*(0.0001*30)</f>
        <v>4.5136130073</v>
      </c>
      <c r="AS39" s="28">
        <f t="shared" si="14"/>
        <v>135.40839021899998</v>
      </c>
      <c r="AT39" s="28">
        <f t="shared" si="15"/>
        <v>20.311258532849997</v>
      </c>
      <c r="AU39" s="28">
        <f t="shared" si="16"/>
        <v>11.848234144162499</v>
      </c>
      <c r="AV39" s="28">
        <f t="shared" si="17"/>
        <v>6.7704195109500001</v>
      </c>
      <c r="AW39" s="28">
        <f t="shared" si="18"/>
        <v>27.0816780438</v>
      </c>
      <c r="AX39" s="28">
        <f t="shared" si="19"/>
        <v>13.5408390219</v>
      </c>
    </row>
    <row r="40" spans="1:50">
      <c r="A40" t="s">
        <v>141</v>
      </c>
      <c r="B40" t="s">
        <v>240</v>
      </c>
      <c r="C40" t="s">
        <v>2</v>
      </c>
      <c r="D40" t="s">
        <v>24</v>
      </c>
      <c r="E40" t="s">
        <v>27</v>
      </c>
      <c r="F40">
        <v>1</v>
      </c>
      <c r="G40">
        <v>5</v>
      </c>
      <c r="H40" t="s">
        <v>241</v>
      </c>
      <c r="I40" t="s">
        <v>10</v>
      </c>
      <c r="J40" t="s">
        <v>144</v>
      </c>
      <c r="K40" t="s">
        <v>151</v>
      </c>
      <c r="L40" t="s">
        <v>10</v>
      </c>
      <c r="M40" t="s">
        <v>144</v>
      </c>
      <c r="N40" s="7" t="s">
        <v>10</v>
      </c>
      <c r="P40" t="s">
        <v>242</v>
      </c>
      <c r="Q40" s="3">
        <v>16818.456406547753</v>
      </c>
      <c r="R40" s="9">
        <f t="shared" si="57"/>
        <v>3363.6912813095505</v>
      </c>
      <c r="S40" s="17">
        <v>2517</v>
      </c>
      <c r="T40" s="17">
        <f t="shared" si="58"/>
        <v>74.828508013972169</v>
      </c>
      <c r="U40" s="17">
        <v>2517</v>
      </c>
      <c r="V40" s="19">
        <f t="shared" si="59"/>
        <v>74.828508013972169</v>
      </c>
      <c r="W40" s="3">
        <f t="shared" si="60"/>
        <v>0</v>
      </c>
      <c r="X40" s="15" t="s">
        <v>162</v>
      </c>
      <c r="Y40" s="3">
        <f t="shared" si="61"/>
        <v>2517</v>
      </c>
      <c r="Z40" s="3">
        <f t="shared" si="62"/>
        <v>1009.1073843928651</v>
      </c>
      <c r="AA40" s="3">
        <f t="shared" si="63"/>
        <v>840.92282032738774</v>
      </c>
      <c r="AB40" s="3">
        <f t="shared" si="64"/>
        <v>1850.0302047202529</v>
      </c>
      <c r="AC40" s="3">
        <f t="shared" si="65"/>
        <v>302.03999999999996</v>
      </c>
      <c r="AD40" s="3">
        <f t="shared" si="66"/>
        <v>75.509999999999991</v>
      </c>
      <c r="AE40" s="23">
        <f t="shared" si="67"/>
        <v>2894.55</v>
      </c>
      <c r="AF40" s="3">
        <f t="shared" si="68"/>
        <v>2053.5335272394805</v>
      </c>
      <c r="AG40" s="21">
        <f t="shared" si="69"/>
        <v>377.55000000000018</v>
      </c>
      <c r="AH40" s="3">
        <f>AG40/Quota!$J$2</f>
        <v>12.585000000000006</v>
      </c>
      <c r="AI40">
        <f>CEILING(AG40/(Quota!$J$2*Quota!$K$2),1)</f>
        <v>2</v>
      </c>
      <c r="AJ40" s="26">
        <v>4.55</v>
      </c>
      <c r="AK40" s="26">
        <v>3</v>
      </c>
      <c r="AL40" s="26" t="s">
        <v>154</v>
      </c>
      <c r="AS40" s="28">
        <f t="shared" si="14"/>
        <v>0</v>
      </c>
      <c r="AT40" s="28">
        <f t="shared" si="15"/>
        <v>0</v>
      </c>
      <c r="AU40" s="28">
        <f t="shared" si="16"/>
        <v>0</v>
      </c>
      <c r="AV40" s="28">
        <f t="shared" si="17"/>
        <v>0</v>
      </c>
      <c r="AW40" s="28">
        <f t="shared" si="18"/>
        <v>0</v>
      </c>
      <c r="AX40" s="28">
        <f t="shared" si="19"/>
        <v>0</v>
      </c>
    </row>
    <row r="41" spans="1:50">
      <c r="A41" t="s">
        <v>175</v>
      </c>
      <c r="B41" t="s">
        <v>243</v>
      </c>
      <c r="C41" t="s">
        <v>5</v>
      </c>
      <c r="D41" t="s">
        <v>76</v>
      </c>
      <c r="E41" t="s">
        <v>80</v>
      </c>
      <c r="F41">
        <v>2</v>
      </c>
      <c r="G41">
        <v>12</v>
      </c>
      <c r="H41" t="s">
        <v>143</v>
      </c>
      <c r="I41" t="s">
        <v>160</v>
      </c>
      <c r="J41" t="s">
        <v>144</v>
      </c>
      <c r="K41" t="s">
        <v>151</v>
      </c>
      <c r="L41" t="s">
        <v>160</v>
      </c>
      <c r="M41" t="s">
        <v>144</v>
      </c>
      <c r="N41" s="7" t="s">
        <v>9</v>
      </c>
      <c r="P41" t="s">
        <v>244</v>
      </c>
      <c r="Q41" s="3">
        <v>10582.870419620664</v>
      </c>
      <c r="R41" s="9">
        <f t="shared" si="57"/>
        <v>2116.5740839241325</v>
      </c>
      <c r="S41" s="11">
        <v>1290.8666667</v>
      </c>
      <c r="T41" s="11">
        <f t="shared" si="58"/>
        <v>60.988494402555034</v>
      </c>
      <c r="U41" s="16">
        <f>R41*Quota!$I$2/100</f>
        <v>1598.01343336272</v>
      </c>
      <c r="V41" s="19">
        <f t="shared" si="59"/>
        <v>75.5</v>
      </c>
      <c r="W41" s="3">
        <f t="shared" si="60"/>
        <v>307.14676666271998</v>
      </c>
      <c r="X41" s="16" t="s">
        <v>146</v>
      </c>
      <c r="Y41" s="3">
        <f t="shared" si="61"/>
        <v>1598.01343336272</v>
      </c>
      <c r="Z41" s="3">
        <f t="shared" si="62"/>
        <v>634.97222517723981</v>
      </c>
      <c r="AA41" s="3">
        <f t="shared" si="63"/>
        <v>529.14352098103325</v>
      </c>
      <c r="AB41" s="3">
        <f t="shared" si="64"/>
        <v>1164.1157461582729</v>
      </c>
      <c r="AC41" s="3">
        <f t="shared" si="65"/>
        <v>191.76161200352638</v>
      </c>
      <c r="AD41" s="3">
        <f t="shared" si="66"/>
        <v>47.940403000881595</v>
      </c>
      <c r="AE41" s="23">
        <f t="shared" si="67"/>
        <v>1837.7154483671279</v>
      </c>
      <c r="AF41" s="3">
        <f t="shared" si="68"/>
        <v>1292.1684782356829</v>
      </c>
      <c r="AG41" s="21">
        <f t="shared" si="69"/>
        <v>546.84878166712792</v>
      </c>
      <c r="AH41" s="3">
        <f>AG41/Quota!$J$2</f>
        <v>18.228292722237597</v>
      </c>
      <c r="AI41">
        <f>CEILING(AG41/(Quota!$J$2*Quota!$K$2),1)</f>
        <v>2</v>
      </c>
      <c r="AJ41" s="26">
        <v>4.72</v>
      </c>
      <c r="AK41" s="26">
        <v>3</v>
      </c>
      <c r="AL41" s="26" t="s">
        <v>154</v>
      </c>
      <c r="AS41" s="28">
        <f t="shared" si="14"/>
        <v>0</v>
      </c>
      <c r="AT41" s="28">
        <f t="shared" si="15"/>
        <v>0</v>
      </c>
      <c r="AU41" s="28">
        <f t="shared" si="16"/>
        <v>0</v>
      </c>
      <c r="AV41" s="28">
        <f t="shared" si="17"/>
        <v>0</v>
      </c>
      <c r="AW41" s="28">
        <f t="shared" si="18"/>
        <v>0</v>
      </c>
      <c r="AX41" s="28">
        <f t="shared" si="19"/>
        <v>0</v>
      </c>
    </row>
    <row r="42" spans="1:50">
      <c r="A42" t="s">
        <v>204</v>
      </c>
      <c r="B42" t="s">
        <v>245</v>
      </c>
      <c r="C42" t="s">
        <v>2</v>
      </c>
      <c r="D42" t="s">
        <v>19</v>
      </c>
      <c r="E42" t="s">
        <v>23</v>
      </c>
      <c r="F42">
        <v>1</v>
      </c>
      <c r="G42">
        <v>5</v>
      </c>
      <c r="H42" t="s">
        <v>143</v>
      </c>
      <c r="I42" t="s">
        <v>10</v>
      </c>
      <c r="J42" t="s">
        <v>144</v>
      </c>
      <c r="K42" t="s">
        <v>151</v>
      </c>
      <c r="L42" t="s">
        <v>10</v>
      </c>
      <c r="M42" t="s">
        <v>144</v>
      </c>
      <c r="N42" s="7" t="s">
        <v>10</v>
      </c>
      <c r="P42" t="s">
        <v>246</v>
      </c>
      <c r="Q42" s="3">
        <v>8321.5737132835366</v>
      </c>
      <c r="R42" s="9">
        <f t="shared" si="57"/>
        <v>1664.3147426567073</v>
      </c>
      <c r="S42" s="12">
        <v>1692.4</v>
      </c>
      <c r="T42" s="15">
        <f t="shared" si="58"/>
        <v>101.68749675908421</v>
      </c>
      <c r="U42" s="15">
        <v>1692.4</v>
      </c>
      <c r="V42" s="19">
        <f t="shared" si="59"/>
        <v>101.68749675908421</v>
      </c>
      <c r="W42" s="3">
        <f t="shared" si="60"/>
        <v>0</v>
      </c>
      <c r="X42" s="15" t="s">
        <v>162</v>
      </c>
      <c r="Y42" s="3">
        <f t="shared" si="61"/>
        <v>1692.4</v>
      </c>
      <c r="Z42" s="3">
        <f t="shared" si="62"/>
        <v>499.2944227970122</v>
      </c>
      <c r="AA42" s="3">
        <f t="shared" si="63"/>
        <v>416.07868566417687</v>
      </c>
      <c r="AB42" s="3">
        <f t="shared" si="64"/>
        <v>915.37310846118908</v>
      </c>
      <c r="AC42" s="3">
        <f t="shared" si="65"/>
        <v>203.08799999999999</v>
      </c>
      <c r="AD42" s="3">
        <f t="shared" si="66"/>
        <v>50.771999999999998</v>
      </c>
      <c r="AE42" s="23">
        <f t="shared" si="67"/>
        <v>1946.26</v>
      </c>
      <c r="AF42" s="3">
        <f t="shared" si="68"/>
        <v>1016.0641503919198</v>
      </c>
      <c r="AG42" s="21">
        <f t="shared" si="69"/>
        <v>253.8599999999999</v>
      </c>
      <c r="AH42" s="3">
        <f>AG42/Quota!$J$2</f>
        <v>8.4619999999999962</v>
      </c>
      <c r="AI42">
        <f>CEILING(AG42/(Quota!$J$2*Quota!$K$2),1)</f>
        <v>1</v>
      </c>
      <c r="AJ42" s="26">
        <v>4.0999999999999996</v>
      </c>
      <c r="AK42" s="26">
        <v>3</v>
      </c>
      <c r="AL42" s="26" t="s">
        <v>169</v>
      </c>
      <c r="AS42" s="28">
        <f t="shared" si="14"/>
        <v>0</v>
      </c>
      <c r="AT42" s="28">
        <f t="shared" si="15"/>
        <v>0</v>
      </c>
      <c r="AU42" s="28">
        <f t="shared" si="16"/>
        <v>0</v>
      </c>
      <c r="AV42" s="28">
        <f t="shared" si="17"/>
        <v>0</v>
      </c>
      <c r="AW42" s="28">
        <f t="shared" si="18"/>
        <v>0</v>
      </c>
      <c r="AX42" s="28">
        <f t="shared" si="19"/>
        <v>0</v>
      </c>
    </row>
    <row r="43" spans="1:50">
      <c r="A43" t="s">
        <v>175</v>
      </c>
      <c r="B43" t="s">
        <v>247</v>
      </c>
      <c r="C43" t="s">
        <v>5</v>
      </c>
      <c r="D43" t="s">
        <v>76</v>
      </c>
      <c r="E43" t="s">
        <v>81</v>
      </c>
      <c r="F43">
        <v>1</v>
      </c>
      <c r="G43">
        <v>6</v>
      </c>
      <c r="H43" t="s">
        <v>150</v>
      </c>
      <c r="I43" t="s">
        <v>10</v>
      </c>
      <c r="J43" t="s">
        <v>144</v>
      </c>
      <c r="K43" t="s">
        <v>151</v>
      </c>
      <c r="L43" t="s">
        <v>10</v>
      </c>
      <c r="M43" t="s">
        <v>144</v>
      </c>
      <c r="N43" s="7" t="s">
        <v>10</v>
      </c>
      <c r="P43" t="s">
        <v>248</v>
      </c>
      <c r="Q43" s="3">
        <v>7798.1741847797875</v>
      </c>
      <c r="R43" s="9">
        <f t="shared" si="57"/>
        <v>1559.6348369559576</v>
      </c>
      <c r="S43" s="11"/>
      <c r="T43" s="11">
        <f t="shared" si="58"/>
        <v>0</v>
      </c>
      <c r="U43" s="3">
        <f>R43*Quota!$H$2/100</f>
        <v>1180.64357157566</v>
      </c>
      <c r="V43" s="19">
        <f t="shared" si="59"/>
        <v>75.700000000000017</v>
      </c>
      <c r="W43" s="3">
        <f t="shared" si="60"/>
        <v>1180.64357157566</v>
      </c>
      <c r="X43" s="13" t="s">
        <v>153</v>
      </c>
      <c r="Y43" s="3">
        <f t="shared" si="61"/>
        <v>1180.64357157566</v>
      </c>
      <c r="Z43" s="3">
        <f t="shared" si="62"/>
        <v>467.89045108678721</v>
      </c>
      <c r="AA43" s="3">
        <f t="shared" si="63"/>
        <v>389.90870923898939</v>
      </c>
      <c r="AB43" s="3">
        <f t="shared" si="64"/>
        <v>857.7991603257766</v>
      </c>
      <c r="AC43" s="3">
        <f t="shared" si="65"/>
        <v>141.67722858907919</v>
      </c>
      <c r="AD43" s="3">
        <f t="shared" si="66"/>
        <v>35.419307147269798</v>
      </c>
      <c r="AE43" s="23">
        <f t="shared" si="67"/>
        <v>1357.7401073120091</v>
      </c>
      <c r="AF43" s="3">
        <f t="shared" si="68"/>
        <v>952.15706796161203</v>
      </c>
      <c r="AG43" s="21">
        <f t="shared" si="69"/>
        <v>1357.7401073120091</v>
      </c>
      <c r="AH43" s="3">
        <f>AG43/Quota!$J$2</f>
        <v>45.258003577066965</v>
      </c>
      <c r="AI43">
        <f>CEILING(AG43/(Quota!$J$2*Quota!$K$2),1)</f>
        <v>5</v>
      </c>
      <c r="AJ43" s="26">
        <v>3.61</v>
      </c>
      <c r="AK43" s="26">
        <v>2</v>
      </c>
      <c r="AL43" s="26" t="s">
        <v>147</v>
      </c>
      <c r="AM43" s="27">
        <f t="shared" ref="AM43:AM45" si="70">Y43*(15*0.0004*5)</f>
        <v>35.419307147269798</v>
      </c>
      <c r="AN43" s="27">
        <f t="shared" ref="AN43:AN45" si="71">Y43*(15*0.00006*5)</f>
        <v>5.312896072090469</v>
      </c>
      <c r="AO43" s="27">
        <f t="shared" ref="AO43:AO45" si="72">Y43*(0.000035*15*5)</f>
        <v>3.0991893753861071</v>
      </c>
      <c r="AP43" s="27">
        <f t="shared" ref="AP43:AP45" si="73">Y43*(0.0001*3*5)</f>
        <v>1.77096535736349</v>
      </c>
      <c r="AQ43" s="27">
        <f t="shared" ref="AQ43:AQ45" si="74">Y43*(0.0002*30)</f>
        <v>7.0838614294539601</v>
      </c>
      <c r="AR43" s="27">
        <f t="shared" ref="AR43:AR45" si="75">Y43*(0.0001*30)</f>
        <v>3.5419307147269801</v>
      </c>
      <c r="AS43" s="28">
        <f t="shared" si="14"/>
        <v>106.2579214418094</v>
      </c>
      <c r="AT43" s="28">
        <f t="shared" si="15"/>
        <v>15.938688216271407</v>
      </c>
      <c r="AU43" s="28">
        <f t="shared" si="16"/>
        <v>9.2975681261583212</v>
      </c>
      <c r="AV43" s="28">
        <f t="shared" si="17"/>
        <v>5.3128960720904699</v>
      </c>
      <c r="AW43" s="28">
        <f t="shared" si="18"/>
        <v>21.25158428836188</v>
      </c>
      <c r="AX43" s="28">
        <f t="shared" si="19"/>
        <v>10.62579214418094</v>
      </c>
    </row>
    <row r="44" spans="1:50">
      <c r="A44" t="s">
        <v>175</v>
      </c>
      <c r="B44" t="s">
        <v>249</v>
      </c>
      <c r="C44" t="s">
        <v>5</v>
      </c>
      <c r="D44" t="s">
        <v>76</v>
      </c>
      <c r="E44" t="s">
        <v>82</v>
      </c>
      <c r="F44">
        <v>1</v>
      </c>
      <c r="G44">
        <v>4</v>
      </c>
      <c r="H44" t="s">
        <v>143</v>
      </c>
      <c r="I44" t="s">
        <v>10</v>
      </c>
      <c r="J44" t="s">
        <v>144</v>
      </c>
      <c r="K44" t="s">
        <v>151</v>
      </c>
      <c r="L44" t="s">
        <v>10</v>
      </c>
      <c r="M44" t="s">
        <v>144</v>
      </c>
      <c r="N44" s="7" t="s">
        <v>10</v>
      </c>
      <c r="P44" t="s">
        <v>250</v>
      </c>
      <c r="Q44" s="3">
        <v>9117.5104873952896</v>
      </c>
      <c r="R44" s="9">
        <f t="shared" si="57"/>
        <v>1823.502097479058</v>
      </c>
      <c r="S44" s="11">
        <v>889.33333332999996</v>
      </c>
      <c r="T44" s="11">
        <f t="shared" si="58"/>
        <v>48.770622998431378</v>
      </c>
      <c r="U44" s="16">
        <f>R44*Quota!$I$2/100</f>
        <v>1376.7440835966888</v>
      </c>
      <c r="V44" s="19">
        <f t="shared" si="59"/>
        <v>75.5</v>
      </c>
      <c r="W44" s="3">
        <f t="shared" si="60"/>
        <v>487.41075026668886</v>
      </c>
      <c r="X44" s="16" t="s">
        <v>146</v>
      </c>
      <c r="Y44" s="3">
        <f t="shared" si="61"/>
        <v>1376.7440835966888</v>
      </c>
      <c r="Z44" s="3">
        <f t="shared" si="62"/>
        <v>547.05062924371737</v>
      </c>
      <c r="AA44" s="3">
        <f t="shared" si="63"/>
        <v>455.87552436976449</v>
      </c>
      <c r="AB44" s="3">
        <f t="shared" si="64"/>
        <v>1002.9261536134818</v>
      </c>
      <c r="AC44" s="3">
        <f t="shared" si="65"/>
        <v>165.20929003160265</v>
      </c>
      <c r="AD44" s="3">
        <f t="shared" si="66"/>
        <v>41.302322507900662</v>
      </c>
      <c r="AE44" s="23">
        <f t="shared" si="67"/>
        <v>1583.2556961361922</v>
      </c>
      <c r="AF44" s="3">
        <f t="shared" si="68"/>
        <v>1113.2480305109648</v>
      </c>
      <c r="AG44" s="21">
        <f t="shared" si="69"/>
        <v>693.92236280619227</v>
      </c>
      <c r="AH44" s="3">
        <f>AG44/Quota!$J$2</f>
        <v>23.130745426873077</v>
      </c>
      <c r="AI44">
        <f>CEILING(AG44/(Quota!$J$2*Quota!$K$2),1)</f>
        <v>3</v>
      </c>
      <c r="AJ44" s="26">
        <v>3.66</v>
      </c>
      <c r="AK44" s="26">
        <v>2</v>
      </c>
      <c r="AL44" s="26" t="s">
        <v>147</v>
      </c>
      <c r="AM44" s="27">
        <f t="shared" si="70"/>
        <v>41.302322507900662</v>
      </c>
      <c r="AN44" s="27">
        <f t="shared" si="71"/>
        <v>6.1953483761850991</v>
      </c>
      <c r="AO44" s="27">
        <f t="shared" si="72"/>
        <v>3.6139532194413078</v>
      </c>
      <c r="AP44" s="27">
        <f t="shared" si="73"/>
        <v>2.0651161253950332</v>
      </c>
      <c r="AQ44" s="27">
        <f t="shared" si="74"/>
        <v>8.2604645015801328</v>
      </c>
      <c r="AR44" s="27">
        <f t="shared" si="75"/>
        <v>4.1302322507900664</v>
      </c>
      <c r="AS44" s="28">
        <f t="shared" si="14"/>
        <v>123.90696752370198</v>
      </c>
      <c r="AT44" s="28">
        <f t="shared" si="15"/>
        <v>18.586045128555298</v>
      </c>
      <c r="AU44" s="28">
        <f t="shared" si="16"/>
        <v>10.841859658323923</v>
      </c>
      <c r="AV44" s="28">
        <f t="shared" si="17"/>
        <v>6.1953483761851</v>
      </c>
      <c r="AW44" s="28">
        <f t="shared" si="18"/>
        <v>24.7813935047404</v>
      </c>
      <c r="AX44" s="28">
        <f t="shared" si="19"/>
        <v>12.3906967523702</v>
      </c>
    </row>
    <row r="45" spans="1:50">
      <c r="A45" t="s">
        <v>172</v>
      </c>
      <c r="B45" t="s">
        <v>251</v>
      </c>
      <c r="C45" t="s">
        <v>4</v>
      </c>
      <c r="D45" t="s">
        <v>67</v>
      </c>
      <c r="E45" t="s">
        <v>71</v>
      </c>
      <c r="F45">
        <v>1</v>
      </c>
      <c r="G45">
        <v>2</v>
      </c>
      <c r="H45" t="s">
        <v>159</v>
      </c>
      <c r="I45" t="s">
        <v>10</v>
      </c>
      <c r="J45" t="s">
        <v>144</v>
      </c>
      <c r="K45" t="s">
        <v>151</v>
      </c>
      <c r="L45" t="s">
        <v>10</v>
      </c>
      <c r="M45" t="s">
        <v>144</v>
      </c>
      <c r="N45" s="7" t="s">
        <v>9</v>
      </c>
      <c r="P45" t="s">
        <v>252</v>
      </c>
      <c r="Q45" s="3">
        <v>4911.0483339788989</v>
      </c>
      <c r="R45" s="9">
        <f t="shared" si="57"/>
        <v>982.20966679577975</v>
      </c>
      <c r="S45" s="11">
        <v>602.35974849000002</v>
      </c>
      <c r="T45" s="11">
        <f t="shared" si="58"/>
        <v>61.327002660750857</v>
      </c>
      <c r="U45" s="16">
        <f>R45*Quota!$I$2/100</f>
        <v>741.56829843081368</v>
      </c>
      <c r="V45" s="19">
        <f t="shared" si="59"/>
        <v>75.5</v>
      </c>
      <c r="W45" s="3">
        <f t="shared" si="60"/>
        <v>139.20854994081367</v>
      </c>
      <c r="X45" s="16" t="s">
        <v>146</v>
      </c>
      <c r="Y45" s="3">
        <f t="shared" si="61"/>
        <v>741.56829843081368</v>
      </c>
      <c r="Z45" s="3">
        <f t="shared" si="62"/>
        <v>294.66290003873394</v>
      </c>
      <c r="AA45" s="3">
        <f t="shared" si="63"/>
        <v>245.55241669894497</v>
      </c>
      <c r="AB45" s="3">
        <f t="shared" si="64"/>
        <v>540.2153167376789</v>
      </c>
      <c r="AC45" s="3">
        <f t="shared" si="65"/>
        <v>88.988195811697636</v>
      </c>
      <c r="AD45" s="3">
        <f t="shared" si="66"/>
        <v>22.247048952924409</v>
      </c>
      <c r="AE45" s="23">
        <f t="shared" si="67"/>
        <v>852.80354319543574</v>
      </c>
      <c r="AF45" s="3">
        <f t="shared" si="68"/>
        <v>599.63900157882358</v>
      </c>
      <c r="AG45" s="21">
        <f t="shared" si="69"/>
        <v>250.44379470543572</v>
      </c>
      <c r="AH45" s="3">
        <f>AG45/Quota!$J$2</f>
        <v>8.3481264901811905</v>
      </c>
      <c r="AI45">
        <f>CEILING(AG45/(Quota!$J$2*Quota!$K$2),1)</f>
        <v>1</v>
      </c>
      <c r="AJ45" s="26">
        <v>3.54</v>
      </c>
      <c r="AK45" s="26">
        <v>2</v>
      </c>
      <c r="AL45" s="26" t="s">
        <v>147</v>
      </c>
      <c r="AM45" s="27">
        <f t="shared" si="70"/>
        <v>22.247048952924409</v>
      </c>
      <c r="AN45" s="27">
        <f t="shared" si="71"/>
        <v>3.3370573429386612</v>
      </c>
      <c r="AO45" s="27">
        <f t="shared" si="72"/>
        <v>1.9466167833808856</v>
      </c>
      <c r="AP45" s="27">
        <f t="shared" si="73"/>
        <v>1.1123524476462205</v>
      </c>
      <c r="AQ45" s="27">
        <f t="shared" si="74"/>
        <v>4.4494097905848822</v>
      </c>
      <c r="AR45" s="27">
        <f t="shared" si="75"/>
        <v>2.2247048952924411</v>
      </c>
      <c r="AS45" s="28">
        <f t="shared" si="14"/>
        <v>66.74114685877322</v>
      </c>
      <c r="AT45" s="28">
        <f t="shared" si="15"/>
        <v>10.011172028815984</v>
      </c>
      <c r="AU45" s="28">
        <f t="shared" si="16"/>
        <v>5.8398503501426564</v>
      </c>
      <c r="AV45" s="28">
        <f t="shared" si="17"/>
        <v>3.3370573429386616</v>
      </c>
      <c r="AW45" s="28">
        <f t="shared" si="18"/>
        <v>13.348229371754647</v>
      </c>
      <c r="AX45" s="28">
        <f t="shared" si="19"/>
        <v>6.6741146858773233</v>
      </c>
    </row>
    <row r="46" spans="1:50">
      <c r="A46" t="s">
        <v>141</v>
      </c>
      <c r="B46" t="s">
        <v>253</v>
      </c>
      <c r="C46" t="s">
        <v>2</v>
      </c>
      <c r="D46" t="s">
        <v>24</v>
      </c>
      <c r="E46" t="s">
        <v>28</v>
      </c>
      <c r="F46">
        <v>1</v>
      </c>
      <c r="G46">
        <v>6</v>
      </c>
      <c r="H46" t="s">
        <v>241</v>
      </c>
      <c r="I46" t="s">
        <v>10</v>
      </c>
      <c r="J46" t="s">
        <v>144</v>
      </c>
      <c r="K46" t="s">
        <v>151</v>
      </c>
      <c r="L46" t="s">
        <v>10</v>
      </c>
      <c r="M46" t="s">
        <v>144</v>
      </c>
      <c r="N46" s="7" t="s">
        <v>9</v>
      </c>
      <c r="P46" t="s">
        <v>254</v>
      </c>
      <c r="Q46" s="3">
        <v>30813.576694486415</v>
      </c>
      <c r="R46" s="9">
        <f t="shared" si="57"/>
        <v>6162.7153388972829</v>
      </c>
      <c r="S46" s="11">
        <v>1960</v>
      </c>
      <c r="T46" s="11">
        <f t="shared" si="58"/>
        <v>31.80416248709469</v>
      </c>
      <c r="U46" s="16">
        <f>R46*Quota!$I$2/100</f>
        <v>4652.8500808674489</v>
      </c>
      <c r="V46" s="19">
        <f t="shared" si="59"/>
        <v>75.5</v>
      </c>
      <c r="W46" s="3">
        <f t="shared" si="60"/>
        <v>2692.8500808674489</v>
      </c>
      <c r="X46" s="16" t="s">
        <v>146</v>
      </c>
      <c r="Y46" s="3">
        <f t="shared" si="61"/>
        <v>4652.8500808674489</v>
      </c>
      <c r="Z46" s="3">
        <f t="shared" si="62"/>
        <v>1848.8146016691849</v>
      </c>
      <c r="AA46" s="3">
        <f t="shared" si="63"/>
        <v>1540.678834724321</v>
      </c>
      <c r="AB46" s="3">
        <f t="shared" si="64"/>
        <v>3389.4934363935058</v>
      </c>
      <c r="AC46" s="3">
        <f t="shared" si="65"/>
        <v>558.34200970409381</v>
      </c>
      <c r="AD46" s="3">
        <f t="shared" si="66"/>
        <v>139.58550242602345</v>
      </c>
      <c r="AE46" s="23">
        <f t="shared" si="67"/>
        <v>5350.777592997566</v>
      </c>
      <c r="AF46" s="3">
        <f t="shared" si="68"/>
        <v>3762.3377143967914</v>
      </c>
      <c r="AG46" s="21">
        <f t="shared" si="69"/>
        <v>3390.777592997566</v>
      </c>
      <c r="AH46" s="3">
        <f>AG46/Quota!$J$2</f>
        <v>113.02591976658553</v>
      </c>
      <c r="AI46">
        <f>CEILING(AG46/(Quota!$J$2*Quota!$K$2),1)</f>
        <v>12</v>
      </c>
      <c r="AJ46" s="26">
        <v>4.78</v>
      </c>
      <c r="AK46" s="26">
        <v>3</v>
      </c>
      <c r="AL46" s="26" t="s">
        <v>154</v>
      </c>
      <c r="AS46" s="28">
        <f t="shared" si="14"/>
        <v>0</v>
      </c>
      <c r="AT46" s="28">
        <f t="shared" si="15"/>
        <v>0</v>
      </c>
      <c r="AU46" s="28">
        <f t="shared" si="16"/>
        <v>0</v>
      </c>
      <c r="AV46" s="28">
        <f t="shared" si="17"/>
        <v>0</v>
      </c>
      <c r="AW46" s="28">
        <f t="shared" si="18"/>
        <v>0</v>
      </c>
      <c r="AX46" s="28">
        <f t="shared" si="19"/>
        <v>0</v>
      </c>
    </row>
    <row r="47" spans="1:50">
      <c r="A47" t="s">
        <v>175</v>
      </c>
      <c r="B47" t="s">
        <v>255</v>
      </c>
      <c r="C47" t="s">
        <v>5</v>
      </c>
      <c r="D47" t="s">
        <v>76</v>
      </c>
      <c r="E47" t="s">
        <v>83</v>
      </c>
      <c r="F47">
        <v>1</v>
      </c>
      <c r="G47">
        <v>5</v>
      </c>
      <c r="H47" t="s">
        <v>150</v>
      </c>
      <c r="I47" t="s">
        <v>10</v>
      </c>
      <c r="J47" t="s">
        <v>144</v>
      </c>
      <c r="K47" t="s">
        <v>151</v>
      </c>
      <c r="L47" t="s">
        <v>10</v>
      </c>
      <c r="M47" t="s">
        <v>144</v>
      </c>
      <c r="N47" s="7" t="s">
        <v>10</v>
      </c>
      <c r="P47" t="s">
        <v>256</v>
      </c>
      <c r="Q47" s="3">
        <v>22055.972616248877</v>
      </c>
      <c r="R47" s="9">
        <f t="shared" si="57"/>
        <v>4411.1945232497756</v>
      </c>
      <c r="S47" s="11"/>
      <c r="T47" s="11">
        <f t="shared" si="58"/>
        <v>0</v>
      </c>
      <c r="U47" s="3">
        <f>R47*Quota!$H$2/100</f>
        <v>3339.2742541000798</v>
      </c>
      <c r="V47" s="19">
        <f t="shared" si="59"/>
        <v>75.7</v>
      </c>
      <c r="W47" s="3">
        <f t="shared" si="60"/>
        <v>3339.2742541000798</v>
      </c>
      <c r="X47" s="13" t="s">
        <v>153</v>
      </c>
      <c r="Y47" s="3">
        <f t="shared" si="61"/>
        <v>3339.2742541000798</v>
      </c>
      <c r="Z47" s="3">
        <f t="shared" si="62"/>
        <v>1323.3583569749326</v>
      </c>
      <c r="AA47" s="3">
        <f t="shared" si="63"/>
        <v>1102.7986308124439</v>
      </c>
      <c r="AB47" s="3">
        <f t="shared" si="64"/>
        <v>2426.1569877873762</v>
      </c>
      <c r="AC47" s="3">
        <f t="shared" si="65"/>
        <v>400.71291049200954</v>
      </c>
      <c r="AD47" s="3">
        <f t="shared" si="66"/>
        <v>100.17822762300239</v>
      </c>
      <c r="AE47" s="23">
        <f t="shared" si="67"/>
        <v>3840.1653922150917</v>
      </c>
      <c r="AF47" s="3">
        <f t="shared" si="68"/>
        <v>2693.0342564439875</v>
      </c>
      <c r="AG47" s="21">
        <f t="shared" si="69"/>
        <v>3840.1653922150917</v>
      </c>
      <c r="AH47" s="3">
        <f>AG47/Quota!$J$2</f>
        <v>128.0055130738364</v>
      </c>
      <c r="AI47">
        <f>CEILING(AG47/(Quota!$J$2*Quota!$K$2),1)</f>
        <v>13</v>
      </c>
      <c r="AJ47" s="26">
        <v>3.88</v>
      </c>
      <c r="AK47" s="26">
        <v>2</v>
      </c>
      <c r="AL47" s="26" t="s">
        <v>147</v>
      </c>
      <c r="AM47" s="27">
        <f t="shared" ref="AM47:AM49" si="76">Y47*(15*0.0004*5)</f>
        <v>100.17822762300239</v>
      </c>
      <c r="AN47" s="27">
        <f t="shared" ref="AN47:AN49" si="77">Y47*(15*0.00006*5)</f>
        <v>15.026734143450359</v>
      </c>
      <c r="AO47" s="27">
        <f t="shared" ref="AO47:AO49" si="78">Y47*(0.000035*15*5)</f>
        <v>8.7655949170127094</v>
      </c>
      <c r="AP47" s="27">
        <f t="shared" ref="AP47:AP49" si="79">Y47*(0.0001*3*5)</f>
        <v>5.0089113811501198</v>
      </c>
      <c r="AQ47" s="27">
        <f t="shared" ref="AQ47:AQ49" si="80">Y47*(0.0002*30)</f>
        <v>20.035645524600479</v>
      </c>
      <c r="AR47" s="27">
        <f t="shared" ref="AR47:AR49" si="81">Y47*(0.0001*30)</f>
        <v>10.01782276230024</v>
      </c>
      <c r="AS47" s="28">
        <f t="shared" si="14"/>
        <v>300.53468286900716</v>
      </c>
      <c r="AT47" s="28">
        <f t="shared" si="15"/>
        <v>45.080202430351079</v>
      </c>
      <c r="AU47" s="28">
        <f t="shared" si="16"/>
        <v>26.296784751038128</v>
      </c>
      <c r="AV47" s="28">
        <f t="shared" si="17"/>
        <v>15.026734143450359</v>
      </c>
      <c r="AW47" s="28">
        <f t="shared" si="18"/>
        <v>60.106936573801434</v>
      </c>
      <c r="AX47" s="28">
        <f t="shared" si="19"/>
        <v>30.053468286900717</v>
      </c>
    </row>
    <row r="48" spans="1:50">
      <c r="A48" t="s">
        <v>172</v>
      </c>
      <c r="B48" t="s">
        <v>257</v>
      </c>
      <c r="C48" t="s">
        <v>4</v>
      </c>
      <c r="D48" t="s">
        <v>54</v>
      </c>
      <c r="E48" t="s">
        <v>58</v>
      </c>
      <c r="F48">
        <v>2</v>
      </c>
      <c r="G48">
        <v>15</v>
      </c>
      <c r="H48" t="s">
        <v>167</v>
      </c>
      <c r="I48" t="s">
        <v>160</v>
      </c>
      <c r="J48" t="s">
        <v>144</v>
      </c>
      <c r="K48" t="s">
        <v>150</v>
      </c>
      <c r="L48" t="s">
        <v>160</v>
      </c>
      <c r="M48" t="s">
        <v>144</v>
      </c>
      <c r="N48" s="7" t="s">
        <v>9</v>
      </c>
      <c r="P48" t="s">
        <v>258</v>
      </c>
      <c r="Q48" s="3">
        <v>11712.160690998273</v>
      </c>
      <c r="R48" s="9">
        <f t="shared" si="57"/>
        <v>2342.4321381996547</v>
      </c>
      <c r="S48" s="11">
        <v>2042.8042617000001</v>
      </c>
      <c r="T48" s="15">
        <f t="shared" si="58"/>
        <v>87.208684870164802</v>
      </c>
      <c r="U48" s="15">
        <v>2042.8042617000001</v>
      </c>
      <c r="V48" s="19">
        <f t="shared" si="59"/>
        <v>87.208684870164802</v>
      </c>
      <c r="W48" s="3">
        <f t="shared" si="60"/>
        <v>0</v>
      </c>
      <c r="X48" s="15" t="s">
        <v>162</v>
      </c>
      <c r="Y48" s="3">
        <f t="shared" si="61"/>
        <v>2042.8042617000001</v>
      </c>
      <c r="Z48" s="3">
        <f t="shared" si="62"/>
        <v>702.72964145989636</v>
      </c>
      <c r="AA48" s="3">
        <f t="shared" si="63"/>
        <v>585.60803454991367</v>
      </c>
      <c r="AB48" s="3">
        <f t="shared" si="64"/>
        <v>1288.3376760098099</v>
      </c>
      <c r="AC48" s="3">
        <f t="shared" si="65"/>
        <v>245.136511404</v>
      </c>
      <c r="AD48" s="3">
        <f t="shared" si="66"/>
        <v>61.284127851000001</v>
      </c>
      <c r="AE48" s="23">
        <f t="shared" si="67"/>
        <v>2349.2249009550001</v>
      </c>
      <c r="AF48" s="3">
        <f t="shared" si="68"/>
        <v>1430.054820370889</v>
      </c>
      <c r="AG48" s="21">
        <f t="shared" si="69"/>
        <v>306.42063925499997</v>
      </c>
      <c r="AH48" s="3">
        <f>AG48/Quota!$J$2</f>
        <v>10.2140213085</v>
      </c>
      <c r="AI48">
        <f>CEILING(AG48/(Quota!$J$2*Quota!$K$2),1)</f>
        <v>2</v>
      </c>
      <c r="AJ48" s="26">
        <v>3.77</v>
      </c>
      <c r="AK48" s="26">
        <v>2</v>
      </c>
      <c r="AL48" s="26" t="s">
        <v>147</v>
      </c>
      <c r="AM48" s="27">
        <f t="shared" si="76"/>
        <v>61.284127851000001</v>
      </c>
      <c r="AN48" s="27">
        <f t="shared" si="77"/>
        <v>9.1926191776500001</v>
      </c>
      <c r="AO48" s="27">
        <f t="shared" si="78"/>
        <v>5.3623611869624996</v>
      </c>
      <c r="AP48" s="27">
        <f t="shared" si="79"/>
        <v>3.06420639255</v>
      </c>
      <c r="AQ48" s="27">
        <f t="shared" si="80"/>
        <v>12.2568255702</v>
      </c>
      <c r="AR48" s="27">
        <f t="shared" si="81"/>
        <v>6.1284127851000001</v>
      </c>
      <c r="AS48" s="28">
        <f t="shared" si="14"/>
        <v>183.85238355300001</v>
      </c>
      <c r="AT48" s="28">
        <f t="shared" si="15"/>
        <v>27.577857532949999</v>
      </c>
      <c r="AU48" s="28">
        <f t="shared" si="16"/>
        <v>16.0870835608875</v>
      </c>
      <c r="AV48" s="28">
        <f t="shared" si="17"/>
        <v>9.1926191776500001</v>
      </c>
      <c r="AW48" s="28">
        <f t="shared" si="18"/>
        <v>36.770476710600001</v>
      </c>
      <c r="AX48" s="28">
        <f t="shared" si="19"/>
        <v>18.3852383553</v>
      </c>
    </row>
    <row r="49" spans="1:50">
      <c r="A49" t="s">
        <v>175</v>
      </c>
      <c r="B49" t="s">
        <v>259</v>
      </c>
      <c r="C49" t="s">
        <v>5</v>
      </c>
      <c r="D49" t="s">
        <v>76</v>
      </c>
      <c r="E49" t="s">
        <v>85</v>
      </c>
      <c r="F49">
        <v>2</v>
      </c>
      <c r="G49">
        <v>19</v>
      </c>
      <c r="H49" t="s">
        <v>143</v>
      </c>
      <c r="I49" t="s">
        <v>160</v>
      </c>
      <c r="J49" t="s">
        <v>144</v>
      </c>
      <c r="K49" t="s">
        <v>151</v>
      </c>
      <c r="L49" t="s">
        <v>160</v>
      </c>
      <c r="M49" t="s">
        <v>144</v>
      </c>
      <c r="N49" s="7" t="s">
        <v>10</v>
      </c>
      <c r="P49" t="s">
        <v>260</v>
      </c>
      <c r="Q49" s="3">
        <v>10554.690420924022</v>
      </c>
      <c r="R49" s="9">
        <f t="shared" si="57"/>
        <v>2110.9380841848042</v>
      </c>
      <c r="S49" s="11">
        <v>1152.8</v>
      </c>
      <c r="T49" s="11">
        <f t="shared" si="58"/>
        <v>54.610791696677587</v>
      </c>
      <c r="U49" s="16">
        <f>R49*Quota!$I$2/100</f>
        <v>1593.7582535595272</v>
      </c>
      <c r="V49" s="19">
        <f t="shared" si="59"/>
        <v>75.5</v>
      </c>
      <c r="W49" s="3">
        <f t="shared" si="60"/>
        <v>440.95825355952729</v>
      </c>
      <c r="X49" s="16" t="s">
        <v>146</v>
      </c>
      <c r="Y49" s="3">
        <f t="shared" si="61"/>
        <v>1593.7582535595272</v>
      </c>
      <c r="Z49" s="3">
        <f t="shared" si="62"/>
        <v>633.28142525544126</v>
      </c>
      <c r="AA49" s="3">
        <f t="shared" si="63"/>
        <v>527.73452104620117</v>
      </c>
      <c r="AB49" s="3">
        <f t="shared" si="64"/>
        <v>1161.0159463016425</v>
      </c>
      <c r="AC49" s="3">
        <f t="shared" si="65"/>
        <v>191.25099042714325</v>
      </c>
      <c r="AD49" s="3">
        <f t="shared" si="66"/>
        <v>47.812747606785813</v>
      </c>
      <c r="AE49" s="23">
        <f t="shared" si="67"/>
        <v>1832.8219915934562</v>
      </c>
      <c r="AF49" s="3">
        <f t="shared" si="68"/>
        <v>1288.7277003948232</v>
      </c>
      <c r="AG49" s="21">
        <f t="shared" si="69"/>
        <v>680.02199159345628</v>
      </c>
      <c r="AH49" s="3">
        <f>AG49/Quota!$J$2</f>
        <v>22.667399719781876</v>
      </c>
      <c r="AI49">
        <f>CEILING(AG49/(Quota!$J$2*Quota!$K$2),1)</f>
        <v>3</v>
      </c>
      <c r="AJ49" s="26">
        <v>3.81</v>
      </c>
      <c r="AK49" s="26">
        <v>2</v>
      </c>
      <c r="AL49" s="26" t="s">
        <v>147</v>
      </c>
      <c r="AM49" s="27">
        <f t="shared" si="76"/>
        <v>47.812747606785813</v>
      </c>
      <c r="AN49" s="27">
        <f t="shared" si="77"/>
        <v>7.1719121410178719</v>
      </c>
      <c r="AO49" s="27">
        <f t="shared" si="78"/>
        <v>4.1836154155937582</v>
      </c>
      <c r="AP49" s="27">
        <f t="shared" si="79"/>
        <v>2.3906373803392911</v>
      </c>
      <c r="AQ49" s="27">
        <f t="shared" si="80"/>
        <v>9.5625495213571643</v>
      </c>
      <c r="AR49" s="27">
        <f t="shared" si="81"/>
        <v>4.7812747606785821</v>
      </c>
      <c r="AS49" s="28">
        <f t="shared" si="14"/>
        <v>143.43824282035743</v>
      </c>
      <c r="AT49" s="28">
        <f t="shared" si="15"/>
        <v>21.515736423053617</v>
      </c>
      <c r="AU49" s="28">
        <f t="shared" si="16"/>
        <v>12.550846246781274</v>
      </c>
      <c r="AV49" s="28">
        <f t="shared" si="17"/>
        <v>7.1719121410178737</v>
      </c>
      <c r="AW49" s="28">
        <f t="shared" si="18"/>
        <v>28.687648564071495</v>
      </c>
      <c r="AX49" s="28">
        <f t="shared" si="19"/>
        <v>14.343824282035747</v>
      </c>
    </row>
    <row r="50" spans="1:50">
      <c r="A50" t="s">
        <v>148</v>
      </c>
      <c r="B50" t="s">
        <v>261</v>
      </c>
      <c r="C50" t="s">
        <v>4</v>
      </c>
      <c r="D50" t="s">
        <v>63</v>
      </c>
      <c r="E50" t="s">
        <v>66</v>
      </c>
      <c r="F50">
        <v>1</v>
      </c>
      <c r="G50">
        <v>2</v>
      </c>
      <c r="H50" t="s">
        <v>159</v>
      </c>
      <c r="I50" t="s">
        <v>10</v>
      </c>
      <c r="J50" t="s">
        <v>144</v>
      </c>
      <c r="K50" t="s">
        <v>151</v>
      </c>
      <c r="L50" t="s">
        <v>10</v>
      </c>
      <c r="M50" t="s">
        <v>144</v>
      </c>
      <c r="N50" s="7" t="s">
        <v>10</v>
      </c>
      <c r="P50" t="s">
        <v>262</v>
      </c>
      <c r="Q50" s="3">
        <v>7310.3301599102997</v>
      </c>
      <c r="R50" s="9">
        <f t="shared" si="57"/>
        <v>1462.0660319820599</v>
      </c>
      <c r="S50" s="17">
        <v>1089.8101988000001</v>
      </c>
      <c r="T50" s="17">
        <f t="shared" si="58"/>
        <v>74.539054663802787</v>
      </c>
      <c r="U50" s="17">
        <v>1089.8101988000001</v>
      </c>
      <c r="V50" s="19">
        <f t="shared" si="59"/>
        <v>74.539054663802787</v>
      </c>
      <c r="W50" s="3">
        <f t="shared" si="60"/>
        <v>0</v>
      </c>
      <c r="X50" s="15" t="s">
        <v>162</v>
      </c>
      <c r="Y50" s="3">
        <f t="shared" si="61"/>
        <v>1089.8101988000001</v>
      </c>
      <c r="Z50" s="3">
        <f t="shared" si="62"/>
        <v>438.61980959461795</v>
      </c>
      <c r="AA50" s="3">
        <f t="shared" si="63"/>
        <v>365.51650799551498</v>
      </c>
      <c r="AB50" s="3">
        <f t="shared" si="64"/>
        <v>804.13631759013288</v>
      </c>
      <c r="AC50" s="3">
        <f t="shared" si="65"/>
        <v>130.77722385600001</v>
      </c>
      <c r="AD50" s="3">
        <f t="shared" si="66"/>
        <v>32.694305964000002</v>
      </c>
      <c r="AE50" s="23">
        <f t="shared" si="67"/>
        <v>1253.2817286200002</v>
      </c>
      <c r="AF50" s="3">
        <f t="shared" si="68"/>
        <v>892.59131252504744</v>
      </c>
      <c r="AG50" s="21">
        <f t="shared" si="69"/>
        <v>163.47152982000011</v>
      </c>
      <c r="AH50" s="3">
        <f>AG50/Quota!$J$2</f>
        <v>5.4490509940000038</v>
      </c>
      <c r="AI50">
        <f>CEILING(AG50/(Quota!$J$2*Quota!$K$2),1)</f>
        <v>1</v>
      </c>
      <c r="AJ50" s="26">
        <v>3.63</v>
      </c>
      <c r="AK50" s="26">
        <v>2</v>
      </c>
      <c r="AL50" s="26" t="s">
        <v>169</v>
      </c>
      <c r="AS50" s="28">
        <f t="shared" si="14"/>
        <v>0</v>
      </c>
      <c r="AT50" s="28">
        <f t="shared" si="15"/>
        <v>0</v>
      </c>
      <c r="AU50" s="28">
        <f t="shared" si="16"/>
        <v>0</v>
      </c>
      <c r="AV50" s="28">
        <f t="shared" si="17"/>
        <v>0</v>
      </c>
      <c r="AW50" s="28">
        <f t="shared" si="18"/>
        <v>0</v>
      </c>
      <c r="AX50" s="28">
        <f t="shared" si="19"/>
        <v>0</v>
      </c>
    </row>
    <row r="51" spans="1:50">
      <c r="A51" t="s">
        <v>141</v>
      </c>
      <c r="B51" t="s">
        <v>263</v>
      </c>
      <c r="C51" t="s">
        <v>2</v>
      </c>
      <c r="D51" t="s">
        <v>33</v>
      </c>
      <c r="E51" t="s">
        <v>36</v>
      </c>
      <c r="F51">
        <v>1</v>
      </c>
      <c r="G51">
        <v>1</v>
      </c>
      <c r="I51" t="s">
        <v>10</v>
      </c>
      <c r="J51" t="s">
        <v>10</v>
      </c>
      <c r="L51" t="s">
        <v>10</v>
      </c>
      <c r="M51" t="s">
        <v>144</v>
      </c>
      <c r="N51" s="7" t="s">
        <v>9</v>
      </c>
      <c r="P51" t="s">
        <v>264</v>
      </c>
      <c r="Q51" s="3">
        <v>17678.528242679597</v>
      </c>
      <c r="R51" s="9">
        <v>3535.7056485359194</v>
      </c>
      <c r="S51" s="11"/>
      <c r="T51" s="3">
        <f>S51*100/R51</f>
        <v>0</v>
      </c>
      <c r="U51" s="3">
        <f>R51*Quota!$I$2/100</f>
        <v>2669.4577646446191</v>
      </c>
      <c r="V51" s="3">
        <f>U51*100/R51</f>
        <v>75.5</v>
      </c>
      <c r="W51" s="3">
        <f>U51-S51</f>
        <v>2669.4577646446191</v>
      </c>
      <c r="X51" s="13" t="s">
        <v>153</v>
      </c>
      <c r="Y51" s="3">
        <f>U51</f>
        <v>2669.4577646446191</v>
      </c>
      <c r="Z51" s="3">
        <f>Q51*6%</f>
        <v>1060.7116945607759</v>
      </c>
      <c r="AA51" s="3">
        <f>Q51*5%</f>
        <v>883.92641213397985</v>
      </c>
      <c r="AB51" s="3">
        <f>Z51+AA51</f>
        <v>1944.6381066947556</v>
      </c>
      <c r="AC51" s="3">
        <f>Y51*12%</f>
        <v>320.3349317573543</v>
      </c>
      <c r="AD51" s="3">
        <f>Y51*3%</f>
        <v>80.083732939338574</v>
      </c>
      <c r="AE51" s="23">
        <f>Y51+AC51+AD51</f>
        <v>3069.8764293413119</v>
      </c>
      <c r="AF51" s="3">
        <f>(AB51*11%)+AB51</f>
        <v>2158.5482984311789</v>
      </c>
      <c r="AG51" s="21">
        <f>AE51-S51</f>
        <v>3069.8764293413119</v>
      </c>
      <c r="AH51" s="3">
        <f>AG51/Quota!$J$2</f>
        <v>102.32921431137706</v>
      </c>
      <c r="AI51">
        <f>CEILING(AG51/(Quota!$J$2*Quota!$K$2),1)</f>
        <v>11</v>
      </c>
      <c r="AL51" t="s">
        <v>169</v>
      </c>
      <c r="AM51" s="27"/>
      <c r="AN51" s="27"/>
      <c r="AO51" s="27"/>
      <c r="AP51" s="27"/>
      <c r="AQ51" s="27"/>
      <c r="AR51" s="27"/>
      <c r="AS51" s="28"/>
      <c r="AT51" s="28"/>
      <c r="AU51" s="28"/>
      <c r="AV51" s="28"/>
      <c r="AW51" s="28"/>
      <c r="AX51" s="28"/>
    </row>
    <row r="52" spans="1:50">
      <c r="A52" t="s">
        <v>141</v>
      </c>
      <c r="B52" t="s">
        <v>265</v>
      </c>
      <c r="C52" t="s">
        <v>2</v>
      </c>
      <c r="D52" t="s">
        <v>33</v>
      </c>
      <c r="E52" t="s">
        <v>37</v>
      </c>
      <c r="F52">
        <v>1</v>
      </c>
      <c r="G52">
        <v>6</v>
      </c>
      <c r="I52" t="s">
        <v>10</v>
      </c>
      <c r="J52" t="s">
        <v>10</v>
      </c>
      <c r="L52" t="s">
        <v>10</v>
      </c>
      <c r="M52" t="s">
        <v>144</v>
      </c>
      <c r="N52" s="7" t="s">
        <v>9</v>
      </c>
      <c r="P52" t="s">
        <v>266</v>
      </c>
      <c r="Q52" s="26">
        <v>6407</v>
      </c>
      <c r="R52" s="9">
        <v>1281.4000000000001</v>
      </c>
      <c r="S52" s="11"/>
      <c r="T52" s="3">
        <f>S52*100/R52</f>
        <v>0</v>
      </c>
      <c r="U52" s="3">
        <f>R52*Quota!$I$2/100</f>
        <v>967.45700000000011</v>
      </c>
      <c r="V52" s="3">
        <f>U52*100/R52</f>
        <v>75.5</v>
      </c>
      <c r="W52" s="3">
        <f>U52-S52</f>
        <v>967.45700000000011</v>
      </c>
      <c r="X52" s="13" t="s">
        <v>153</v>
      </c>
      <c r="Y52" s="3">
        <f>U52</f>
        <v>967.45700000000011</v>
      </c>
      <c r="Z52" s="3">
        <f>Q52*6%</f>
        <v>384.41999999999996</v>
      </c>
      <c r="AA52" s="3">
        <f>Q52*5%</f>
        <v>320.35000000000002</v>
      </c>
      <c r="AB52" s="3">
        <f>Z52+AA52</f>
        <v>704.77</v>
      </c>
      <c r="AC52" s="3">
        <f>Y52*12%</f>
        <v>116.09484</v>
      </c>
      <c r="AD52" s="3">
        <f>Y52*3%</f>
        <v>29.023710000000001</v>
      </c>
      <c r="AE52" s="23">
        <f>Y52+AC52+AD52</f>
        <v>1112.57555</v>
      </c>
      <c r="AF52" s="3">
        <f>(AB52*11%)+AB52</f>
        <v>782.29469999999992</v>
      </c>
      <c r="AG52" s="21">
        <f>AE52-S52</f>
        <v>1112.57555</v>
      </c>
      <c r="AH52" s="3">
        <f>AG52/Quota!$J$2</f>
        <v>37.08585166666667</v>
      </c>
      <c r="AI52">
        <f>CEILING(AG52/(Quota!$J$2*Quota!$K$2),1)</f>
        <v>4</v>
      </c>
      <c r="AL52" s="26" t="s">
        <v>147</v>
      </c>
      <c r="AM52" s="27">
        <f>Y52*(15*0.0004*5)</f>
        <v>29.023710000000001</v>
      </c>
      <c r="AN52" s="27">
        <f>Y52*(15*0.00006*5)</f>
        <v>4.3535564999999998</v>
      </c>
      <c r="AO52" s="27">
        <f>Y52*(0.000035*15*5)</f>
        <v>2.5395746250000002</v>
      </c>
      <c r="AP52" s="27">
        <f>Y52*(0.0001*3*5)</f>
        <v>1.4511855000000002</v>
      </c>
      <c r="AQ52" s="27">
        <f>Y52*(0.0002*30)</f>
        <v>5.804742000000001</v>
      </c>
      <c r="AR52" s="27">
        <f>Y52*(0.0001*30)</f>
        <v>2.9023710000000005</v>
      </c>
      <c r="AS52" s="28">
        <f t="shared" ref="AS52:AX52" si="82">AM52*3</f>
        <v>87.071130000000011</v>
      </c>
      <c r="AT52" s="28">
        <f t="shared" si="82"/>
        <v>13.060669499999999</v>
      </c>
      <c r="AU52" s="28">
        <f t="shared" si="82"/>
        <v>7.6187238750000006</v>
      </c>
      <c r="AV52" s="28">
        <f t="shared" si="82"/>
        <v>4.3535565000000007</v>
      </c>
      <c r="AW52" s="28">
        <f t="shared" si="82"/>
        <v>17.414226000000003</v>
      </c>
      <c r="AX52" s="28">
        <f t="shared" si="82"/>
        <v>8.7071130000000014</v>
      </c>
    </row>
    <row r="53" spans="1:50">
      <c r="A53" t="s">
        <v>141</v>
      </c>
      <c r="B53" t="s">
        <v>267</v>
      </c>
      <c r="C53" t="s">
        <v>2</v>
      </c>
      <c r="D53" t="s">
        <v>33</v>
      </c>
      <c r="E53" t="s">
        <v>38</v>
      </c>
      <c r="F53">
        <v>1</v>
      </c>
      <c r="G53">
        <v>4</v>
      </c>
      <c r="I53" t="s">
        <v>10</v>
      </c>
      <c r="J53" t="s">
        <v>10</v>
      </c>
      <c r="L53" t="s">
        <v>10</v>
      </c>
      <c r="M53" t="s">
        <v>144</v>
      </c>
      <c r="N53" s="7" t="s">
        <v>9</v>
      </c>
      <c r="P53" t="s">
        <v>268</v>
      </c>
      <c r="Q53" s="3">
        <v>29000.628918324008</v>
      </c>
      <c r="R53" s="9">
        <v>5800.1257836648019</v>
      </c>
      <c r="S53" s="11"/>
      <c r="T53" s="3">
        <f>S53*100/R53</f>
        <v>0</v>
      </c>
      <c r="U53" s="3">
        <f>R53*Quota!$I$2/100</f>
        <v>4379.0949666669258</v>
      </c>
      <c r="V53" s="3">
        <f>U53*100/R53</f>
        <v>75.5</v>
      </c>
      <c r="W53" s="3">
        <f>U53-S53</f>
        <v>4379.0949666669258</v>
      </c>
      <c r="X53" s="13" t="s">
        <v>153</v>
      </c>
      <c r="Y53" s="3">
        <f>U53</f>
        <v>4379.0949666669258</v>
      </c>
      <c r="Z53" s="3">
        <f>Q53*6%</f>
        <v>1740.0377350994404</v>
      </c>
      <c r="AA53" s="3">
        <f>Q53*5%</f>
        <v>1450.0314459162005</v>
      </c>
      <c r="AB53" s="3">
        <f>Z53+AA53</f>
        <v>3190.0691810156409</v>
      </c>
      <c r="AC53" s="3">
        <f>Y53*12%</f>
        <v>525.49139600003105</v>
      </c>
      <c r="AD53" s="3">
        <f>Y53*3%</f>
        <v>131.37284900000776</v>
      </c>
      <c r="AE53" s="23">
        <f>Y53+AC53+AD53</f>
        <v>5035.9592116669646</v>
      </c>
      <c r="AF53" s="3">
        <f>(AB53*11%)+AB53</f>
        <v>3540.9767909273614</v>
      </c>
      <c r="AG53" s="21">
        <f>AE53-S53</f>
        <v>5035.9592116669646</v>
      </c>
      <c r="AH53" s="3">
        <f>AG53/Quota!$J$2</f>
        <v>167.86530705556549</v>
      </c>
      <c r="AI53">
        <f>CEILING(AG53/(Quota!$J$2*Quota!$K$2),1)</f>
        <v>17</v>
      </c>
      <c r="AL53" t="s">
        <v>154</v>
      </c>
      <c r="AM53" s="27"/>
      <c r="AN53" s="27"/>
      <c r="AO53" s="27"/>
      <c r="AP53" s="27"/>
      <c r="AQ53" s="27"/>
      <c r="AR53" s="27"/>
      <c r="AS53" s="28"/>
      <c r="AT53" s="28"/>
      <c r="AU53" s="28"/>
      <c r="AV53" s="28"/>
      <c r="AW53" s="28"/>
      <c r="AX53" s="28"/>
    </row>
    <row r="54" spans="1:50">
      <c r="A54" t="s">
        <v>141</v>
      </c>
      <c r="B54" t="s">
        <v>269</v>
      </c>
      <c r="C54" t="s">
        <v>2</v>
      </c>
      <c r="D54" t="s">
        <v>33</v>
      </c>
      <c r="E54" t="s">
        <v>39</v>
      </c>
      <c r="F54">
        <v>1</v>
      </c>
      <c r="G54">
        <v>5</v>
      </c>
      <c r="I54" t="s">
        <v>10</v>
      </c>
      <c r="J54" t="s">
        <v>10</v>
      </c>
      <c r="L54" t="s">
        <v>10</v>
      </c>
      <c r="M54" t="s">
        <v>144</v>
      </c>
      <c r="N54" s="7" t="s">
        <v>9</v>
      </c>
      <c r="P54" t="s">
        <v>270</v>
      </c>
      <c r="Q54" s="3">
        <v>5421.8510277733794</v>
      </c>
      <c r="R54" s="9">
        <v>1084.370205554676</v>
      </c>
      <c r="S54" s="11"/>
      <c r="T54" s="3">
        <f>S54*100/R54</f>
        <v>0</v>
      </c>
      <c r="U54" s="3">
        <f>R54*Quota!$I$2/100</f>
        <v>818.6995051937804</v>
      </c>
      <c r="V54" s="3">
        <f>U54*100/R54</f>
        <v>75.5</v>
      </c>
      <c r="W54" s="3">
        <f>U54-S54</f>
        <v>818.6995051937804</v>
      </c>
      <c r="X54" s="13" t="s">
        <v>153</v>
      </c>
      <c r="Y54" s="3">
        <f>U54</f>
        <v>818.6995051937804</v>
      </c>
      <c r="Z54" s="3">
        <f>Q54*6%</f>
        <v>325.31106166640274</v>
      </c>
      <c r="AA54" s="3">
        <f>Q54*5%</f>
        <v>271.09255138866899</v>
      </c>
      <c r="AB54" s="3">
        <f>Z54+AA54</f>
        <v>596.40361305507167</v>
      </c>
      <c r="AC54" s="3">
        <f>Y54*12%</f>
        <v>98.24394062325365</v>
      </c>
      <c r="AD54" s="3">
        <f>Y54*3%</f>
        <v>24.560985155813412</v>
      </c>
      <c r="AE54" s="23">
        <f>Y54+AC54+AD54</f>
        <v>941.50443097284744</v>
      </c>
      <c r="AF54" s="3">
        <f>(AB54*11%)+AB54</f>
        <v>662.00801049112954</v>
      </c>
      <c r="AG54" s="21">
        <f>AE54-S54</f>
        <v>941.50443097284744</v>
      </c>
      <c r="AH54" s="3">
        <f>AG54/Quota!$J$2</f>
        <v>31.383481032428246</v>
      </c>
      <c r="AI54">
        <f>CEILING(AG54/(Quota!$J$2*Quota!$K$2),1)</f>
        <v>4</v>
      </c>
      <c r="AL54" s="26" t="s">
        <v>147</v>
      </c>
      <c r="AM54" s="27">
        <f>Y54*(15*0.0004*5)</f>
        <v>24.560985155813412</v>
      </c>
      <c r="AN54" s="27">
        <f>Y54*(15*0.00006*5)</f>
        <v>3.6841477733720116</v>
      </c>
      <c r="AO54" s="27">
        <f>Y54*(0.000035*15*5)</f>
        <v>2.1490862011336733</v>
      </c>
      <c r="AP54" s="27">
        <f>Y54*(0.0001*3*5)</f>
        <v>1.2280492577906705</v>
      </c>
      <c r="AQ54" s="27">
        <f>Y54*(0.0002*30)</f>
        <v>4.9121970311626821</v>
      </c>
      <c r="AR54" s="27">
        <f>Y54*(0.0001*30)</f>
        <v>2.4560985155813411</v>
      </c>
      <c r="AS54" s="28">
        <f t="shared" ref="AS54:AX54" si="83">AM54*3</f>
        <v>73.682955467440237</v>
      </c>
      <c r="AT54" s="28">
        <f t="shared" si="83"/>
        <v>11.052443320116035</v>
      </c>
      <c r="AU54" s="28">
        <f t="shared" si="83"/>
        <v>6.4472586034010195</v>
      </c>
      <c r="AV54" s="28">
        <f t="shared" si="83"/>
        <v>3.6841477733720116</v>
      </c>
      <c r="AW54" s="28">
        <f t="shared" si="83"/>
        <v>14.736591093488046</v>
      </c>
      <c r="AX54" s="28">
        <f t="shared" si="83"/>
        <v>7.3682955467440232</v>
      </c>
    </row>
    <row r="55" spans="1:50">
      <c r="A55" t="s">
        <v>271</v>
      </c>
      <c r="B55" t="s">
        <v>272</v>
      </c>
      <c r="C55" t="s">
        <v>5</v>
      </c>
      <c r="D55" t="s">
        <v>76</v>
      </c>
      <c r="E55" t="s">
        <v>84</v>
      </c>
      <c r="F55">
        <v>1</v>
      </c>
      <c r="G55">
        <v>8</v>
      </c>
      <c r="H55" t="s">
        <v>273</v>
      </c>
      <c r="I55" t="s">
        <v>150</v>
      </c>
      <c r="J55" t="s">
        <v>10</v>
      </c>
      <c r="K55" t="s">
        <v>144</v>
      </c>
      <c r="L55" t="s">
        <v>274</v>
      </c>
      <c r="M55" t="s">
        <v>10</v>
      </c>
      <c r="N55" s="7" t="s">
        <v>9</v>
      </c>
      <c r="P55" t="s">
        <v>275</v>
      </c>
      <c r="Q55" s="3">
        <v>16085.65561965581</v>
      </c>
      <c r="R55" s="9">
        <f t="shared" ref="R55" si="84">Q55/5</f>
        <v>3217.1311239311622</v>
      </c>
      <c r="S55" s="11">
        <v>1971.2</v>
      </c>
      <c r="T55" s="11">
        <f t="shared" ref="T55" si="85">S55*100/R55</f>
        <v>61.2719819014184</v>
      </c>
      <c r="U55" s="16">
        <f>R55*Quota!$I$2/100</f>
        <v>2428.9339985680276</v>
      </c>
      <c r="V55" s="19">
        <f t="shared" ref="V55" si="86">U55*100/R55</f>
        <v>75.500000000000014</v>
      </c>
      <c r="W55" s="3">
        <f t="shared" ref="W55" si="87">U55-S55</f>
        <v>457.73399856802757</v>
      </c>
      <c r="X55" s="16" t="s">
        <v>146</v>
      </c>
      <c r="Y55" s="3">
        <f>U55</f>
        <v>2428.9339985680276</v>
      </c>
      <c r="Z55" s="3">
        <f t="shared" ref="Z55" si="88">Q55*6%</f>
        <v>965.13933717934856</v>
      </c>
      <c r="AA55" s="3">
        <f t="shared" ref="AA55" si="89">Q55*5%</f>
        <v>804.28278098279054</v>
      </c>
      <c r="AB55" s="3">
        <f t="shared" ref="AB55" si="90">Z55+AA55</f>
        <v>1769.4221181621392</v>
      </c>
      <c r="AC55" s="3">
        <f t="shared" ref="AC55" si="91">Y55*12%</f>
        <v>291.47207982816332</v>
      </c>
      <c r="AD55" s="3">
        <f t="shared" ref="AD55" si="92">Y55*3%</f>
        <v>72.868019957040829</v>
      </c>
      <c r="AE55" s="23">
        <f t="shared" ref="AE55" si="93">Y55+AC55+AD55</f>
        <v>2793.2740983532317</v>
      </c>
      <c r="AF55" s="3">
        <f t="shared" ref="AF55" si="94">(AB55*11%)+AB55</f>
        <v>1964.0585511599745</v>
      </c>
      <c r="AG55" s="21">
        <f t="shared" ref="AG55" si="95">AE55-S55</f>
        <v>822.07409835323165</v>
      </c>
      <c r="AH55" s="3">
        <f>AG55/Quota!$J$2</f>
        <v>27.402469945107722</v>
      </c>
      <c r="AI55">
        <f>CEILING(AG55/(Quota!$J$2*Quota!$K$2),1)</f>
        <v>3</v>
      </c>
      <c r="AL55" t="s">
        <v>147</v>
      </c>
      <c r="AM55" s="27">
        <f t="shared" ref="AM55" si="96">Y55*(15*0.0004*5)</f>
        <v>72.868019957040829</v>
      </c>
      <c r="AN55" s="27">
        <f t="shared" ref="AN55" si="97">Y55*(15*0.00006*5)</f>
        <v>10.930202993556124</v>
      </c>
      <c r="AO55" s="27">
        <f t="shared" ref="AO55" si="98">Y55*(0.000035*15*5)</f>
        <v>6.3759517462410722</v>
      </c>
      <c r="AP55" s="27">
        <f t="shared" ref="AP55" si="99">Y55*(0.0001*3*5)</f>
        <v>3.6434009978520416</v>
      </c>
      <c r="AQ55" s="27">
        <f t="shared" ref="AQ55" si="100">Y55*(0.0002*30)</f>
        <v>14.573603991408167</v>
      </c>
      <c r="AR55" s="27">
        <f t="shared" ref="AR55" si="101">Y55*(0.0001*30)</f>
        <v>7.2868019957040833</v>
      </c>
      <c r="AS55" s="28">
        <f t="shared" ref="AS55" si="102">AM55*3</f>
        <v>218.6040598711225</v>
      </c>
      <c r="AT55" s="28">
        <f t="shared" ref="AT55" si="103">AN55*3</f>
        <v>32.790608980668374</v>
      </c>
      <c r="AU55" s="28">
        <f t="shared" ref="AU55" si="104">AO55*3</f>
        <v>19.127855238723217</v>
      </c>
      <c r="AV55" s="28">
        <f t="shared" ref="AV55" si="105">AP55*3</f>
        <v>10.930202993556126</v>
      </c>
      <c r="AW55" s="28">
        <f t="shared" ref="AW55" si="106">AQ55*3</f>
        <v>43.720811974224503</v>
      </c>
      <c r="AX55" s="28">
        <f t="shared" ref="AX55" si="107">AR55*3</f>
        <v>21.860405987112252</v>
      </c>
    </row>
    <row r="56" spans="1:50">
      <c r="AM56" s="27">
        <f>SUM(AM2:AM55)</f>
        <v>2809.7253488507145</v>
      </c>
      <c r="AN56" s="27">
        <f t="shared" ref="AN56:AX56" si="108">SUM(AN2:AN55)</f>
        <v>421.4588023276072</v>
      </c>
      <c r="AO56" s="27">
        <f t="shared" si="108"/>
        <v>245.85096802443755</v>
      </c>
      <c r="AP56" s="27">
        <f t="shared" si="108"/>
        <v>140.48626744253579</v>
      </c>
      <c r="AQ56" s="27">
        <f t="shared" si="108"/>
        <v>561.94506977014316</v>
      </c>
      <c r="AR56" s="27">
        <f t="shared" si="108"/>
        <v>280.97253488507158</v>
      </c>
      <c r="AS56" s="27">
        <f t="shared" si="108"/>
        <v>8429.1760465521456</v>
      </c>
      <c r="AT56" s="27">
        <f t="shared" si="108"/>
        <v>1264.3764069828217</v>
      </c>
      <c r="AU56" s="27">
        <f t="shared" si="108"/>
        <v>737.55290407331245</v>
      </c>
      <c r="AV56" s="27">
        <f t="shared" si="108"/>
        <v>421.4588023276072</v>
      </c>
      <c r="AW56" s="27">
        <f t="shared" si="108"/>
        <v>1685.8352093104288</v>
      </c>
      <c r="AX56" s="27">
        <f t="shared" si="108"/>
        <v>842.9176046552144</v>
      </c>
    </row>
  </sheetData>
  <autoFilter ref="A1:AX56" xr:uid="{7C5F5D46-8C86-4D40-8A98-6F79DF805646}"/>
  <sortState xmlns:xlrd2="http://schemas.microsoft.com/office/spreadsheetml/2017/richdata2" ref="A2:N50">
    <sortCondition ref="B1:B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123B-99ED-4BCB-A275-048C9D08878D}">
  <dimension ref="A1:AX85"/>
  <sheetViews>
    <sheetView topLeftCell="I1" zoomScale="85" zoomScaleNormal="85" workbookViewId="0">
      <pane ySplit="1" topLeftCell="A67" activePane="bottomLeft" state="frozen"/>
      <selection pane="bottomLeft" activeCell="C42" sqref="C42"/>
      <selection activeCell="F1" sqref="F1"/>
    </sheetView>
  </sheetViews>
  <sheetFormatPr defaultRowHeight="14.45"/>
  <cols>
    <col min="1" max="1" width="17.85546875" customWidth="1"/>
    <col min="2" max="5" width="15.42578125" customWidth="1"/>
    <col min="10" max="10" width="21.140625" customWidth="1"/>
    <col min="11" max="11" width="25.85546875" customWidth="1"/>
    <col min="12" max="12" width="14" customWidth="1"/>
    <col min="13" max="15" width="21" customWidth="1"/>
    <col min="17" max="17" width="24" customWidth="1"/>
    <col min="18" max="18" width="16.5703125" style="3" customWidth="1"/>
    <col min="19" max="19" width="21.5703125" style="3" customWidth="1"/>
    <col min="20" max="20" width="18.85546875" style="3" customWidth="1"/>
    <col min="21" max="21" width="20.140625" customWidth="1"/>
  </cols>
  <sheetData>
    <row r="1" spans="1:24" s="1" customFormat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276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6" t="s">
        <v>106</v>
      </c>
      <c r="P1" s="1" t="s">
        <v>107</v>
      </c>
      <c r="Q1" s="1" t="s">
        <v>108</v>
      </c>
      <c r="R1" s="2" t="s">
        <v>109</v>
      </c>
      <c r="S1" s="8" t="s">
        <v>110</v>
      </c>
      <c r="T1" s="10" t="s">
        <v>111</v>
      </c>
      <c r="U1" s="1" t="s">
        <v>277</v>
      </c>
      <c r="V1" s="25" t="s">
        <v>126</v>
      </c>
      <c r="W1" s="25" t="s">
        <v>127</v>
      </c>
      <c r="X1" s="25" t="s">
        <v>128</v>
      </c>
    </row>
    <row r="2" spans="1:24">
      <c r="A2" t="s">
        <v>278</v>
      </c>
      <c r="B2" t="s">
        <v>279</v>
      </c>
      <c r="C2" t="s">
        <v>4</v>
      </c>
      <c r="D2" t="s">
        <v>52</v>
      </c>
      <c r="E2" t="s">
        <v>280</v>
      </c>
      <c r="F2">
        <v>2</v>
      </c>
      <c r="G2">
        <v>21</v>
      </c>
      <c r="H2">
        <v>6930.15715</v>
      </c>
      <c r="I2" t="s">
        <v>150</v>
      </c>
      <c r="J2" t="s">
        <v>160</v>
      </c>
      <c r="K2" t="s">
        <v>144</v>
      </c>
      <c r="L2" t="s">
        <v>281</v>
      </c>
      <c r="M2" t="s">
        <v>160</v>
      </c>
      <c r="N2" t="s">
        <v>144</v>
      </c>
      <c r="O2" s="7" t="s">
        <v>17</v>
      </c>
      <c r="P2" t="s">
        <v>234</v>
      </c>
      <c r="Q2" t="s">
        <v>282</v>
      </c>
      <c r="R2" s="3">
        <v>6930.1571503684754</v>
      </c>
      <c r="S2" s="9">
        <f t="shared" ref="S2:S33" si="0">R2/5</f>
        <v>1386.031430073695</v>
      </c>
      <c r="T2" s="11"/>
      <c r="V2" s="26">
        <v>3.61</v>
      </c>
      <c r="W2" s="26">
        <v>2</v>
      </c>
      <c r="X2" s="26" t="s">
        <v>147</v>
      </c>
    </row>
    <row r="3" spans="1:24">
      <c r="A3" t="s">
        <v>283</v>
      </c>
      <c r="B3" t="s">
        <v>284</v>
      </c>
      <c r="C3" t="s">
        <v>4</v>
      </c>
      <c r="D3" t="s">
        <v>54</v>
      </c>
      <c r="E3" t="s">
        <v>285</v>
      </c>
      <c r="F3">
        <v>4</v>
      </c>
      <c r="G3">
        <v>42</v>
      </c>
      <c r="H3">
        <v>19371.956956999999</v>
      </c>
      <c r="I3" t="s">
        <v>150</v>
      </c>
      <c r="J3" t="s">
        <v>286</v>
      </c>
      <c r="K3" t="s">
        <v>286</v>
      </c>
      <c r="L3" t="s">
        <v>281</v>
      </c>
      <c r="M3" t="s">
        <v>286</v>
      </c>
      <c r="N3" t="s">
        <v>286</v>
      </c>
      <c r="O3" s="7" t="s">
        <v>17</v>
      </c>
      <c r="P3" t="s">
        <v>234</v>
      </c>
      <c r="Q3" t="s">
        <v>287</v>
      </c>
      <c r="R3" s="3">
        <v>19371.956956962429</v>
      </c>
      <c r="S3" s="9">
        <f t="shared" si="0"/>
        <v>3874.3913913924857</v>
      </c>
      <c r="T3" s="11"/>
      <c r="V3" s="26">
        <v>3.52</v>
      </c>
      <c r="W3" s="26">
        <v>2</v>
      </c>
      <c r="X3" s="26" t="s">
        <v>147</v>
      </c>
    </row>
    <row r="4" spans="1:24">
      <c r="A4" t="s">
        <v>283</v>
      </c>
      <c r="B4" t="s">
        <v>288</v>
      </c>
      <c r="C4" t="s">
        <v>4</v>
      </c>
      <c r="D4" t="s">
        <v>289</v>
      </c>
      <c r="E4" t="s">
        <v>290</v>
      </c>
      <c r="F4">
        <v>2</v>
      </c>
      <c r="G4">
        <v>12</v>
      </c>
      <c r="H4">
        <v>24898.235521999999</v>
      </c>
      <c r="I4" t="s">
        <v>291</v>
      </c>
      <c r="J4" t="s">
        <v>160</v>
      </c>
      <c r="K4" t="s">
        <v>144</v>
      </c>
      <c r="L4" t="s">
        <v>151</v>
      </c>
      <c r="M4" t="s">
        <v>160</v>
      </c>
      <c r="N4" t="s">
        <v>144</v>
      </c>
      <c r="O4" s="7" t="s">
        <v>9</v>
      </c>
      <c r="Q4" t="s">
        <v>292</v>
      </c>
      <c r="R4" s="3">
        <v>24898.235521791434</v>
      </c>
      <c r="S4" s="9">
        <f t="shared" si="0"/>
        <v>4979.6471043582869</v>
      </c>
      <c r="T4" s="11">
        <v>3644.9096276999999</v>
      </c>
      <c r="V4" s="26">
        <v>3.66</v>
      </c>
      <c r="W4" s="26">
        <v>2</v>
      </c>
      <c r="X4" s="26" t="s">
        <v>147</v>
      </c>
    </row>
    <row r="5" spans="1:24">
      <c r="A5" t="s">
        <v>278</v>
      </c>
      <c r="B5" t="s">
        <v>293</v>
      </c>
      <c r="C5" t="s">
        <v>5</v>
      </c>
      <c r="D5" t="s">
        <v>294</v>
      </c>
      <c r="E5" t="s">
        <v>295</v>
      </c>
      <c r="F5">
        <v>1</v>
      </c>
      <c r="G5">
        <v>4</v>
      </c>
      <c r="H5">
        <v>16776.065588000001</v>
      </c>
      <c r="I5" t="s">
        <v>150</v>
      </c>
      <c r="J5" t="s">
        <v>10</v>
      </c>
      <c r="K5" t="s">
        <v>144</v>
      </c>
      <c r="L5" t="s">
        <v>156</v>
      </c>
      <c r="M5" t="s">
        <v>10</v>
      </c>
      <c r="N5" t="s">
        <v>144</v>
      </c>
      <c r="O5" s="7" t="s">
        <v>17</v>
      </c>
      <c r="Q5" t="s">
        <v>296</v>
      </c>
      <c r="R5" s="3">
        <v>16776.065587723533</v>
      </c>
      <c r="S5" s="9">
        <f t="shared" si="0"/>
        <v>3355.2131175447066</v>
      </c>
      <c r="T5" s="11"/>
      <c r="V5" s="26">
        <v>4.51</v>
      </c>
      <c r="W5" s="26">
        <v>3</v>
      </c>
      <c r="X5" s="26" t="s">
        <v>169</v>
      </c>
    </row>
    <row r="6" spans="1:24">
      <c r="A6" t="s">
        <v>297</v>
      </c>
      <c r="B6" t="s">
        <v>166</v>
      </c>
      <c r="C6" t="s">
        <v>4</v>
      </c>
      <c r="D6" t="s">
        <v>59</v>
      </c>
      <c r="E6" t="s">
        <v>60</v>
      </c>
      <c r="F6">
        <v>2</v>
      </c>
      <c r="G6">
        <v>16</v>
      </c>
      <c r="H6">
        <v>7650.2020320000001</v>
      </c>
      <c r="I6" t="s">
        <v>167</v>
      </c>
      <c r="J6" t="s">
        <v>160</v>
      </c>
      <c r="K6" t="s">
        <v>144</v>
      </c>
      <c r="L6" t="s">
        <v>150</v>
      </c>
      <c r="M6" t="s">
        <v>160</v>
      </c>
      <c r="N6" t="s">
        <v>144</v>
      </c>
      <c r="O6" s="7" t="s">
        <v>9</v>
      </c>
      <c r="Q6" t="s">
        <v>168</v>
      </c>
      <c r="R6" s="3">
        <v>7650.2020323446632</v>
      </c>
      <c r="S6" s="9">
        <f t="shared" si="0"/>
        <v>1530.0404064689326</v>
      </c>
      <c r="T6" s="11">
        <v>1145.039597</v>
      </c>
      <c r="V6" s="26">
        <v>4.32</v>
      </c>
      <c r="W6" s="26">
        <v>3</v>
      </c>
      <c r="X6" s="26" t="s">
        <v>169</v>
      </c>
    </row>
    <row r="7" spans="1:24">
      <c r="A7" t="s">
        <v>172</v>
      </c>
      <c r="B7" t="s">
        <v>298</v>
      </c>
      <c r="C7" t="s">
        <v>5</v>
      </c>
      <c r="D7" t="s">
        <v>294</v>
      </c>
      <c r="E7" t="s">
        <v>299</v>
      </c>
      <c r="F7">
        <v>2</v>
      </c>
      <c r="G7">
        <v>9</v>
      </c>
      <c r="H7">
        <v>9166.1850310000009</v>
      </c>
      <c r="I7" t="s">
        <v>150</v>
      </c>
      <c r="J7" t="s">
        <v>160</v>
      </c>
      <c r="K7" t="s">
        <v>144</v>
      </c>
      <c r="L7" t="s">
        <v>274</v>
      </c>
      <c r="M7" t="s">
        <v>160</v>
      </c>
      <c r="N7" t="s">
        <v>144</v>
      </c>
      <c r="O7" s="7" t="s">
        <v>17</v>
      </c>
      <c r="Q7" t="s">
        <v>300</v>
      </c>
      <c r="R7" s="3">
        <v>9166.1850305985809</v>
      </c>
      <c r="S7" s="9">
        <f t="shared" si="0"/>
        <v>1833.2370061197162</v>
      </c>
      <c r="T7" s="11"/>
      <c r="V7" s="26">
        <v>4.88</v>
      </c>
      <c r="W7" s="26">
        <v>3</v>
      </c>
      <c r="X7" s="26" t="s">
        <v>154</v>
      </c>
    </row>
    <row r="8" spans="1:24">
      <c r="A8" t="s">
        <v>283</v>
      </c>
      <c r="B8" t="s">
        <v>301</v>
      </c>
      <c r="C8" t="s">
        <v>2</v>
      </c>
      <c r="D8" t="s">
        <v>24</v>
      </c>
      <c r="E8" t="s">
        <v>302</v>
      </c>
      <c r="F8">
        <v>2</v>
      </c>
      <c r="G8">
        <v>7</v>
      </c>
      <c r="H8">
        <v>0</v>
      </c>
      <c r="I8" t="s">
        <v>150</v>
      </c>
      <c r="J8" t="s">
        <v>160</v>
      </c>
      <c r="K8" t="s">
        <v>144</v>
      </c>
      <c r="L8" t="s">
        <v>151</v>
      </c>
      <c r="M8" t="s">
        <v>160</v>
      </c>
      <c r="N8" t="s">
        <v>144</v>
      </c>
      <c r="O8" s="7" t="s">
        <v>17</v>
      </c>
      <c r="Q8" t="s">
        <v>303</v>
      </c>
      <c r="R8" s="3">
        <v>87710.334984734116</v>
      </c>
      <c r="S8" s="9">
        <f t="shared" si="0"/>
        <v>17542.066996946822</v>
      </c>
      <c r="T8" s="11"/>
      <c r="V8" s="26">
        <v>4.46</v>
      </c>
      <c r="W8" s="26">
        <v>3</v>
      </c>
      <c r="X8" s="26" t="s">
        <v>169</v>
      </c>
    </row>
    <row r="9" spans="1:24">
      <c r="A9" t="s">
        <v>172</v>
      </c>
      <c r="B9" t="s">
        <v>304</v>
      </c>
      <c r="C9" t="s">
        <v>4</v>
      </c>
      <c r="D9" t="s">
        <v>54</v>
      </c>
      <c r="E9" t="s">
        <v>305</v>
      </c>
      <c r="F9">
        <v>4</v>
      </c>
      <c r="G9">
        <v>44</v>
      </c>
      <c r="H9">
        <v>13243.640232</v>
      </c>
      <c r="I9" t="s">
        <v>167</v>
      </c>
      <c r="J9" t="s">
        <v>286</v>
      </c>
      <c r="K9" t="s">
        <v>286</v>
      </c>
      <c r="L9" t="s">
        <v>306</v>
      </c>
      <c r="M9" t="s">
        <v>286</v>
      </c>
      <c r="N9" t="s">
        <v>286</v>
      </c>
      <c r="O9" s="7" t="s">
        <v>17</v>
      </c>
      <c r="P9" t="s">
        <v>234</v>
      </c>
      <c r="Q9" t="s">
        <v>307</v>
      </c>
      <c r="R9" s="3">
        <v>13243.640232510128</v>
      </c>
      <c r="S9" s="9">
        <f t="shared" si="0"/>
        <v>2648.7280465020258</v>
      </c>
      <c r="T9" s="11">
        <v>2234.1104310999999</v>
      </c>
      <c r="V9" s="26">
        <v>3.55</v>
      </c>
      <c r="W9" s="26">
        <v>2</v>
      </c>
      <c r="X9" s="26" t="s">
        <v>147</v>
      </c>
    </row>
    <row r="10" spans="1:24">
      <c r="A10" t="s">
        <v>172</v>
      </c>
      <c r="B10" t="s">
        <v>308</v>
      </c>
      <c r="C10" t="s">
        <v>4</v>
      </c>
      <c r="D10" t="s">
        <v>52</v>
      </c>
      <c r="E10" t="s">
        <v>309</v>
      </c>
      <c r="F10">
        <v>2</v>
      </c>
      <c r="G10">
        <v>22</v>
      </c>
      <c r="H10">
        <v>15238.921477</v>
      </c>
      <c r="I10" t="s">
        <v>150</v>
      </c>
      <c r="J10" t="s">
        <v>160</v>
      </c>
      <c r="K10" t="s">
        <v>144</v>
      </c>
      <c r="L10" t="s">
        <v>310</v>
      </c>
      <c r="M10" t="s">
        <v>160</v>
      </c>
      <c r="N10" t="s">
        <v>144</v>
      </c>
      <c r="O10" s="7" t="s">
        <v>17</v>
      </c>
      <c r="Q10" t="s">
        <v>311</v>
      </c>
      <c r="R10" s="3">
        <v>15238.921476752254</v>
      </c>
      <c r="S10" s="9">
        <f t="shared" si="0"/>
        <v>3047.7842953504505</v>
      </c>
      <c r="T10" s="11"/>
      <c r="V10" s="26">
        <v>3.61</v>
      </c>
      <c r="W10" s="26">
        <v>2</v>
      </c>
      <c r="X10" s="26" t="s">
        <v>147</v>
      </c>
    </row>
    <row r="11" spans="1:24">
      <c r="A11" t="s">
        <v>283</v>
      </c>
      <c r="B11" t="s">
        <v>312</v>
      </c>
      <c r="C11" t="s">
        <v>2</v>
      </c>
      <c r="D11" t="s">
        <v>24</v>
      </c>
      <c r="E11" t="s">
        <v>313</v>
      </c>
      <c r="F11">
        <v>2</v>
      </c>
      <c r="G11">
        <v>1</v>
      </c>
      <c r="H11">
        <v>0</v>
      </c>
      <c r="I11" t="s">
        <v>150</v>
      </c>
      <c r="J11" t="s">
        <v>160</v>
      </c>
      <c r="K11" t="s">
        <v>144</v>
      </c>
      <c r="L11" t="s">
        <v>151</v>
      </c>
      <c r="M11" t="s">
        <v>160</v>
      </c>
      <c r="N11" t="s">
        <v>144</v>
      </c>
      <c r="O11" s="7" t="s">
        <v>17</v>
      </c>
      <c r="Q11" t="s">
        <v>314</v>
      </c>
      <c r="R11" s="3">
        <v>7092.3248979504242</v>
      </c>
      <c r="S11" s="9">
        <f t="shared" si="0"/>
        <v>1418.4649795900848</v>
      </c>
      <c r="T11" s="11"/>
      <c r="V11" s="26">
        <v>2.86</v>
      </c>
      <c r="W11" s="26">
        <v>1</v>
      </c>
      <c r="X11" s="26" t="s">
        <v>147</v>
      </c>
    </row>
    <row r="12" spans="1:24">
      <c r="A12" t="s">
        <v>283</v>
      </c>
      <c r="B12" t="s">
        <v>315</v>
      </c>
      <c r="C12" t="s">
        <v>4</v>
      </c>
      <c r="D12" t="s">
        <v>59</v>
      </c>
      <c r="E12" t="s">
        <v>316</v>
      </c>
      <c r="F12">
        <v>1</v>
      </c>
      <c r="G12">
        <v>8</v>
      </c>
      <c r="H12">
        <v>6170.2914970000002</v>
      </c>
      <c r="I12" t="s">
        <v>150</v>
      </c>
      <c r="J12" t="s">
        <v>10</v>
      </c>
      <c r="K12" t="s">
        <v>144</v>
      </c>
      <c r="L12" t="s">
        <v>151</v>
      </c>
      <c r="M12" t="s">
        <v>10</v>
      </c>
      <c r="N12" t="s">
        <v>144</v>
      </c>
      <c r="O12" s="7" t="s">
        <v>17</v>
      </c>
      <c r="Q12" t="s">
        <v>317</v>
      </c>
      <c r="R12" s="3">
        <v>6170.2914965375903</v>
      </c>
      <c r="S12" s="9">
        <f t="shared" si="0"/>
        <v>1234.0582993075182</v>
      </c>
      <c r="T12" s="11"/>
      <c r="V12" s="26">
        <v>1.82</v>
      </c>
      <c r="W12" s="26">
        <v>1</v>
      </c>
      <c r="X12" s="26" t="s">
        <v>147</v>
      </c>
    </row>
    <row r="13" spans="1:24">
      <c r="A13" t="s">
        <v>283</v>
      </c>
      <c r="B13" t="s">
        <v>184</v>
      </c>
      <c r="C13" t="s">
        <v>3</v>
      </c>
      <c r="D13" t="s">
        <v>46</v>
      </c>
      <c r="E13" t="s">
        <v>48</v>
      </c>
      <c r="F13">
        <v>1</v>
      </c>
      <c r="G13">
        <v>3</v>
      </c>
      <c r="H13">
        <v>0</v>
      </c>
      <c r="I13" t="s">
        <v>143</v>
      </c>
      <c r="J13" t="s">
        <v>10</v>
      </c>
      <c r="K13" t="s">
        <v>144</v>
      </c>
      <c r="L13" t="s">
        <v>151</v>
      </c>
      <c r="M13" t="s">
        <v>10</v>
      </c>
      <c r="N13" t="s">
        <v>144</v>
      </c>
      <c r="O13" s="7" t="s">
        <v>9</v>
      </c>
      <c r="Q13" t="s">
        <v>185</v>
      </c>
      <c r="R13" s="3">
        <v>20666.18631689177</v>
      </c>
      <c r="S13" s="9">
        <f t="shared" si="0"/>
        <v>4133.2372633783543</v>
      </c>
      <c r="T13" s="11">
        <v>2311</v>
      </c>
      <c r="V13" s="26">
        <v>3.32</v>
      </c>
      <c r="W13" s="26">
        <v>1</v>
      </c>
      <c r="X13" s="26" t="s">
        <v>147</v>
      </c>
    </row>
    <row r="14" spans="1:24">
      <c r="A14" t="s">
        <v>283</v>
      </c>
      <c r="B14" t="s">
        <v>186</v>
      </c>
      <c r="C14" t="s">
        <v>3</v>
      </c>
      <c r="D14" t="s">
        <v>46</v>
      </c>
      <c r="E14" t="s">
        <v>49</v>
      </c>
      <c r="F14">
        <v>1</v>
      </c>
      <c r="G14">
        <v>16</v>
      </c>
      <c r="H14">
        <v>49359.829534999997</v>
      </c>
      <c r="I14" t="s">
        <v>143</v>
      </c>
      <c r="J14" t="s">
        <v>10</v>
      </c>
      <c r="K14" t="s">
        <v>144</v>
      </c>
      <c r="L14" t="s">
        <v>151</v>
      </c>
      <c r="M14" t="s">
        <v>10</v>
      </c>
      <c r="N14" t="s">
        <v>144</v>
      </c>
      <c r="O14" s="7" t="s">
        <v>9</v>
      </c>
      <c r="Q14" t="s">
        <v>187</v>
      </c>
      <c r="R14" s="3">
        <v>49359.82953523146</v>
      </c>
      <c r="S14" s="9">
        <f t="shared" si="0"/>
        <v>9871.9659070462912</v>
      </c>
      <c r="T14" s="11">
        <v>7000</v>
      </c>
      <c r="V14" s="26">
        <v>3.98</v>
      </c>
      <c r="W14" s="26">
        <v>2</v>
      </c>
      <c r="X14" s="26" t="s">
        <v>147</v>
      </c>
    </row>
    <row r="15" spans="1:24">
      <c r="A15" t="s">
        <v>278</v>
      </c>
      <c r="B15" t="s">
        <v>318</v>
      </c>
      <c r="C15" t="s">
        <v>2</v>
      </c>
      <c r="D15" t="s">
        <v>33</v>
      </c>
      <c r="E15" t="s">
        <v>319</v>
      </c>
      <c r="F15">
        <v>3</v>
      </c>
      <c r="G15">
        <v>17</v>
      </c>
      <c r="H15">
        <v>4440.218887</v>
      </c>
      <c r="I15" t="s">
        <v>143</v>
      </c>
      <c r="J15" t="s">
        <v>320</v>
      </c>
      <c r="K15" t="s">
        <v>144</v>
      </c>
      <c r="L15" t="s">
        <v>151</v>
      </c>
      <c r="M15" t="s">
        <v>320</v>
      </c>
      <c r="N15" t="s">
        <v>144</v>
      </c>
      <c r="O15" s="7" t="s">
        <v>17</v>
      </c>
      <c r="Q15" t="s">
        <v>321</v>
      </c>
      <c r="R15" s="3">
        <v>4440.2188865347571</v>
      </c>
      <c r="S15" s="9">
        <f t="shared" si="0"/>
        <v>888.04377730695137</v>
      </c>
      <c r="T15" s="11">
        <v>754</v>
      </c>
      <c r="V15" s="26">
        <v>3.68</v>
      </c>
      <c r="W15" s="26">
        <v>2</v>
      </c>
      <c r="X15" s="26" t="s">
        <v>147</v>
      </c>
    </row>
    <row r="16" spans="1:24">
      <c r="A16" t="s">
        <v>283</v>
      </c>
      <c r="B16" t="s">
        <v>322</v>
      </c>
      <c r="C16" t="s">
        <v>2</v>
      </c>
      <c r="D16" t="s">
        <v>44</v>
      </c>
      <c r="E16" t="s">
        <v>323</v>
      </c>
      <c r="F16">
        <v>1</v>
      </c>
      <c r="G16">
        <v>3</v>
      </c>
      <c r="H16">
        <v>17600.102239</v>
      </c>
      <c r="I16" t="s">
        <v>156</v>
      </c>
      <c r="J16" t="s">
        <v>10</v>
      </c>
      <c r="K16" t="s">
        <v>144</v>
      </c>
      <c r="L16" t="s">
        <v>151</v>
      </c>
      <c r="M16" t="s">
        <v>10</v>
      </c>
      <c r="N16" t="s">
        <v>144</v>
      </c>
      <c r="O16" s="7" t="s">
        <v>17</v>
      </c>
      <c r="Q16" t="s">
        <v>324</v>
      </c>
      <c r="R16" s="3">
        <v>17600.102239384898</v>
      </c>
      <c r="S16" s="9">
        <f t="shared" si="0"/>
        <v>3520.0204478769797</v>
      </c>
      <c r="T16" s="11">
        <v>400</v>
      </c>
      <c r="V16" s="26">
        <v>4.55</v>
      </c>
      <c r="W16" s="26">
        <v>3</v>
      </c>
      <c r="X16" s="26" t="s">
        <v>154</v>
      </c>
    </row>
    <row r="17" spans="1:24">
      <c r="A17" t="s">
        <v>278</v>
      </c>
      <c r="B17" t="s">
        <v>325</v>
      </c>
      <c r="C17" t="s">
        <v>2</v>
      </c>
      <c r="D17" t="s">
        <v>33</v>
      </c>
      <c r="E17" t="s">
        <v>326</v>
      </c>
      <c r="F17">
        <v>2</v>
      </c>
      <c r="G17">
        <v>8</v>
      </c>
      <c r="H17">
        <v>6334.2068660000004</v>
      </c>
      <c r="I17" t="s">
        <v>150</v>
      </c>
      <c r="J17" t="s">
        <v>160</v>
      </c>
      <c r="K17" t="s">
        <v>144</v>
      </c>
      <c r="L17" t="s">
        <v>151</v>
      </c>
      <c r="M17" t="s">
        <v>160</v>
      </c>
      <c r="N17" t="s">
        <v>144</v>
      </c>
      <c r="O17" s="7" t="s">
        <v>17</v>
      </c>
      <c r="Q17" t="s">
        <v>327</v>
      </c>
      <c r="R17" s="3">
        <v>6334.2068661016874</v>
      </c>
      <c r="S17" s="9">
        <f t="shared" si="0"/>
        <v>1266.8413732203376</v>
      </c>
      <c r="T17" s="11"/>
      <c r="V17" s="26">
        <v>3.45</v>
      </c>
      <c r="W17" s="26">
        <v>1</v>
      </c>
      <c r="X17" s="26" t="s">
        <v>147</v>
      </c>
    </row>
    <row r="18" spans="1:24">
      <c r="A18" t="s">
        <v>297</v>
      </c>
      <c r="B18" t="s">
        <v>328</v>
      </c>
      <c r="C18" t="s">
        <v>4</v>
      </c>
      <c r="D18" t="s">
        <v>67</v>
      </c>
      <c r="E18" t="s">
        <v>329</v>
      </c>
      <c r="F18">
        <v>2</v>
      </c>
      <c r="G18">
        <v>11</v>
      </c>
      <c r="H18">
        <v>6891.0582969999996</v>
      </c>
      <c r="I18" t="s">
        <v>156</v>
      </c>
      <c r="J18" t="s">
        <v>160</v>
      </c>
      <c r="K18" t="s">
        <v>144</v>
      </c>
      <c r="L18" t="s">
        <v>150</v>
      </c>
      <c r="M18" t="s">
        <v>330</v>
      </c>
      <c r="N18" t="s">
        <v>144</v>
      </c>
      <c r="O18" s="7" t="s">
        <v>17</v>
      </c>
      <c r="Q18" t="s">
        <v>331</v>
      </c>
      <c r="R18" s="3">
        <v>6891.0582972021375</v>
      </c>
      <c r="S18" s="9">
        <f t="shared" si="0"/>
        <v>1378.2116594404274</v>
      </c>
      <c r="T18" s="11">
        <v>440</v>
      </c>
      <c r="V18" s="26">
        <v>6.46</v>
      </c>
      <c r="W18" s="26">
        <v>4</v>
      </c>
      <c r="X18" s="26" t="s">
        <v>154</v>
      </c>
    </row>
    <row r="19" spans="1:24">
      <c r="A19" t="s">
        <v>283</v>
      </c>
      <c r="B19" t="s">
        <v>190</v>
      </c>
      <c r="C19" t="s">
        <v>5</v>
      </c>
      <c r="D19" t="s">
        <v>76</v>
      </c>
      <c r="E19" t="s">
        <v>77</v>
      </c>
      <c r="F19">
        <v>2</v>
      </c>
      <c r="G19">
        <v>20</v>
      </c>
      <c r="H19">
        <v>7435.6769290000002</v>
      </c>
      <c r="I19" t="s">
        <v>143</v>
      </c>
      <c r="J19" t="s">
        <v>160</v>
      </c>
      <c r="K19" t="s">
        <v>144</v>
      </c>
      <c r="L19" t="s">
        <v>151</v>
      </c>
      <c r="M19" t="s">
        <v>160</v>
      </c>
      <c r="N19" t="s">
        <v>144</v>
      </c>
      <c r="O19" s="7" t="s">
        <v>9</v>
      </c>
      <c r="Q19" t="s">
        <v>191</v>
      </c>
      <c r="R19" s="3">
        <v>7435.6769288184405</v>
      </c>
      <c r="S19" s="9">
        <f t="shared" si="0"/>
        <v>1487.1353857636882</v>
      </c>
      <c r="T19" s="11">
        <v>725.33333332999996</v>
      </c>
      <c r="V19" s="26">
        <v>4.1500000000000004</v>
      </c>
      <c r="W19" s="26">
        <v>3</v>
      </c>
      <c r="X19" s="26" t="s">
        <v>169</v>
      </c>
    </row>
    <row r="20" spans="1:24">
      <c r="A20" t="s">
        <v>283</v>
      </c>
      <c r="B20" t="s">
        <v>192</v>
      </c>
      <c r="C20" t="s">
        <v>5</v>
      </c>
      <c r="D20" t="s">
        <v>76</v>
      </c>
      <c r="E20" t="s">
        <v>78</v>
      </c>
      <c r="F20">
        <v>2</v>
      </c>
      <c r="G20">
        <v>16</v>
      </c>
      <c r="H20">
        <v>25604.090634</v>
      </c>
      <c r="I20" t="s">
        <v>143</v>
      </c>
      <c r="J20" t="s">
        <v>160</v>
      </c>
      <c r="K20" t="s">
        <v>144</v>
      </c>
      <c r="L20" t="s">
        <v>151</v>
      </c>
      <c r="M20" t="s">
        <v>160</v>
      </c>
      <c r="N20" t="s">
        <v>144</v>
      </c>
      <c r="O20" s="7" t="s">
        <v>9</v>
      </c>
      <c r="Q20" t="s">
        <v>193</v>
      </c>
      <c r="R20" s="3">
        <v>25604.090633962413</v>
      </c>
      <c r="S20" s="9">
        <f t="shared" si="0"/>
        <v>5120.8181267924829</v>
      </c>
      <c r="T20" s="11">
        <v>2400</v>
      </c>
      <c r="V20" s="26">
        <v>4.47</v>
      </c>
      <c r="W20" s="26">
        <v>3</v>
      </c>
      <c r="X20" s="26" t="s">
        <v>169</v>
      </c>
    </row>
    <row r="21" spans="1:24">
      <c r="A21" t="s">
        <v>283</v>
      </c>
      <c r="B21" t="s">
        <v>194</v>
      </c>
      <c r="C21" t="s">
        <v>4</v>
      </c>
      <c r="D21" t="s">
        <v>67</v>
      </c>
      <c r="E21" t="s">
        <v>69</v>
      </c>
      <c r="F21">
        <v>1</v>
      </c>
      <c r="G21">
        <v>4</v>
      </c>
      <c r="H21">
        <v>3885.664616</v>
      </c>
      <c r="I21" t="s">
        <v>159</v>
      </c>
      <c r="J21" t="s">
        <v>10</v>
      </c>
      <c r="K21" t="s">
        <v>144</v>
      </c>
      <c r="L21" t="s">
        <v>151</v>
      </c>
      <c r="M21" t="s">
        <v>10</v>
      </c>
      <c r="N21" t="s">
        <v>144</v>
      </c>
      <c r="O21" s="7" t="s">
        <v>9</v>
      </c>
      <c r="Q21" t="s">
        <v>195</v>
      </c>
      <c r="R21" s="3">
        <v>3885.6646158953922</v>
      </c>
      <c r="S21" s="9">
        <f t="shared" si="0"/>
        <v>777.13292317907849</v>
      </c>
      <c r="T21" s="11">
        <v>582.96027370000002</v>
      </c>
      <c r="V21" s="26">
        <v>3.34</v>
      </c>
      <c r="W21" s="26">
        <v>1</v>
      </c>
      <c r="X21" s="26" t="s">
        <v>147</v>
      </c>
    </row>
    <row r="22" spans="1:24">
      <c r="A22" t="s">
        <v>278</v>
      </c>
      <c r="B22" t="s">
        <v>332</v>
      </c>
      <c r="C22" t="s">
        <v>5</v>
      </c>
      <c r="D22" t="s">
        <v>294</v>
      </c>
      <c r="E22" t="s">
        <v>333</v>
      </c>
      <c r="F22">
        <v>1</v>
      </c>
      <c r="G22">
        <v>1</v>
      </c>
      <c r="H22">
        <v>4608.7106960000001</v>
      </c>
      <c r="I22" t="s">
        <v>150</v>
      </c>
      <c r="J22" t="s">
        <v>10</v>
      </c>
      <c r="K22" t="s">
        <v>144</v>
      </c>
      <c r="L22" t="s">
        <v>274</v>
      </c>
      <c r="M22" t="s">
        <v>10</v>
      </c>
      <c r="N22" t="s">
        <v>144</v>
      </c>
      <c r="O22" s="7" t="s">
        <v>17</v>
      </c>
      <c r="Q22" t="s">
        <v>334</v>
      </c>
      <c r="R22" s="3">
        <v>4608.7106959326011</v>
      </c>
      <c r="S22" s="9">
        <f t="shared" si="0"/>
        <v>921.74213918652026</v>
      </c>
      <c r="T22" s="11"/>
      <c r="V22" s="26">
        <v>3.61</v>
      </c>
      <c r="W22" s="26">
        <v>2</v>
      </c>
      <c r="X22" s="26" t="s">
        <v>147</v>
      </c>
    </row>
    <row r="23" spans="1:24">
      <c r="A23" t="s">
        <v>204</v>
      </c>
      <c r="B23" t="s">
        <v>335</v>
      </c>
      <c r="C23" t="s">
        <v>2</v>
      </c>
      <c r="D23" t="s">
        <v>44</v>
      </c>
      <c r="E23" t="s">
        <v>336</v>
      </c>
      <c r="F23">
        <v>2</v>
      </c>
      <c r="G23">
        <v>4</v>
      </c>
      <c r="H23">
        <v>20103.198843999999</v>
      </c>
      <c r="I23" t="s">
        <v>156</v>
      </c>
      <c r="J23" t="s">
        <v>160</v>
      </c>
      <c r="K23" t="s">
        <v>144</v>
      </c>
      <c r="L23" t="s">
        <v>151</v>
      </c>
      <c r="M23" t="s">
        <v>160</v>
      </c>
      <c r="N23" t="s">
        <v>144</v>
      </c>
      <c r="O23" s="7" t="s">
        <v>17</v>
      </c>
      <c r="Q23" t="s">
        <v>337</v>
      </c>
      <c r="R23" s="3">
        <v>20103.198844540642</v>
      </c>
      <c r="S23" s="9">
        <f t="shared" si="0"/>
        <v>4020.6397689081286</v>
      </c>
      <c r="T23" s="11">
        <v>400</v>
      </c>
      <c r="V23" s="26">
        <v>2.96</v>
      </c>
      <c r="W23" s="26">
        <v>1</v>
      </c>
      <c r="X23" s="26" t="s">
        <v>169</v>
      </c>
    </row>
    <row r="24" spans="1:24">
      <c r="A24" t="s">
        <v>283</v>
      </c>
      <c r="B24" t="s">
        <v>338</v>
      </c>
      <c r="C24" t="s">
        <v>5</v>
      </c>
      <c r="D24" t="s">
        <v>76</v>
      </c>
      <c r="E24" t="s">
        <v>339</v>
      </c>
      <c r="F24">
        <v>1</v>
      </c>
      <c r="G24">
        <v>3</v>
      </c>
      <c r="H24">
        <v>17372.969195999998</v>
      </c>
      <c r="I24" t="s">
        <v>156</v>
      </c>
      <c r="J24" t="s">
        <v>10</v>
      </c>
      <c r="K24" t="s">
        <v>144</v>
      </c>
      <c r="L24" t="s">
        <v>151</v>
      </c>
      <c r="M24" t="s">
        <v>10</v>
      </c>
      <c r="N24" t="s">
        <v>144</v>
      </c>
      <c r="O24" s="7" t="s">
        <v>17</v>
      </c>
      <c r="Q24" t="s">
        <v>340</v>
      </c>
      <c r="R24" s="3">
        <v>17372.969196479673</v>
      </c>
      <c r="S24" s="9">
        <f t="shared" si="0"/>
        <v>3474.5938392959347</v>
      </c>
      <c r="T24" s="11">
        <v>955</v>
      </c>
      <c r="V24" s="26">
        <v>2.42</v>
      </c>
      <c r="W24" s="26">
        <v>1</v>
      </c>
      <c r="X24" s="26" t="s">
        <v>169</v>
      </c>
    </row>
    <row r="25" spans="1:24">
      <c r="A25" t="s">
        <v>283</v>
      </c>
      <c r="B25" t="s">
        <v>341</v>
      </c>
      <c r="C25" t="s">
        <v>4</v>
      </c>
      <c r="D25" t="s">
        <v>52</v>
      </c>
      <c r="E25" t="s">
        <v>342</v>
      </c>
      <c r="F25">
        <v>2</v>
      </c>
      <c r="G25">
        <v>12</v>
      </c>
      <c r="H25">
        <v>6622.9466380000003</v>
      </c>
      <c r="I25" t="s">
        <v>150</v>
      </c>
      <c r="J25" t="s">
        <v>160</v>
      </c>
      <c r="K25" t="s">
        <v>144</v>
      </c>
      <c r="L25" t="s">
        <v>343</v>
      </c>
      <c r="M25" t="s">
        <v>160</v>
      </c>
      <c r="N25" t="s">
        <v>144</v>
      </c>
      <c r="O25" s="7" t="s">
        <v>17</v>
      </c>
      <c r="P25" t="s">
        <v>234</v>
      </c>
      <c r="Q25" t="s">
        <v>344</v>
      </c>
      <c r="R25" s="3">
        <v>6622.9466376074051</v>
      </c>
      <c r="S25" s="9">
        <f t="shared" si="0"/>
        <v>1324.589327521481</v>
      </c>
      <c r="T25" s="11"/>
      <c r="V25" s="26">
        <v>4.25</v>
      </c>
      <c r="W25" s="26">
        <v>3</v>
      </c>
      <c r="X25" s="26" t="s">
        <v>147</v>
      </c>
    </row>
    <row r="26" spans="1:24">
      <c r="A26" t="s">
        <v>278</v>
      </c>
      <c r="B26" t="s">
        <v>345</v>
      </c>
      <c r="C26" t="s">
        <v>5</v>
      </c>
      <c r="D26" t="s">
        <v>76</v>
      </c>
      <c r="E26" t="s">
        <v>346</v>
      </c>
      <c r="F26">
        <v>2</v>
      </c>
      <c r="G26">
        <v>22</v>
      </c>
      <c r="H26">
        <v>13863.27845</v>
      </c>
      <c r="I26" t="s">
        <v>150</v>
      </c>
      <c r="J26" t="s">
        <v>160</v>
      </c>
      <c r="K26" t="s">
        <v>144</v>
      </c>
      <c r="L26" t="s">
        <v>151</v>
      </c>
      <c r="M26" t="s">
        <v>160</v>
      </c>
      <c r="N26" t="s">
        <v>144</v>
      </c>
      <c r="O26" s="7" t="s">
        <v>17</v>
      </c>
      <c r="Q26" t="s">
        <v>347</v>
      </c>
      <c r="R26" s="3">
        <v>13863.278449716105</v>
      </c>
      <c r="S26" s="9">
        <f t="shared" si="0"/>
        <v>2772.6556899432208</v>
      </c>
      <c r="T26" s="11"/>
      <c r="V26" s="26">
        <v>3.74</v>
      </c>
      <c r="W26" s="26">
        <v>2</v>
      </c>
      <c r="X26" s="26" t="s">
        <v>147</v>
      </c>
    </row>
    <row r="27" spans="1:24">
      <c r="A27" t="s">
        <v>175</v>
      </c>
      <c r="B27" t="s">
        <v>348</v>
      </c>
      <c r="C27" t="s">
        <v>2</v>
      </c>
      <c r="D27" t="s">
        <v>19</v>
      </c>
      <c r="E27" t="s">
        <v>349</v>
      </c>
      <c r="F27">
        <v>3</v>
      </c>
      <c r="G27">
        <v>13</v>
      </c>
      <c r="H27">
        <v>0</v>
      </c>
      <c r="I27" t="s">
        <v>156</v>
      </c>
      <c r="J27" t="s">
        <v>320</v>
      </c>
      <c r="K27" t="s">
        <v>144</v>
      </c>
      <c r="L27" t="s">
        <v>151</v>
      </c>
      <c r="M27" t="s">
        <v>320</v>
      </c>
      <c r="N27" t="s">
        <v>144</v>
      </c>
      <c r="O27" s="7" t="s">
        <v>17</v>
      </c>
      <c r="Q27" t="s">
        <v>350</v>
      </c>
      <c r="R27" s="3">
        <v>32896.888660595279</v>
      </c>
      <c r="S27" s="9">
        <f t="shared" si="0"/>
        <v>6579.3777321190555</v>
      </c>
      <c r="T27" s="11">
        <v>889</v>
      </c>
      <c r="V27" s="26">
        <v>3.78</v>
      </c>
      <c r="W27" s="26">
        <v>2</v>
      </c>
      <c r="X27" s="26" t="s">
        <v>169</v>
      </c>
    </row>
    <row r="28" spans="1:24">
      <c r="A28" t="s">
        <v>172</v>
      </c>
      <c r="B28" t="s">
        <v>351</v>
      </c>
      <c r="C28" t="s">
        <v>2</v>
      </c>
      <c r="D28" t="s">
        <v>33</v>
      </c>
      <c r="E28" t="s">
        <v>352</v>
      </c>
      <c r="F28">
        <v>2</v>
      </c>
      <c r="G28">
        <v>7</v>
      </c>
      <c r="H28">
        <v>38441.812615000003</v>
      </c>
      <c r="I28" t="s">
        <v>241</v>
      </c>
      <c r="J28" t="s">
        <v>160</v>
      </c>
      <c r="K28" t="s">
        <v>144</v>
      </c>
      <c r="L28" t="s">
        <v>151</v>
      </c>
      <c r="M28" t="s">
        <v>160</v>
      </c>
      <c r="N28" t="s">
        <v>144</v>
      </c>
      <c r="O28" s="7" t="s">
        <v>17</v>
      </c>
      <c r="Q28" t="s">
        <v>353</v>
      </c>
      <c r="R28" s="3">
        <v>38441.812614950606</v>
      </c>
      <c r="S28" s="9">
        <f t="shared" si="0"/>
        <v>7688.3625229901209</v>
      </c>
      <c r="T28" s="11">
        <v>2208</v>
      </c>
      <c r="V28" s="26">
        <v>3.84</v>
      </c>
      <c r="W28" s="26">
        <v>2</v>
      </c>
      <c r="X28" s="26" t="s">
        <v>147</v>
      </c>
    </row>
    <row r="29" spans="1:24">
      <c r="A29" t="s">
        <v>283</v>
      </c>
      <c r="B29" t="s">
        <v>354</v>
      </c>
      <c r="C29" t="s">
        <v>5</v>
      </c>
      <c r="D29" t="s">
        <v>76</v>
      </c>
      <c r="E29" t="s">
        <v>355</v>
      </c>
      <c r="F29">
        <v>2</v>
      </c>
      <c r="G29">
        <v>11</v>
      </c>
      <c r="H29">
        <v>6527.5124249999999</v>
      </c>
      <c r="I29" t="s">
        <v>150</v>
      </c>
      <c r="J29" t="s">
        <v>160</v>
      </c>
      <c r="K29" t="s">
        <v>144</v>
      </c>
      <c r="L29" t="s">
        <v>151</v>
      </c>
      <c r="M29" t="s">
        <v>160</v>
      </c>
      <c r="N29" t="s">
        <v>144</v>
      </c>
      <c r="O29" s="7" t="s">
        <v>17</v>
      </c>
      <c r="Q29" t="s">
        <v>356</v>
      </c>
      <c r="R29" s="3">
        <v>6527.5124253675749</v>
      </c>
      <c r="S29" s="9">
        <f t="shared" si="0"/>
        <v>1305.5024850735149</v>
      </c>
      <c r="T29" s="11"/>
      <c r="V29" s="26">
        <v>3.5</v>
      </c>
      <c r="W29" s="26">
        <v>1</v>
      </c>
      <c r="X29" s="26" t="s">
        <v>147</v>
      </c>
    </row>
    <row r="30" spans="1:24">
      <c r="A30" t="s">
        <v>283</v>
      </c>
      <c r="B30" t="s">
        <v>357</v>
      </c>
      <c r="C30" t="s">
        <v>2</v>
      </c>
      <c r="D30" t="s">
        <v>40</v>
      </c>
      <c r="E30" t="s">
        <v>40</v>
      </c>
      <c r="F30">
        <v>2</v>
      </c>
      <c r="G30">
        <v>5</v>
      </c>
      <c r="H30">
        <v>44195.667056999999</v>
      </c>
      <c r="I30" t="s">
        <v>150</v>
      </c>
      <c r="J30" t="s">
        <v>160</v>
      </c>
      <c r="K30" t="s">
        <v>144</v>
      </c>
      <c r="L30" t="s">
        <v>151</v>
      </c>
      <c r="M30" t="s">
        <v>160</v>
      </c>
      <c r="N30" t="s">
        <v>144</v>
      </c>
      <c r="O30" s="7" t="s">
        <v>17</v>
      </c>
      <c r="Q30" t="s">
        <v>358</v>
      </c>
      <c r="R30" s="3">
        <v>44195.667056671533</v>
      </c>
      <c r="S30" s="9">
        <f t="shared" si="0"/>
        <v>8839.1334113343073</v>
      </c>
      <c r="T30" s="11"/>
      <c r="V30" s="26">
        <v>3.99</v>
      </c>
      <c r="W30" s="26">
        <v>2</v>
      </c>
      <c r="X30" s="26" t="s">
        <v>147</v>
      </c>
    </row>
    <row r="31" spans="1:24">
      <c r="A31" t="s">
        <v>175</v>
      </c>
      <c r="B31" t="s">
        <v>359</v>
      </c>
      <c r="C31" t="s">
        <v>2</v>
      </c>
      <c r="D31" t="s">
        <v>44</v>
      </c>
      <c r="E31" t="s">
        <v>360</v>
      </c>
      <c r="F31">
        <v>2</v>
      </c>
      <c r="G31">
        <v>6</v>
      </c>
      <c r="H31">
        <v>29597.973643000001</v>
      </c>
      <c r="I31" t="s">
        <v>156</v>
      </c>
      <c r="J31" t="s">
        <v>160</v>
      </c>
      <c r="K31" t="s">
        <v>144</v>
      </c>
      <c r="L31" t="s">
        <v>361</v>
      </c>
      <c r="M31" t="s">
        <v>160</v>
      </c>
      <c r="N31" t="s">
        <v>144</v>
      </c>
      <c r="O31" s="7" t="s">
        <v>17</v>
      </c>
      <c r="Q31" t="s">
        <v>362</v>
      </c>
      <c r="R31" s="3">
        <v>29597.973643418612</v>
      </c>
      <c r="S31" s="9">
        <f t="shared" si="0"/>
        <v>5919.5947286837227</v>
      </c>
      <c r="T31" s="11">
        <v>400</v>
      </c>
      <c r="V31" s="26">
        <v>4.01</v>
      </c>
      <c r="W31" s="26">
        <v>3</v>
      </c>
      <c r="X31" s="26" t="s">
        <v>147</v>
      </c>
    </row>
    <row r="32" spans="1:24">
      <c r="A32" t="s">
        <v>283</v>
      </c>
      <c r="B32" t="s">
        <v>205</v>
      </c>
      <c r="C32" t="s">
        <v>2</v>
      </c>
      <c r="D32" t="s">
        <v>19</v>
      </c>
      <c r="E32" t="s">
        <v>20</v>
      </c>
      <c r="F32">
        <v>2</v>
      </c>
      <c r="G32">
        <v>8</v>
      </c>
      <c r="H32">
        <v>13316.715217999999</v>
      </c>
      <c r="I32" t="s">
        <v>143</v>
      </c>
      <c r="J32" t="s">
        <v>160</v>
      </c>
      <c r="K32" t="s">
        <v>144</v>
      </c>
      <c r="L32" t="s">
        <v>151</v>
      </c>
      <c r="M32" t="s">
        <v>160</v>
      </c>
      <c r="N32" t="s">
        <v>144</v>
      </c>
      <c r="O32" s="7" t="s">
        <v>9</v>
      </c>
      <c r="Q32" t="s">
        <v>206</v>
      </c>
      <c r="R32" s="3">
        <v>13316.715217575194</v>
      </c>
      <c r="S32" s="9">
        <f t="shared" si="0"/>
        <v>2663.343043515039</v>
      </c>
      <c r="T32" s="11">
        <v>2540</v>
      </c>
      <c r="V32" s="26">
        <v>4.2</v>
      </c>
      <c r="W32" s="26">
        <v>3</v>
      </c>
      <c r="X32" s="26" t="s">
        <v>147</v>
      </c>
    </row>
    <row r="33" spans="1:24">
      <c r="A33" t="s">
        <v>283</v>
      </c>
      <c r="B33" t="s">
        <v>207</v>
      </c>
      <c r="C33" t="s">
        <v>3</v>
      </c>
      <c r="D33" t="s">
        <v>46</v>
      </c>
      <c r="E33" t="s">
        <v>50</v>
      </c>
      <c r="F33">
        <v>1</v>
      </c>
      <c r="G33">
        <v>2</v>
      </c>
      <c r="H33">
        <v>0</v>
      </c>
      <c r="I33" t="s">
        <v>156</v>
      </c>
      <c r="J33" t="s">
        <v>10</v>
      </c>
      <c r="K33" t="s">
        <v>144</v>
      </c>
      <c r="L33" t="s">
        <v>151</v>
      </c>
      <c r="M33" t="s">
        <v>10</v>
      </c>
      <c r="N33" t="s">
        <v>144</v>
      </c>
      <c r="O33" s="7" t="s">
        <v>9</v>
      </c>
      <c r="Q33" t="s">
        <v>208</v>
      </c>
      <c r="R33" s="3">
        <v>65728.566050885347</v>
      </c>
      <c r="S33" s="9">
        <f t="shared" si="0"/>
        <v>13145.713210177069</v>
      </c>
      <c r="T33" s="11">
        <v>400</v>
      </c>
      <c r="V33" s="26">
        <v>3.32</v>
      </c>
      <c r="W33" s="26">
        <v>1</v>
      </c>
      <c r="X33" s="26" t="s">
        <v>147</v>
      </c>
    </row>
    <row r="34" spans="1:24">
      <c r="A34" t="s">
        <v>283</v>
      </c>
      <c r="B34" t="s">
        <v>363</v>
      </c>
      <c r="C34" t="s">
        <v>4</v>
      </c>
      <c r="D34" t="s">
        <v>52</v>
      </c>
      <c r="E34" t="s">
        <v>364</v>
      </c>
      <c r="F34">
        <v>2</v>
      </c>
      <c r="G34">
        <v>11</v>
      </c>
      <c r="H34">
        <v>19587.230275999998</v>
      </c>
      <c r="I34" t="s">
        <v>150</v>
      </c>
      <c r="J34" t="s">
        <v>160</v>
      </c>
      <c r="K34" t="s">
        <v>144</v>
      </c>
      <c r="L34" t="s">
        <v>343</v>
      </c>
      <c r="M34" t="s">
        <v>160</v>
      </c>
      <c r="N34" t="s">
        <v>144</v>
      </c>
      <c r="O34" s="7" t="s">
        <v>17</v>
      </c>
      <c r="P34" t="s">
        <v>234</v>
      </c>
      <c r="Q34" t="s">
        <v>365</v>
      </c>
      <c r="R34" s="3">
        <v>19587.230276124566</v>
      </c>
      <c r="S34" s="9">
        <f t="shared" ref="S34:S65" si="1">R34/5</f>
        <v>3917.4460552249134</v>
      </c>
      <c r="T34" s="11"/>
      <c r="V34" s="26">
        <v>4.3</v>
      </c>
      <c r="W34" s="26">
        <v>3</v>
      </c>
      <c r="X34" s="26" t="s">
        <v>169</v>
      </c>
    </row>
    <row r="35" spans="1:24">
      <c r="A35" t="s">
        <v>297</v>
      </c>
      <c r="B35" t="s">
        <v>366</v>
      </c>
      <c r="C35" t="s">
        <v>4</v>
      </c>
      <c r="D35" t="s">
        <v>52</v>
      </c>
      <c r="E35" t="s">
        <v>367</v>
      </c>
      <c r="F35">
        <v>2</v>
      </c>
      <c r="G35">
        <v>19</v>
      </c>
      <c r="H35">
        <v>21189.845118000001</v>
      </c>
      <c r="I35" t="s">
        <v>150</v>
      </c>
      <c r="J35" t="s">
        <v>160</v>
      </c>
      <c r="K35" t="s">
        <v>144</v>
      </c>
      <c r="L35" t="s">
        <v>368</v>
      </c>
      <c r="M35" t="s">
        <v>160</v>
      </c>
      <c r="N35" t="s">
        <v>144</v>
      </c>
      <c r="O35" s="7" t="s">
        <v>17</v>
      </c>
      <c r="P35" t="s">
        <v>234</v>
      </c>
      <c r="Q35" t="s">
        <v>369</v>
      </c>
      <c r="R35" s="3">
        <v>21189.845117694818</v>
      </c>
      <c r="S35" s="9">
        <f t="shared" si="1"/>
        <v>4237.9690235389635</v>
      </c>
      <c r="T35" s="11"/>
      <c r="V35" s="26">
        <v>6.7</v>
      </c>
      <c r="W35" s="26">
        <v>4</v>
      </c>
      <c r="X35" s="26" t="s">
        <v>154</v>
      </c>
    </row>
    <row r="36" spans="1:24">
      <c r="A36" t="s">
        <v>283</v>
      </c>
      <c r="B36" t="s">
        <v>370</v>
      </c>
      <c r="C36" t="s">
        <v>4</v>
      </c>
      <c r="D36" t="s">
        <v>289</v>
      </c>
      <c r="E36" t="s">
        <v>371</v>
      </c>
      <c r="F36">
        <v>2</v>
      </c>
      <c r="G36">
        <v>8</v>
      </c>
      <c r="H36">
        <v>18858.665457999999</v>
      </c>
      <c r="I36" t="s">
        <v>291</v>
      </c>
      <c r="J36" t="s">
        <v>160</v>
      </c>
      <c r="K36" t="s">
        <v>144</v>
      </c>
      <c r="L36" t="s">
        <v>151</v>
      </c>
      <c r="M36" t="s">
        <v>160</v>
      </c>
      <c r="N36" t="s">
        <v>144</v>
      </c>
      <c r="O36" s="7" t="s">
        <v>9</v>
      </c>
      <c r="Q36" t="s">
        <v>372</v>
      </c>
      <c r="R36" s="3">
        <v>18858.665458319458</v>
      </c>
      <c r="S36" s="9">
        <f t="shared" si="1"/>
        <v>3771.7330916638916</v>
      </c>
      <c r="T36" s="11">
        <v>2560.6039099999998</v>
      </c>
      <c r="V36" s="26">
        <v>3.54</v>
      </c>
      <c r="W36" s="26">
        <v>2</v>
      </c>
      <c r="X36" s="26" t="s">
        <v>147</v>
      </c>
    </row>
    <row r="37" spans="1:24">
      <c r="A37" t="s">
        <v>283</v>
      </c>
      <c r="B37" t="s">
        <v>373</v>
      </c>
      <c r="C37" t="s">
        <v>4</v>
      </c>
      <c r="D37" t="s">
        <v>63</v>
      </c>
      <c r="E37" t="s">
        <v>374</v>
      </c>
      <c r="F37">
        <v>3</v>
      </c>
      <c r="G37">
        <v>22</v>
      </c>
      <c r="H37">
        <v>14929.150876</v>
      </c>
      <c r="I37" t="s">
        <v>159</v>
      </c>
      <c r="J37" t="s">
        <v>320</v>
      </c>
      <c r="K37" t="s">
        <v>144</v>
      </c>
      <c r="L37" t="s">
        <v>368</v>
      </c>
      <c r="M37" t="s">
        <v>320</v>
      </c>
      <c r="N37" t="s">
        <v>144</v>
      </c>
      <c r="O37" s="7" t="s">
        <v>17</v>
      </c>
      <c r="P37" t="s">
        <v>234</v>
      </c>
      <c r="Q37" t="s">
        <v>375</v>
      </c>
      <c r="R37" s="3">
        <v>14929.150876384841</v>
      </c>
      <c r="S37" s="9">
        <f t="shared" si="1"/>
        <v>2985.8301752769685</v>
      </c>
      <c r="T37" s="11">
        <v>2400</v>
      </c>
      <c r="V37" s="26">
        <v>2.59</v>
      </c>
      <c r="W37" s="26">
        <v>1</v>
      </c>
      <c r="X37" s="26" t="s">
        <v>147</v>
      </c>
    </row>
    <row r="38" spans="1:24">
      <c r="A38" t="s">
        <v>283</v>
      </c>
      <c r="B38" t="s">
        <v>209</v>
      </c>
      <c r="C38" t="s">
        <v>3</v>
      </c>
      <c r="D38" t="s">
        <v>46</v>
      </c>
      <c r="E38" t="s">
        <v>51</v>
      </c>
      <c r="F38">
        <v>1</v>
      </c>
      <c r="G38">
        <v>6</v>
      </c>
      <c r="H38">
        <v>0</v>
      </c>
      <c r="I38" t="s">
        <v>156</v>
      </c>
      <c r="J38" t="s">
        <v>10</v>
      </c>
      <c r="K38" t="s">
        <v>144</v>
      </c>
      <c r="L38" t="s">
        <v>151</v>
      </c>
      <c r="M38" t="s">
        <v>10</v>
      </c>
      <c r="N38" t="s">
        <v>144</v>
      </c>
      <c r="O38" s="7" t="s">
        <v>9</v>
      </c>
      <c r="Q38" t="s">
        <v>210</v>
      </c>
      <c r="R38" s="3">
        <v>65535.148787103855</v>
      </c>
      <c r="S38" s="9">
        <f t="shared" si="1"/>
        <v>13107.029757420771</v>
      </c>
      <c r="T38" s="11">
        <v>500</v>
      </c>
      <c r="V38" s="26">
        <v>3.41</v>
      </c>
      <c r="W38" s="26">
        <v>1</v>
      </c>
      <c r="X38" s="26" t="s">
        <v>147</v>
      </c>
    </row>
    <row r="39" spans="1:24">
      <c r="A39" t="s">
        <v>175</v>
      </c>
      <c r="B39" t="s">
        <v>213</v>
      </c>
      <c r="C39" t="s">
        <v>2</v>
      </c>
      <c r="D39" t="s">
        <v>19</v>
      </c>
      <c r="E39" t="s">
        <v>21</v>
      </c>
      <c r="F39">
        <v>2</v>
      </c>
      <c r="G39">
        <v>16</v>
      </c>
      <c r="H39">
        <v>0</v>
      </c>
      <c r="I39" t="s">
        <v>156</v>
      </c>
      <c r="J39" t="s">
        <v>160</v>
      </c>
      <c r="K39" t="s">
        <v>144</v>
      </c>
      <c r="L39" t="s">
        <v>151</v>
      </c>
      <c r="M39" t="s">
        <v>160</v>
      </c>
      <c r="N39" t="s">
        <v>144</v>
      </c>
      <c r="O39" s="7" t="s">
        <v>9</v>
      </c>
      <c r="Q39" t="s">
        <v>214</v>
      </c>
      <c r="R39" s="3">
        <v>28158.096060482811</v>
      </c>
      <c r="S39" s="9">
        <f t="shared" si="1"/>
        <v>5631.6192120965625</v>
      </c>
      <c r="T39" s="11">
        <v>1402</v>
      </c>
      <c r="V39" s="26">
        <v>3.73</v>
      </c>
      <c r="W39" s="26">
        <v>2</v>
      </c>
      <c r="X39" s="26" t="s">
        <v>147</v>
      </c>
    </row>
    <row r="40" spans="1:24">
      <c r="A40" t="s">
        <v>297</v>
      </c>
      <c r="B40" t="s">
        <v>376</v>
      </c>
      <c r="C40" t="s">
        <v>4</v>
      </c>
      <c r="D40" t="s">
        <v>52</v>
      </c>
      <c r="E40" t="s">
        <v>377</v>
      </c>
      <c r="F40">
        <v>2</v>
      </c>
      <c r="G40">
        <v>20</v>
      </c>
      <c r="H40">
        <v>20065.966659000002</v>
      </c>
      <c r="I40" t="s">
        <v>150</v>
      </c>
      <c r="J40" t="s">
        <v>160</v>
      </c>
      <c r="K40" t="s">
        <v>144</v>
      </c>
      <c r="L40" t="s">
        <v>368</v>
      </c>
      <c r="M40" t="s">
        <v>160</v>
      </c>
      <c r="N40" t="s">
        <v>144</v>
      </c>
      <c r="O40" s="7" t="s">
        <v>17</v>
      </c>
      <c r="P40" t="s">
        <v>234</v>
      </c>
      <c r="Q40" t="s">
        <v>378</v>
      </c>
      <c r="R40" s="3">
        <v>20065.96665851057</v>
      </c>
      <c r="S40" s="9">
        <f t="shared" si="1"/>
        <v>4013.1933317021139</v>
      </c>
      <c r="T40" s="11"/>
      <c r="V40" s="26">
        <v>4.3600000000000003</v>
      </c>
      <c r="W40" s="26">
        <v>3</v>
      </c>
      <c r="X40" s="26" t="s">
        <v>169</v>
      </c>
    </row>
    <row r="41" spans="1:24">
      <c r="A41" t="s">
        <v>172</v>
      </c>
      <c r="B41" t="s">
        <v>379</v>
      </c>
      <c r="C41" t="s">
        <v>2</v>
      </c>
      <c r="D41" t="s">
        <v>29</v>
      </c>
      <c r="E41" t="s">
        <v>380</v>
      </c>
      <c r="F41">
        <v>2</v>
      </c>
      <c r="G41">
        <v>6</v>
      </c>
      <c r="H41">
        <v>25892.344988000001</v>
      </c>
      <c r="I41" t="s">
        <v>150</v>
      </c>
      <c r="J41" t="s">
        <v>160</v>
      </c>
      <c r="K41" t="s">
        <v>144</v>
      </c>
      <c r="L41" t="s">
        <v>151</v>
      </c>
      <c r="M41" t="s">
        <v>160</v>
      </c>
      <c r="N41" t="s">
        <v>144</v>
      </c>
      <c r="O41" s="7" t="s">
        <v>17</v>
      </c>
      <c r="Q41" t="s">
        <v>381</v>
      </c>
      <c r="R41" s="3">
        <v>25892.344987744185</v>
      </c>
      <c r="S41" s="9">
        <f t="shared" si="1"/>
        <v>5178.4689975488373</v>
      </c>
      <c r="T41" s="11"/>
      <c r="V41" s="26">
        <v>3.88</v>
      </c>
      <c r="W41" s="26">
        <v>2</v>
      </c>
      <c r="X41" s="26" t="s">
        <v>147</v>
      </c>
    </row>
    <row r="42" spans="1:24">
      <c r="A42" t="s">
        <v>175</v>
      </c>
      <c r="B42" t="s">
        <v>382</v>
      </c>
      <c r="C42" t="s">
        <v>3</v>
      </c>
      <c r="D42" t="s">
        <v>46</v>
      </c>
      <c r="E42" t="s">
        <v>383</v>
      </c>
      <c r="F42">
        <v>2</v>
      </c>
      <c r="G42">
        <v>1</v>
      </c>
      <c r="H42">
        <v>0</v>
      </c>
      <c r="I42" t="s">
        <v>156</v>
      </c>
      <c r="J42" t="s">
        <v>160</v>
      </c>
      <c r="K42" t="s">
        <v>144</v>
      </c>
      <c r="L42" t="s">
        <v>151</v>
      </c>
      <c r="M42" t="s">
        <v>160</v>
      </c>
      <c r="N42" t="s">
        <v>144</v>
      </c>
      <c r="O42" s="7" t="s">
        <v>17</v>
      </c>
      <c r="Q42" t="s">
        <v>384</v>
      </c>
      <c r="R42" s="3">
        <v>32445.425772088045</v>
      </c>
      <c r="S42" s="9">
        <f t="shared" si="1"/>
        <v>6489.0851544176094</v>
      </c>
      <c r="T42" s="11">
        <v>2500</v>
      </c>
      <c r="V42" s="26">
        <v>2.94</v>
      </c>
      <c r="W42" s="26">
        <v>1</v>
      </c>
      <c r="X42" s="26" t="s">
        <v>147</v>
      </c>
    </row>
    <row r="43" spans="1:24">
      <c r="A43" t="s">
        <v>283</v>
      </c>
      <c r="B43" t="s">
        <v>217</v>
      </c>
      <c r="C43" t="s">
        <v>4</v>
      </c>
      <c r="D43" t="s">
        <v>67</v>
      </c>
      <c r="E43" t="s">
        <v>70</v>
      </c>
      <c r="F43">
        <v>1</v>
      </c>
      <c r="G43">
        <v>3</v>
      </c>
      <c r="H43">
        <v>3676.9900349999998</v>
      </c>
      <c r="I43" t="s">
        <v>156</v>
      </c>
      <c r="J43" t="s">
        <v>10</v>
      </c>
      <c r="K43" t="s">
        <v>144</v>
      </c>
      <c r="L43" t="s">
        <v>151</v>
      </c>
      <c r="M43" t="s">
        <v>10</v>
      </c>
      <c r="N43" t="s">
        <v>144</v>
      </c>
      <c r="O43" s="7" t="s">
        <v>9</v>
      </c>
      <c r="Q43" t="s">
        <v>218</v>
      </c>
      <c r="R43" s="3">
        <v>3676.9900346713807</v>
      </c>
      <c r="S43" s="9">
        <f t="shared" si="1"/>
        <v>735.39800693427617</v>
      </c>
      <c r="T43" s="12">
        <v>1045</v>
      </c>
      <c r="V43" s="26">
        <v>2.56</v>
      </c>
      <c r="W43" s="26">
        <v>1</v>
      </c>
      <c r="X43" s="26" t="s">
        <v>169</v>
      </c>
    </row>
    <row r="44" spans="1:24">
      <c r="A44" t="s">
        <v>283</v>
      </c>
      <c r="B44" t="s">
        <v>221</v>
      </c>
      <c r="C44" t="s">
        <v>5</v>
      </c>
      <c r="D44" t="s">
        <v>76</v>
      </c>
      <c r="E44" t="s">
        <v>79</v>
      </c>
      <c r="F44">
        <v>2</v>
      </c>
      <c r="G44">
        <v>10</v>
      </c>
      <c r="H44">
        <v>23286.926196</v>
      </c>
      <c r="I44" t="s">
        <v>143</v>
      </c>
      <c r="J44" t="s">
        <v>160</v>
      </c>
      <c r="K44" t="s">
        <v>144</v>
      </c>
      <c r="L44" t="s">
        <v>151</v>
      </c>
      <c r="M44" t="s">
        <v>160</v>
      </c>
      <c r="N44" t="s">
        <v>144</v>
      </c>
      <c r="O44" s="7" t="s">
        <v>9</v>
      </c>
      <c r="Q44" t="s">
        <v>222</v>
      </c>
      <c r="R44" s="3">
        <v>23286.926195679458</v>
      </c>
      <c r="S44" s="9">
        <f t="shared" si="1"/>
        <v>4657.3852391358914</v>
      </c>
      <c r="T44" s="11">
        <v>2180</v>
      </c>
      <c r="V44" s="26">
        <v>2.2400000000000002</v>
      </c>
      <c r="W44" s="26">
        <v>1</v>
      </c>
      <c r="X44" s="26" t="s">
        <v>169</v>
      </c>
    </row>
    <row r="45" spans="1:24">
      <c r="A45" t="s">
        <v>175</v>
      </c>
      <c r="B45" t="s">
        <v>385</v>
      </c>
      <c r="C45" t="s">
        <v>4</v>
      </c>
      <c r="D45" t="s">
        <v>63</v>
      </c>
      <c r="E45" t="s">
        <v>386</v>
      </c>
      <c r="F45">
        <v>2</v>
      </c>
      <c r="G45">
        <v>13</v>
      </c>
      <c r="H45">
        <v>24359.233574000002</v>
      </c>
      <c r="I45" t="s">
        <v>150</v>
      </c>
      <c r="J45" t="s">
        <v>160</v>
      </c>
      <c r="K45" t="s">
        <v>144</v>
      </c>
      <c r="L45" t="s">
        <v>150</v>
      </c>
      <c r="M45" t="s">
        <v>330</v>
      </c>
      <c r="N45" t="s">
        <v>144</v>
      </c>
      <c r="O45" s="7" t="s">
        <v>17</v>
      </c>
      <c r="Q45" t="s">
        <v>387</v>
      </c>
      <c r="R45" s="3">
        <v>24359.233574346526</v>
      </c>
      <c r="S45" s="9">
        <f t="shared" si="1"/>
        <v>4871.8467148693053</v>
      </c>
      <c r="T45" s="11"/>
      <c r="V45" s="26">
        <v>4.34</v>
      </c>
      <c r="W45" s="26">
        <v>3</v>
      </c>
      <c r="X45" s="26" t="s">
        <v>147</v>
      </c>
    </row>
    <row r="46" spans="1:24">
      <c r="A46" t="s">
        <v>175</v>
      </c>
      <c r="B46" t="s">
        <v>388</v>
      </c>
      <c r="C46" t="s">
        <v>2</v>
      </c>
      <c r="D46" t="s">
        <v>19</v>
      </c>
      <c r="E46" t="s">
        <v>389</v>
      </c>
      <c r="F46">
        <v>2</v>
      </c>
      <c r="G46">
        <v>1</v>
      </c>
      <c r="H46">
        <v>0</v>
      </c>
      <c r="I46" t="s">
        <v>143</v>
      </c>
      <c r="J46" t="s">
        <v>160</v>
      </c>
      <c r="K46" t="s">
        <v>144</v>
      </c>
      <c r="L46" t="s">
        <v>226</v>
      </c>
      <c r="M46" t="s">
        <v>330</v>
      </c>
      <c r="N46" t="s">
        <v>144</v>
      </c>
      <c r="O46" s="7" t="s">
        <v>17</v>
      </c>
      <c r="Q46" t="s">
        <v>390</v>
      </c>
      <c r="R46" s="3">
        <v>5662.8693642250737</v>
      </c>
      <c r="S46" s="9">
        <f t="shared" si="1"/>
        <v>1132.5738728450146</v>
      </c>
      <c r="T46" s="11">
        <v>1002</v>
      </c>
      <c r="V46" s="26">
        <v>4.58</v>
      </c>
      <c r="W46" s="26">
        <v>3</v>
      </c>
      <c r="X46" s="26" t="s">
        <v>154</v>
      </c>
    </row>
    <row r="47" spans="1:24">
      <c r="A47" t="s">
        <v>297</v>
      </c>
      <c r="B47" t="s">
        <v>391</v>
      </c>
      <c r="C47" t="s">
        <v>4</v>
      </c>
      <c r="D47" t="s">
        <v>52</v>
      </c>
      <c r="E47" t="s">
        <v>392</v>
      </c>
      <c r="F47">
        <v>2</v>
      </c>
      <c r="G47">
        <v>18</v>
      </c>
      <c r="H47">
        <v>16279.597089000001</v>
      </c>
      <c r="I47" t="s">
        <v>150</v>
      </c>
      <c r="J47" t="s">
        <v>160</v>
      </c>
      <c r="K47" t="s">
        <v>144</v>
      </c>
      <c r="L47" t="s">
        <v>368</v>
      </c>
      <c r="M47" t="s">
        <v>160</v>
      </c>
      <c r="N47" t="s">
        <v>144</v>
      </c>
      <c r="O47" s="7" t="s">
        <v>17</v>
      </c>
      <c r="P47" t="s">
        <v>234</v>
      </c>
      <c r="Q47" t="s">
        <v>393</v>
      </c>
      <c r="R47" s="3">
        <v>16279.597088730379</v>
      </c>
      <c r="S47" s="9">
        <f t="shared" si="1"/>
        <v>3255.9194177460759</v>
      </c>
      <c r="T47" s="11"/>
      <c r="V47" s="26">
        <v>3.92</v>
      </c>
      <c r="W47" s="26">
        <v>2</v>
      </c>
      <c r="X47" s="26" t="s">
        <v>147</v>
      </c>
    </row>
    <row r="48" spans="1:24">
      <c r="A48" t="s">
        <v>297</v>
      </c>
      <c r="B48" t="s">
        <v>228</v>
      </c>
      <c r="C48" t="s">
        <v>4</v>
      </c>
      <c r="D48" t="s">
        <v>59</v>
      </c>
      <c r="E48" t="s">
        <v>61</v>
      </c>
      <c r="F48">
        <v>2</v>
      </c>
      <c r="G48">
        <v>17</v>
      </c>
      <c r="H48">
        <v>4370.1734139999999</v>
      </c>
      <c r="I48" t="s">
        <v>167</v>
      </c>
      <c r="J48" t="s">
        <v>160</v>
      </c>
      <c r="K48" t="s">
        <v>144</v>
      </c>
      <c r="L48" t="s">
        <v>150</v>
      </c>
      <c r="M48" t="s">
        <v>160</v>
      </c>
      <c r="N48" t="s">
        <v>144</v>
      </c>
      <c r="O48" s="7" t="s">
        <v>9</v>
      </c>
      <c r="Q48" t="s">
        <v>229</v>
      </c>
      <c r="R48" s="3">
        <v>4370.1734136798796</v>
      </c>
      <c r="S48" s="9">
        <f t="shared" si="1"/>
        <v>874.03468273597593</v>
      </c>
      <c r="T48" s="11">
        <v>719.96968318999996</v>
      </c>
      <c r="V48" s="26">
        <v>7.07</v>
      </c>
      <c r="W48" s="26">
        <v>4</v>
      </c>
      <c r="X48" s="26" t="s">
        <v>154</v>
      </c>
    </row>
    <row r="49" spans="1:24">
      <c r="A49" t="s">
        <v>283</v>
      </c>
      <c r="B49" t="s">
        <v>394</v>
      </c>
      <c r="C49" t="s">
        <v>4</v>
      </c>
      <c r="D49" t="s">
        <v>59</v>
      </c>
      <c r="E49" t="s">
        <v>395</v>
      </c>
      <c r="F49">
        <v>3</v>
      </c>
      <c r="G49">
        <v>20</v>
      </c>
      <c r="H49">
        <v>7090.138645</v>
      </c>
      <c r="I49" t="s">
        <v>167</v>
      </c>
      <c r="J49" t="s">
        <v>320</v>
      </c>
      <c r="K49" t="s">
        <v>144</v>
      </c>
      <c r="L49" t="s">
        <v>281</v>
      </c>
      <c r="M49" t="s">
        <v>320</v>
      </c>
      <c r="N49" t="s">
        <v>144</v>
      </c>
      <c r="O49" s="7" t="s">
        <v>17</v>
      </c>
      <c r="P49" t="s">
        <v>234</v>
      </c>
      <c r="Q49" t="s">
        <v>396</v>
      </c>
      <c r="R49" s="3">
        <v>7090.1386448066542</v>
      </c>
      <c r="S49" s="9">
        <f t="shared" si="1"/>
        <v>1418.0277289613309</v>
      </c>
      <c r="T49" s="11">
        <v>1230.1078167999999</v>
      </c>
      <c r="V49" s="26">
        <v>4.4000000000000004</v>
      </c>
      <c r="W49" s="26">
        <v>3</v>
      </c>
      <c r="X49" s="26" t="s">
        <v>169</v>
      </c>
    </row>
    <row r="50" spans="1:24">
      <c r="A50" t="s">
        <v>175</v>
      </c>
      <c r="B50" t="s">
        <v>230</v>
      </c>
      <c r="C50" t="s">
        <v>4</v>
      </c>
      <c r="D50" t="s">
        <v>72</v>
      </c>
      <c r="E50" t="s">
        <v>75</v>
      </c>
      <c r="F50">
        <v>1</v>
      </c>
      <c r="G50">
        <v>1</v>
      </c>
      <c r="H50">
        <v>10081.624994</v>
      </c>
      <c r="I50" t="s">
        <v>143</v>
      </c>
      <c r="J50" t="s">
        <v>10</v>
      </c>
      <c r="K50" t="s">
        <v>144</v>
      </c>
      <c r="L50" t="s">
        <v>151</v>
      </c>
      <c r="M50" t="s">
        <v>10</v>
      </c>
      <c r="N50" t="s">
        <v>144</v>
      </c>
      <c r="O50" s="7" t="s">
        <v>9</v>
      </c>
      <c r="Q50" t="s">
        <v>231</v>
      </c>
      <c r="R50" s="3">
        <v>10081.624993775788</v>
      </c>
      <c r="S50" s="9">
        <f t="shared" si="1"/>
        <v>2016.3249987551576</v>
      </c>
      <c r="T50" s="11">
        <v>1537.2898866999999</v>
      </c>
      <c r="V50" s="26">
        <v>3.12</v>
      </c>
      <c r="W50" s="26">
        <v>1</v>
      </c>
      <c r="X50" s="26" t="s">
        <v>169</v>
      </c>
    </row>
    <row r="51" spans="1:24">
      <c r="A51" t="s">
        <v>278</v>
      </c>
      <c r="B51" t="s">
        <v>397</v>
      </c>
      <c r="C51" t="s">
        <v>4</v>
      </c>
      <c r="D51" t="s">
        <v>52</v>
      </c>
      <c r="E51" t="s">
        <v>398</v>
      </c>
      <c r="F51">
        <v>2</v>
      </c>
      <c r="G51">
        <v>15</v>
      </c>
      <c r="H51">
        <v>8306.2042390000006</v>
      </c>
      <c r="I51" t="s">
        <v>241</v>
      </c>
      <c r="J51" t="s">
        <v>160</v>
      </c>
      <c r="K51" t="s">
        <v>144</v>
      </c>
      <c r="L51" t="s">
        <v>281</v>
      </c>
      <c r="M51" t="s">
        <v>160</v>
      </c>
      <c r="N51" t="s">
        <v>144</v>
      </c>
      <c r="O51" s="7" t="s">
        <v>17</v>
      </c>
      <c r="P51" t="s">
        <v>234</v>
      </c>
      <c r="Q51" t="s">
        <v>399</v>
      </c>
      <c r="R51" s="3">
        <v>8306.2042387774363</v>
      </c>
      <c r="S51" s="9">
        <f t="shared" si="1"/>
        <v>1661.2408477554873</v>
      </c>
      <c r="T51" s="12">
        <v>2005</v>
      </c>
      <c r="V51" s="26">
        <v>3.61</v>
      </c>
      <c r="W51" s="26">
        <v>2</v>
      </c>
      <c r="X51" s="26" t="s">
        <v>147</v>
      </c>
    </row>
    <row r="52" spans="1:24">
      <c r="A52" t="s">
        <v>278</v>
      </c>
      <c r="B52" t="s">
        <v>400</v>
      </c>
      <c r="C52" t="s">
        <v>4</v>
      </c>
      <c r="D52" t="s">
        <v>72</v>
      </c>
      <c r="E52" t="s">
        <v>398</v>
      </c>
      <c r="F52">
        <v>4</v>
      </c>
      <c r="G52">
        <v>18</v>
      </c>
      <c r="H52">
        <v>13425.099408</v>
      </c>
      <c r="I52" t="s">
        <v>150</v>
      </c>
      <c r="J52" t="s">
        <v>286</v>
      </c>
      <c r="K52" t="s">
        <v>286</v>
      </c>
      <c r="L52" t="s">
        <v>281</v>
      </c>
      <c r="M52" t="s">
        <v>160</v>
      </c>
      <c r="N52" t="s">
        <v>144</v>
      </c>
      <c r="O52" s="7" t="s">
        <v>17</v>
      </c>
      <c r="P52" t="s">
        <v>234</v>
      </c>
      <c r="Q52" t="s">
        <v>401</v>
      </c>
      <c r="R52" s="3">
        <v>13425.099407658769</v>
      </c>
      <c r="S52" s="9">
        <f t="shared" si="1"/>
        <v>2685.0198815317535</v>
      </c>
      <c r="T52" s="11"/>
      <c r="V52" s="26">
        <v>4.0599999999999996</v>
      </c>
      <c r="W52" s="26">
        <v>3</v>
      </c>
      <c r="X52" s="26" t="s">
        <v>147</v>
      </c>
    </row>
    <row r="53" spans="1:24">
      <c r="A53" t="s">
        <v>172</v>
      </c>
      <c r="B53" t="s">
        <v>402</v>
      </c>
      <c r="C53" t="s">
        <v>4</v>
      </c>
      <c r="D53" t="s">
        <v>59</v>
      </c>
      <c r="E53" t="s">
        <v>403</v>
      </c>
      <c r="F53">
        <v>2</v>
      </c>
      <c r="G53">
        <v>10</v>
      </c>
      <c r="H53">
        <v>6810.7065910000001</v>
      </c>
      <c r="I53" t="s">
        <v>167</v>
      </c>
      <c r="J53" t="s">
        <v>160</v>
      </c>
      <c r="K53" t="s">
        <v>144</v>
      </c>
      <c r="L53" t="s">
        <v>306</v>
      </c>
      <c r="M53" t="s">
        <v>160</v>
      </c>
      <c r="N53" t="s">
        <v>144</v>
      </c>
      <c r="O53" s="7" t="s">
        <v>17</v>
      </c>
      <c r="P53" t="s">
        <v>234</v>
      </c>
      <c r="Q53" t="s">
        <v>404</v>
      </c>
      <c r="R53" s="3">
        <v>6810.706590638868</v>
      </c>
      <c r="S53" s="9">
        <f t="shared" si="1"/>
        <v>1362.1413181277735</v>
      </c>
      <c r="T53" s="11">
        <v>1196.8605785</v>
      </c>
      <c r="V53" s="26">
        <v>3.61</v>
      </c>
      <c r="W53" s="26">
        <v>2</v>
      </c>
      <c r="X53" s="26" t="s">
        <v>147</v>
      </c>
    </row>
    <row r="54" spans="1:24">
      <c r="A54" t="s">
        <v>172</v>
      </c>
      <c r="B54" t="s">
        <v>232</v>
      </c>
      <c r="C54" t="s">
        <v>4</v>
      </c>
      <c r="D54" t="s">
        <v>59</v>
      </c>
      <c r="E54" t="s">
        <v>62</v>
      </c>
      <c r="F54">
        <v>2</v>
      </c>
      <c r="G54">
        <v>13</v>
      </c>
      <c r="H54">
        <v>10560.852656999999</v>
      </c>
      <c r="I54" t="s">
        <v>167</v>
      </c>
      <c r="J54" t="s">
        <v>160</v>
      </c>
      <c r="K54" t="s">
        <v>144</v>
      </c>
      <c r="L54" t="s">
        <v>233</v>
      </c>
      <c r="M54" t="s">
        <v>160</v>
      </c>
      <c r="N54" t="s">
        <v>144</v>
      </c>
      <c r="O54" s="7" t="s">
        <v>9</v>
      </c>
      <c r="P54" t="s">
        <v>234</v>
      </c>
      <c r="Q54" t="s">
        <v>235</v>
      </c>
      <c r="R54" s="3">
        <v>10560.852656658897</v>
      </c>
      <c r="S54" s="9">
        <f t="shared" si="1"/>
        <v>2112.1705313317793</v>
      </c>
      <c r="T54" s="11">
        <v>1836.3148206000001</v>
      </c>
      <c r="V54" s="26">
        <v>3.59</v>
      </c>
      <c r="W54" s="26">
        <v>2</v>
      </c>
      <c r="X54" s="26" t="s">
        <v>147</v>
      </c>
    </row>
    <row r="55" spans="1:24">
      <c r="A55" t="s">
        <v>297</v>
      </c>
      <c r="B55" t="s">
        <v>405</v>
      </c>
      <c r="C55" t="s">
        <v>4</v>
      </c>
      <c r="D55" t="s">
        <v>52</v>
      </c>
      <c r="E55" t="s">
        <v>406</v>
      </c>
      <c r="F55">
        <v>2</v>
      </c>
      <c r="G55">
        <v>16</v>
      </c>
      <c r="H55">
        <v>11717.520973999999</v>
      </c>
      <c r="I55" t="s">
        <v>150</v>
      </c>
      <c r="J55" t="s">
        <v>160</v>
      </c>
      <c r="K55" t="s">
        <v>144</v>
      </c>
      <c r="L55" t="s">
        <v>407</v>
      </c>
      <c r="M55" t="s">
        <v>160</v>
      </c>
      <c r="N55" t="s">
        <v>144</v>
      </c>
      <c r="O55" s="7" t="s">
        <v>17</v>
      </c>
      <c r="P55" t="s">
        <v>234</v>
      </c>
      <c r="Q55" t="s">
        <v>408</v>
      </c>
      <c r="R55" s="3">
        <v>11717.520974228486</v>
      </c>
      <c r="S55" s="9">
        <f t="shared" si="1"/>
        <v>2343.5041948456974</v>
      </c>
      <c r="T55" s="11"/>
      <c r="V55" s="26">
        <v>3.96</v>
      </c>
      <c r="W55" s="26">
        <v>2</v>
      </c>
      <c r="X55" s="26" t="s">
        <v>147</v>
      </c>
    </row>
    <row r="56" spans="1:24">
      <c r="A56" t="s">
        <v>172</v>
      </c>
      <c r="B56" t="s">
        <v>409</v>
      </c>
      <c r="C56" t="s">
        <v>5</v>
      </c>
      <c r="D56" t="s">
        <v>294</v>
      </c>
      <c r="E56" t="s">
        <v>410</v>
      </c>
      <c r="F56">
        <v>1</v>
      </c>
      <c r="G56">
        <v>3</v>
      </c>
      <c r="H56">
        <v>5837.102457</v>
      </c>
      <c r="I56" t="s">
        <v>150</v>
      </c>
      <c r="J56" t="s">
        <v>17</v>
      </c>
      <c r="K56" t="s">
        <v>144</v>
      </c>
      <c r="L56" t="s">
        <v>274</v>
      </c>
      <c r="M56" t="s">
        <v>17</v>
      </c>
      <c r="N56" t="s">
        <v>144</v>
      </c>
      <c r="O56" s="7" t="s">
        <v>17</v>
      </c>
      <c r="Q56" t="s">
        <v>411</v>
      </c>
      <c r="R56" s="3">
        <v>5837.1024572998504</v>
      </c>
      <c r="S56" s="9">
        <f t="shared" si="1"/>
        <v>1167.42049145997</v>
      </c>
      <c r="T56" s="11"/>
      <c r="V56" s="26">
        <v>4.95</v>
      </c>
      <c r="W56" s="26">
        <v>3</v>
      </c>
      <c r="X56" s="26" t="s">
        <v>169</v>
      </c>
    </row>
    <row r="57" spans="1:24">
      <c r="A57" t="s">
        <v>283</v>
      </c>
      <c r="B57" t="s">
        <v>243</v>
      </c>
      <c r="C57" t="s">
        <v>5</v>
      </c>
      <c r="D57" t="s">
        <v>76</v>
      </c>
      <c r="E57" t="s">
        <v>80</v>
      </c>
      <c r="F57">
        <v>2</v>
      </c>
      <c r="G57">
        <v>12</v>
      </c>
      <c r="H57">
        <v>10582.870419999999</v>
      </c>
      <c r="I57" t="s">
        <v>143</v>
      </c>
      <c r="J57" t="s">
        <v>160</v>
      </c>
      <c r="K57" t="s">
        <v>144</v>
      </c>
      <c r="L57" t="s">
        <v>151</v>
      </c>
      <c r="M57" t="s">
        <v>160</v>
      </c>
      <c r="N57" t="s">
        <v>144</v>
      </c>
      <c r="O57" s="7" t="s">
        <v>9</v>
      </c>
      <c r="Q57" t="s">
        <v>244</v>
      </c>
      <c r="R57" s="3">
        <v>10582.870419620664</v>
      </c>
      <c r="S57" s="9">
        <f t="shared" si="1"/>
        <v>2116.5740839241325</v>
      </c>
      <c r="T57" s="11">
        <v>1290.8666667</v>
      </c>
      <c r="V57" s="26">
        <v>4.72</v>
      </c>
      <c r="W57" s="26">
        <v>3</v>
      </c>
      <c r="X57" s="26" t="s">
        <v>154</v>
      </c>
    </row>
    <row r="58" spans="1:24">
      <c r="A58" t="s">
        <v>172</v>
      </c>
      <c r="B58" t="s">
        <v>412</v>
      </c>
      <c r="C58" t="s">
        <v>4</v>
      </c>
      <c r="D58" t="s">
        <v>54</v>
      </c>
      <c r="E58" t="s">
        <v>413</v>
      </c>
      <c r="F58">
        <v>4</v>
      </c>
      <c r="G58">
        <v>47</v>
      </c>
      <c r="H58">
        <v>11209.662705000001</v>
      </c>
      <c r="I58" t="s">
        <v>150</v>
      </c>
      <c r="J58" t="s">
        <v>286</v>
      </c>
      <c r="K58" t="s">
        <v>286</v>
      </c>
      <c r="L58" t="s">
        <v>306</v>
      </c>
      <c r="M58" t="s">
        <v>286</v>
      </c>
      <c r="N58" t="s">
        <v>286</v>
      </c>
      <c r="O58" s="7" t="s">
        <v>17</v>
      </c>
      <c r="P58" t="s">
        <v>234</v>
      </c>
      <c r="Q58" t="s">
        <v>414</v>
      </c>
      <c r="R58" s="3">
        <v>11209.662705177232</v>
      </c>
      <c r="S58" s="9">
        <f t="shared" si="1"/>
        <v>2241.9325410354463</v>
      </c>
      <c r="T58" s="11"/>
      <c r="V58" s="26">
        <v>3.46</v>
      </c>
      <c r="W58" s="26">
        <v>1</v>
      </c>
      <c r="X58" s="26" t="s">
        <v>147</v>
      </c>
    </row>
    <row r="59" spans="1:24">
      <c r="A59" t="s">
        <v>172</v>
      </c>
      <c r="B59" t="s">
        <v>415</v>
      </c>
      <c r="C59" t="s">
        <v>4</v>
      </c>
      <c r="D59" t="s">
        <v>59</v>
      </c>
      <c r="E59" t="s">
        <v>416</v>
      </c>
      <c r="F59">
        <v>3</v>
      </c>
      <c r="G59">
        <v>23</v>
      </c>
      <c r="H59">
        <v>10951.817676999999</v>
      </c>
      <c r="I59" t="s">
        <v>150</v>
      </c>
      <c r="J59" t="s">
        <v>320</v>
      </c>
      <c r="K59" t="s">
        <v>150</v>
      </c>
      <c r="L59" t="s">
        <v>417</v>
      </c>
      <c r="M59" t="s">
        <v>320</v>
      </c>
      <c r="N59" t="s">
        <v>150</v>
      </c>
      <c r="O59" s="7" t="s">
        <v>17</v>
      </c>
      <c r="Q59" t="s">
        <v>418</v>
      </c>
      <c r="R59" s="3">
        <v>10951.817676653309</v>
      </c>
      <c r="S59" s="9">
        <f t="shared" si="1"/>
        <v>2190.3635353306618</v>
      </c>
      <c r="T59" s="11"/>
      <c r="V59" s="26">
        <v>3.55</v>
      </c>
      <c r="W59" s="26">
        <v>2</v>
      </c>
      <c r="X59" s="26" t="s">
        <v>147</v>
      </c>
    </row>
    <row r="60" spans="1:24">
      <c r="A60" t="s">
        <v>278</v>
      </c>
      <c r="B60" t="s">
        <v>419</v>
      </c>
      <c r="C60" t="s">
        <v>2</v>
      </c>
      <c r="D60" t="s">
        <v>40</v>
      </c>
      <c r="E60" t="s">
        <v>420</v>
      </c>
      <c r="F60">
        <v>2</v>
      </c>
      <c r="G60">
        <v>4</v>
      </c>
      <c r="H60">
        <v>34422.479945999999</v>
      </c>
      <c r="I60" t="s">
        <v>150</v>
      </c>
      <c r="J60" t="s">
        <v>160</v>
      </c>
      <c r="K60" t="s">
        <v>144</v>
      </c>
      <c r="L60" t="s">
        <v>151</v>
      </c>
      <c r="M60" t="s">
        <v>160</v>
      </c>
      <c r="N60" t="s">
        <v>144</v>
      </c>
      <c r="O60" s="7" t="s">
        <v>17</v>
      </c>
      <c r="Q60" t="s">
        <v>421</v>
      </c>
      <c r="R60" s="3">
        <v>34422.479946097388</v>
      </c>
      <c r="S60" s="9">
        <f t="shared" si="1"/>
        <v>6884.4959892194775</v>
      </c>
      <c r="T60" s="11"/>
      <c r="V60" s="26">
        <v>4.5199999999999996</v>
      </c>
      <c r="W60" s="26">
        <v>3</v>
      </c>
      <c r="X60" s="26" t="s">
        <v>154</v>
      </c>
    </row>
    <row r="61" spans="1:24">
      <c r="A61" t="s">
        <v>172</v>
      </c>
      <c r="B61" t="s">
        <v>422</v>
      </c>
      <c r="C61" t="s">
        <v>4</v>
      </c>
      <c r="D61" t="s">
        <v>59</v>
      </c>
      <c r="E61" t="s">
        <v>423</v>
      </c>
      <c r="F61">
        <v>2</v>
      </c>
      <c r="G61">
        <v>14</v>
      </c>
      <c r="H61">
        <v>7875.6665220000004</v>
      </c>
      <c r="I61" t="s">
        <v>167</v>
      </c>
      <c r="J61" t="s">
        <v>160</v>
      </c>
      <c r="K61" t="s">
        <v>144</v>
      </c>
      <c r="L61" t="s">
        <v>233</v>
      </c>
      <c r="M61" t="s">
        <v>160</v>
      </c>
      <c r="N61" t="s">
        <v>144</v>
      </c>
      <c r="O61" s="7" t="s">
        <v>17</v>
      </c>
      <c r="P61" t="s">
        <v>234</v>
      </c>
      <c r="Q61" t="s">
        <v>424</v>
      </c>
      <c r="R61" s="3">
        <v>7875.6665224027902</v>
      </c>
      <c r="S61" s="9">
        <f t="shared" si="1"/>
        <v>1575.1333044805581</v>
      </c>
      <c r="T61" s="11">
        <v>1323.5710830999999</v>
      </c>
      <c r="V61" s="26">
        <v>3.61</v>
      </c>
      <c r="W61" s="26">
        <v>2</v>
      </c>
      <c r="X61" s="26" t="s">
        <v>147</v>
      </c>
    </row>
    <row r="62" spans="1:24">
      <c r="A62" t="s">
        <v>283</v>
      </c>
      <c r="B62" t="s">
        <v>425</v>
      </c>
      <c r="C62" t="s">
        <v>5</v>
      </c>
      <c r="D62" t="s">
        <v>76</v>
      </c>
      <c r="E62" t="s">
        <v>426</v>
      </c>
      <c r="F62">
        <v>2</v>
      </c>
      <c r="G62">
        <v>17</v>
      </c>
      <c r="H62">
        <v>6644.0751469999996</v>
      </c>
      <c r="I62" t="s">
        <v>143</v>
      </c>
      <c r="J62" t="s">
        <v>160</v>
      </c>
      <c r="K62" t="s">
        <v>144</v>
      </c>
      <c r="L62" t="s">
        <v>151</v>
      </c>
      <c r="M62" t="s">
        <v>160</v>
      </c>
      <c r="N62" t="s">
        <v>144</v>
      </c>
      <c r="O62" s="7" t="s">
        <v>17</v>
      </c>
      <c r="Q62" t="s">
        <v>427</v>
      </c>
      <c r="R62" s="3">
        <v>6644.0751472491393</v>
      </c>
      <c r="S62" s="9">
        <f t="shared" si="1"/>
        <v>1328.8150294498278</v>
      </c>
      <c r="T62" s="11">
        <v>753.33333332999996</v>
      </c>
      <c r="V62" s="26">
        <v>4.45</v>
      </c>
      <c r="W62" s="26">
        <v>3</v>
      </c>
      <c r="X62" s="26" t="s">
        <v>169</v>
      </c>
    </row>
    <row r="63" spans="1:24">
      <c r="A63" t="s">
        <v>278</v>
      </c>
      <c r="B63" t="s">
        <v>428</v>
      </c>
      <c r="C63" t="s">
        <v>5</v>
      </c>
      <c r="D63" t="s">
        <v>76</v>
      </c>
      <c r="E63" t="s">
        <v>429</v>
      </c>
      <c r="F63">
        <v>2</v>
      </c>
      <c r="G63">
        <v>25</v>
      </c>
      <c r="H63">
        <v>18173.537340999999</v>
      </c>
      <c r="I63" t="s">
        <v>150</v>
      </c>
      <c r="J63" t="s">
        <v>160</v>
      </c>
      <c r="K63" t="s">
        <v>144</v>
      </c>
      <c r="L63" t="s">
        <v>151</v>
      </c>
      <c r="M63" t="s">
        <v>160</v>
      </c>
      <c r="N63" t="s">
        <v>144</v>
      </c>
      <c r="O63" s="7" t="s">
        <v>17</v>
      </c>
      <c r="Q63" t="s">
        <v>430</v>
      </c>
      <c r="R63" s="3">
        <v>18173.537341270636</v>
      </c>
      <c r="S63" s="9">
        <f t="shared" si="1"/>
        <v>3634.707468254127</v>
      </c>
      <c r="T63" s="11"/>
      <c r="V63" s="26">
        <v>4.5</v>
      </c>
      <c r="W63" s="26">
        <v>3</v>
      </c>
      <c r="X63" s="26" t="s">
        <v>169</v>
      </c>
    </row>
    <row r="64" spans="1:24">
      <c r="A64" t="s">
        <v>175</v>
      </c>
      <c r="B64" t="s">
        <v>431</v>
      </c>
      <c r="C64" t="s">
        <v>4</v>
      </c>
      <c r="D64" t="s">
        <v>52</v>
      </c>
      <c r="E64" t="s">
        <v>432</v>
      </c>
      <c r="F64">
        <v>2</v>
      </c>
      <c r="G64">
        <v>17</v>
      </c>
      <c r="H64">
        <v>6868.715048</v>
      </c>
      <c r="I64" t="s">
        <v>150</v>
      </c>
      <c r="J64" t="s">
        <v>160</v>
      </c>
      <c r="K64" t="s">
        <v>144</v>
      </c>
      <c r="L64" t="s">
        <v>368</v>
      </c>
      <c r="M64" t="s">
        <v>160</v>
      </c>
      <c r="N64" t="s">
        <v>144</v>
      </c>
      <c r="O64" s="7" t="s">
        <v>17</v>
      </c>
      <c r="P64" t="s">
        <v>234</v>
      </c>
      <c r="Q64" t="s">
        <v>433</v>
      </c>
      <c r="R64" s="3">
        <v>6868.7150478162612</v>
      </c>
      <c r="S64" s="9">
        <f t="shared" si="1"/>
        <v>1373.7430095632521</v>
      </c>
      <c r="T64" s="11"/>
      <c r="V64" s="26">
        <v>3.48</v>
      </c>
      <c r="W64" s="26">
        <v>1</v>
      </c>
      <c r="X64" s="26" t="s">
        <v>147</v>
      </c>
    </row>
    <row r="65" spans="1:24">
      <c r="A65" t="s">
        <v>283</v>
      </c>
      <c r="B65" t="s">
        <v>251</v>
      </c>
      <c r="C65" t="s">
        <v>4</v>
      </c>
      <c r="D65" t="s">
        <v>67</v>
      </c>
      <c r="E65" t="s">
        <v>71</v>
      </c>
      <c r="F65">
        <v>1</v>
      </c>
      <c r="G65">
        <v>2</v>
      </c>
      <c r="H65">
        <v>4911.0483340000001</v>
      </c>
      <c r="I65" t="s">
        <v>159</v>
      </c>
      <c r="J65" t="s">
        <v>10</v>
      </c>
      <c r="K65" t="s">
        <v>144</v>
      </c>
      <c r="L65" t="s">
        <v>151</v>
      </c>
      <c r="M65" t="s">
        <v>10</v>
      </c>
      <c r="N65" t="s">
        <v>144</v>
      </c>
      <c r="O65" s="7" t="s">
        <v>9</v>
      </c>
      <c r="Q65" t="s">
        <v>252</v>
      </c>
      <c r="R65" s="3">
        <v>4911.0483339788989</v>
      </c>
      <c r="S65" s="9">
        <f t="shared" si="1"/>
        <v>982.20966679577975</v>
      </c>
      <c r="T65" s="11">
        <v>602.35974849000002</v>
      </c>
      <c r="V65" s="26">
        <v>3.54</v>
      </c>
      <c r="W65" s="26">
        <v>2</v>
      </c>
      <c r="X65" s="26" t="s">
        <v>147</v>
      </c>
    </row>
    <row r="66" spans="1:24">
      <c r="A66" t="s">
        <v>172</v>
      </c>
      <c r="B66" t="s">
        <v>434</v>
      </c>
      <c r="C66" t="s">
        <v>4</v>
      </c>
      <c r="D66" t="s">
        <v>63</v>
      </c>
      <c r="E66" t="s">
        <v>435</v>
      </c>
      <c r="F66">
        <v>2</v>
      </c>
      <c r="G66">
        <v>17</v>
      </c>
      <c r="H66">
        <v>11818.644435</v>
      </c>
      <c r="I66" t="s">
        <v>150</v>
      </c>
      <c r="J66" t="s">
        <v>160</v>
      </c>
      <c r="K66" t="s">
        <v>144</v>
      </c>
      <c r="L66" t="s">
        <v>436</v>
      </c>
      <c r="M66" t="s">
        <v>160</v>
      </c>
      <c r="N66" t="s">
        <v>144</v>
      </c>
      <c r="O66" s="7" t="s">
        <v>17</v>
      </c>
      <c r="P66" t="s">
        <v>234</v>
      </c>
      <c r="Q66" t="s">
        <v>437</v>
      </c>
      <c r="R66" s="3">
        <v>11818.644434679005</v>
      </c>
      <c r="S66" s="9">
        <f t="shared" ref="S66:S84" si="2">R66/5</f>
        <v>2363.7288869358008</v>
      </c>
      <c r="T66" s="11"/>
      <c r="V66" s="26">
        <v>3.63</v>
      </c>
      <c r="W66" s="26">
        <v>2</v>
      </c>
      <c r="X66" s="26" t="s">
        <v>147</v>
      </c>
    </row>
    <row r="67" spans="1:24">
      <c r="A67" t="s">
        <v>283</v>
      </c>
      <c r="B67" t="s">
        <v>438</v>
      </c>
      <c r="C67" t="s">
        <v>4</v>
      </c>
      <c r="D67" t="s">
        <v>52</v>
      </c>
      <c r="E67" t="s">
        <v>439</v>
      </c>
      <c r="F67">
        <v>2</v>
      </c>
      <c r="G67">
        <v>13</v>
      </c>
      <c r="H67">
        <v>22312.443533000001</v>
      </c>
      <c r="I67" t="s">
        <v>150</v>
      </c>
      <c r="J67" t="s">
        <v>160</v>
      </c>
      <c r="K67" t="s">
        <v>144</v>
      </c>
      <c r="L67" t="s">
        <v>343</v>
      </c>
      <c r="M67" t="s">
        <v>160</v>
      </c>
      <c r="N67" t="s">
        <v>144</v>
      </c>
      <c r="O67" s="7" t="s">
        <v>17</v>
      </c>
      <c r="P67" t="s">
        <v>234</v>
      </c>
      <c r="Q67" t="s">
        <v>440</v>
      </c>
      <c r="R67" s="3">
        <v>22312.443533075893</v>
      </c>
      <c r="S67" s="9">
        <f t="shared" si="2"/>
        <v>4462.4887066151787</v>
      </c>
      <c r="T67" s="11"/>
      <c r="V67" s="26">
        <v>3.43</v>
      </c>
      <c r="W67" s="26">
        <v>1</v>
      </c>
      <c r="X67" s="26" t="s">
        <v>147</v>
      </c>
    </row>
    <row r="68" spans="1:24">
      <c r="A68" t="s">
        <v>172</v>
      </c>
      <c r="B68" t="s">
        <v>441</v>
      </c>
      <c r="C68" t="s">
        <v>2</v>
      </c>
      <c r="D68" t="s">
        <v>19</v>
      </c>
      <c r="E68" t="s">
        <v>442</v>
      </c>
      <c r="F68">
        <v>2</v>
      </c>
      <c r="G68">
        <v>7</v>
      </c>
      <c r="H68">
        <v>0</v>
      </c>
      <c r="I68" t="s">
        <v>150</v>
      </c>
      <c r="J68" t="s">
        <v>160</v>
      </c>
      <c r="K68" t="s">
        <v>144</v>
      </c>
      <c r="L68" t="s">
        <v>320</v>
      </c>
      <c r="M68" t="s">
        <v>160</v>
      </c>
      <c r="N68" t="s">
        <v>144</v>
      </c>
      <c r="O68" s="7" t="s">
        <v>17</v>
      </c>
      <c r="Q68" t="s">
        <v>443</v>
      </c>
      <c r="R68" s="3">
        <v>3767.1081823665827</v>
      </c>
      <c r="S68" s="9">
        <f t="shared" si="2"/>
        <v>753.42163647331654</v>
      </c>
      <c r="T68" s="11"/>
      <c r="V68" s="26">
        <v>3.68</v>
      </c>
      <c r="W68" s="26">
        <v>2</v>
      </c>
      <c r="X68" s="26" t="s">
        <v>147</v>
      </c>
    </row>
    <row r="69" spans="1:24">
      <c r="A69" t="s">
        <v>283</v>
      </c>
      <c r="B69" t="s">
        <v>444</v>
      </c>
      <c r="C69" t="s">
        <v>4</v>
      </c>
      <c r="D69" t="s">
        <v>59</v>
      </c>
      <c r="E69" t="s">
        <v>445</v>
      </c>
      <c r="F69">
        <v>4</v>
      </c>
      <c r="G69">
        <v>29</v>
      </c>
      <c r="H69">
        <v>7135.7112539999998</v>
      </c>
      <c r="I69" t="s">
        <v>167</v>
      </c>
      <c r="J69" t="s">
        <v>286</v>
      </c>
      <c r="K69" t="s">
        <v>286</v>
      </c>
      <c r="L69" t="s">
        <v>368</v>
      </c>
      <c r="M69" t="s">
        <v>286</v>
      </c>
      <c r="N69" t="s">
        <v>286</v>
      </c>
      <c r="O69" s="7" t="s">
        <v>17</v>
      </c>
      <c r="P69" t="s">
        <v>234</v>
      </c>
      <c r="Q69" t="s">
        <v>446</v>
      </c>
      <c r="R69" s="3">
        <v>7135.7112544992542</v>
      </c>
      <c r="S69" s="9">
        <f t="shared" si="2"/>
        <v>1427.1422508998508</v>
      </c>
      <c r="T69" s="11">
        <v>1094.0272035999999</v>
      </c>
      <c r="V69" s="26">
        <v>3.71</v>
      </c>
      <c r="W69" s="26">
        <v>2</v>
      </c>
      <c r="X69" s="26" t="s">
        <v>169</v>
      </c>
    </row>
    <row r="70" spans="1:24">
      <c r="A70" t="s">
        <v>278</v>
      </c>
      <c r="B70" t="s">
        <v>447</v>
      </c>
      <c r="C70" t="s">
        <v>4</v>
      </c>
      <c r="D70" t="s">
        <v>59</v>
      </c>
      <c r="E70" t="s">
        <v>448</v>
      </c>
      <c r="F70">
        <v>4</v>
      </c>
      <c r="G70">
        <v>27</v>
      </c>
      <c r="H70">
        <v>3975.6105560000001</v>
      </c>
      <c r="I70" t="s">
        <v>150</v>
      </c>
      <c r="J70" t="s">
        <v>286</v>
      </c>
      <c r="K70" t="s">
        <v>286</v>
      </c>
      <c r="L70" t="s">
        <v>449</v>
      </c>
      <c r="M70" t="s">
        <v>286</v>
      </c>
      <c r="N70" t="s">
        <v>286</v>
      </c>
      <c r="O70" s="7" t="s">
        <v>17</v>
      </c>
      <c r="P70" t="s">
        <v>234</v>
      </c>
      <c r="Q70" t="s">
        <v>450</v>
      </c>
      <c r="R70" s="3">
        <v>3975.6105560781562</v>
      </c>
      <c r="S70" s="9">
        <f t="shared" si="2"/>
        <v>795.12211121563121</v>
      </c>
      <c r="T70" s="11"/>
      <c r="V70" s="26">
        <v>4.1500000000000004</v>
      </c>
      <c r="W70" s="26">
        <v>3</v>
      </c>
      <c r="X70" s="26" t="s">
        <v>147</v>
      </c>
    </row>
    <row r="71" spans="1:24">
      <c r="A71" t="s">
        <v>283</v>
      </c>
      <c r="B71" t="s">
        <v>451</v>
      </c>
      <c r="C71" t="s">
        <v>4</v>
      </c>
      <c r="D71" t="s">
        <v>63</v>
      </c>
      <c r="E71" t="s">
        <v>452</v>
      </c>
      <c r="F71">
        <v>3</v>
      </c>
      <c r="G71">
        <v>23</v>
      </c>
      <c r="H71">
        <v>19063.692361000001</v>
      </c>
      <c r="I71" t="s">
        <v>241</v>
      </c>
      <c r="J71" t="s">
        <v>320</v>
      </c>
      <c r="K71" t="s">
        <v>144</v>
      </c>
      <c r="L71" t="s">
        <v>368</v>
      </c>
      <c r="M71" t="s">
        <v>320</v>
      </c>
      <c r="N71" t="s">
        <v>144</v>
      </c>
      <c r="O71" s="7" t="s">
        <v>17</v>
      </c>
      <c r="P71" t="s">
        <v>234</v>
      </c>
      <c r="Q71" t="s">
        <v>453</v>
      </c>
      <c r="R71" s="3">
        <v>19063.692360627578</v>
      </c>
      <c r="S71" s="9">
        <f t="shared" si="2"/>
        <v>3812.7384721255157</v>
      </c>
      <c r="T71" s="11">
        <v>2895</v>
      </c>
      <c r="V71" s="26">
        <v>4.07</v>
      </c>
      <c r="W71" s="26">
        <v>3</v>
      </c>
      <c r="X71" s="26" t="s">
        <v>147</v>
      </c>
    </row>
    <row r="72" spans="1:24">
      <c r="A72" t="s">
        <v>172</v>
      </c>
      <c r="B72" t="s">
        <v>454</v>
      </c>
      <c r="C72" t="s">
        <v>4</v>
      </c>
      <c r="D72" t="s">
        <v>59</v>
      </c>
      <c r="E72" t="s">
        <v>455</v>
      </c>
      <c r="F72">
        <v>3</v>
      </c>
      <c r="G72">
        <v>26</v>
      </c>
      <c r="H72">
        <v>14045.958019</v>
      </c>
      <c r="I72" t="s">
        <v>241</v>
      </c>
      <c r="J72" t="s">
        <v>320</v>
      </c>
      <c r="K72" t="s">
        <v>144</v>
      </c>
      <c r="L72" t="s">
        <v>417</v>
      </c>
      <c r="M72" t="s">
        <v>320</v>
      </c>
      <c r="N72" t="s">
        <v>144</v>
      </c>
      <c r="O72" s="7" t="s">
        <v>17</v>
      </c>
      <c r="Q72" t="s">
        <v>456</v>
      </c>
      <c r="R72" s="3">
        <v>14045.95801894038</v>
      </c>
      <c r="S72" s="9">
        <f t="shared" si="2"/>
        <v>2809.191603788076</v>
      </c>
      <c r="T72" s="11">
        <v>1950</v>
      </c>
      <c r="V72" s="26">
        <v>3.63</v>
      </c>
      <c r="W72" s="26">
        <v>2</v>
      </c>
      <c r="X72" s="26" t="s">
        <v>147</v>
      </c>
    </row>
    <row r="73" spans="1:24">
      <c r="A73" t="s">
        <v>283</v>
      </c>
      <c r="B73" t="s">
        <v>457</v>
      </c>
      <c r="C73" t="s">
        <v>2</v>
      </c>
      <c r="D73" t="s">
        <v>24</v>
      </c>
      <c r="E73" t="s">
        <v>458</v>
      </c>
      <c r="F73">
        <v>2</v>
      </c>
      <c r="G73">
        <v>9</v>
      </c>
      <c r="H73">
        <v>0</v>
      </c>
      <c r="I73" t="s">
        <v>150</v>
      </c>
      <c r="J73" t="s">
        <v>160</v>
      </c>
      <c r="K73" t="s">
        <v>144</v>
      </c>
      <c r="L73" t="s">
        <v>151</v>
      </c>
      <c r="M73" t="s">
        <v>160</v>
      </c>
      <c r="N73" t="s">
        <v>144</v>
      </c>
      <c r="O73" s="7" t="s">
        <v>17</v>
      </c>
      <c r="Q73" t="s">
        <v>459</v>
      </c>
      <c r="R73" s="3">
        <v>6668.8244801590608</v>
      </c>
      <c r="S73" s="9">
        <f t="shared" si="2"/>
        <v>1333.7648960318122</v>
      </c>
      <c r="T73" s="11"/>
      <c r="V73" s="26">
        <v>4.28</v>
      </c>
      <c r="W73" s="26">
        <v>3</v>
      </c>
      <c r="X73" s="26" t="s">
        <v>169</v>
      </c>
    </row>
    <row r="74" spans="1:24">
      <c r="A74" t="s">
        <v>283</v>
      </c>
      <c r="B74" t="s">
        <v>460</v>
      </c>
      <c r="C74" t="s">
        <v>2</v>
      </c>
      <c r="D74" t="s">
        <v>19</v>
      </c>
      <c r="E74" t="s">
        <v>461</v>
      </c>
      <c r="F74">
        <v>2</v>
      </c>
      <c r="G74">
        <v>6</v>
      </c>
      <c r="H74">
        <v>0</v>
      </c>
      <c r="I74" t="s">
        <v>462</v>
      </c>
      <c r="J74" t="s">
        <v>160</v>
      </c>
      <c r="K74" t="s">
        <v>144</v>
      </c>
      <c r="L74" t="s">
        <v>320</v>
      </c>
      <c r="M74" t="s">
        <v>160</v>
      </c>
      <c r="N74" t="s">
        <v>144</v>
      </c>
      <c r="O74" s="7" t="s">
        <v>17</v>
      </c>
      <c r="Q74" t="s">
        <v>463</v>
      </c>
      <c r="R74" s="3">
        <v>22119.248303461594</v>
      </c>
      <c r="S74" s="9">
        <f t="shared" si="2"/>
        <v>4423.849660692319</v>
      </c>
      <c r="T74" s="11"/>
      <c r="V74" s="26">
        <v>3.32</v>
      </c>
      <c r="W74" s="26">
        <v>1</v>
      </c>
      <c r="X74" s="26" t="s">
        <v>147</v>
      </c>
    </row>
    <row r="75" spans="1:24">
      <c r="A75" t="s">
        <v>283</v>
      </c>
      <c r="B75" t="s">
        <v>464</v>
      </c>
      <c r="C75" t="s">
        <v>4</v>
      </c>
      <c r="D75" t="s">
        <v>63</v>
      </c>
      <c r="E75" t="s">
        <v>63</v>
      </c>
      <c r="F75">
        <v>4</v>
      </c>
      <c r="G75">
        <v>31</v>
      </c>
      <c r="H75">
        <v>54129.212305000001</v>
      </c>
      <c r="I75" t="s">
        <v>150</v>
      </c>
      <c r="J75" t="s">
        <v>286</v>
      </c>
      <c r="K75" t="s">
        <v>286</v>
      </c>
      <c r="L75" t="s">
        <v>368</v>
      </c>
      <c r="M75" t="s">
        <v>286</v>
      </c>
      <c r="N75" t="s">
        <v>286</v>
      </c>
      <c r="O75" s="7" t="s">
        <v>17</v>
      </c>
      <c r="P75" t="s">
        <v>234</v>
      </c>
      <c r="Q75" t="s">
        <v>465</v>
      </c>
      <c r="R75" s="3">
        <v>54129.212304697401</v>
      </c>
      <c r="S75" s="9">
        <f t="shared" si="2"/>
        <v>10825.842460939481</v>
      </c>
      <c r="T75" s="11"/>
      <c r="V75" s="26">
        <v>4.21</v>
      </c>
      <c r="W75" s="26">
        <v>3</v>
      </c>
      <c r="X75" s="26" t="s">
        <v>147</v>
      </c>
    </row>
    <row r="76" spans="1:24">
      <c r="A76" t="s">
        <v>172</v>
      </c>
      <c r="B76" t="s">
        <v>466</v>
      </c>
      <c r="C76" t="s">
        <v>5</v>
      </c>
      <c r="D76" t="s">
        <v>76</v>
      </c>
      <c r="E76" t="s">
        <v>467</v>
      </c>
      <c r="F76">
        <v>2</v>
      </c>
      <c r="G76">
        <v>18</v>
      </c>
      <c r="H76">
        <v>12971.765764</v>
      </c>
      <c r="I76" t="s">
        <v>150</v>
      </c>
      <c r="J76" t="s">
        <v>160</v>
      </c>
      <c r="K76" t="s">
        <v>144</v>
      </c>
      <c r="L76" t="s">
        <v>151</v>
      </c>
      <c r="M76" t="s">
        <v>160</v>
      </c>
      <c r="N76" t="s">
        <v>144</v>
      </c>
      <c r="O76" s="7" t="s">
        <v>17</v>
      </c>
      <c r="Q76" t="s">
        <v>468</v>
      </c>
      <c r="R76" s="3">
        <v>12971.765763676891</v>
      </c>
      <c r="S76" s="9">
        <f t="shared" si="2"/>
        <v>2594.353152735378</v>
      </c>
      <c r="T76" s="11"/>
      <c r="V76" s="26">
        <v>4.49</v>
      </c>
      <c r="W76" s="26">
        <v>3</v>
      </c>
      <c r="X76" s="26" t="s">
        <v>169</v>
      </c>
    </row>
    <row r="77" spans="1:24">
      <c r="A77" t="s">
        <v>175</v>
      </c>
      <c r="B77" t="s">
        <v>469</v>
      </c>
      <c r="C77" t="s">
        <v>4</v>
      </c>
      <c r="D77" t="s">
        <v>52</v>
      </c>
      <c r="E77" t="s">
        <v>470</v>
      </c>
      <c r="F77">
        <v>3</v>
      </c>
      <c r="G77">
        <v>28</v>
      </c>
      <c r="H77">
        <v>9355.8401570000005</v>
      </c>
      <c r="I77" t="s">
        <v>150</v>
      </c>
      <c r="J77" t="s">
        <v>320</v>
      </c>
      <c r="K77" t="s">
        <v>150</v>
      </c>
      <c r="L77" t="s">
        <v>471</v>
      </c>
      <c r="M77" t="s">
        <v>320</v>
      </c>
      <c r="N77" t="s">
        <v>150</v>
      </c>
      <c r="O77" s="7" t="s">
        <v>17</v>
      </c>
      <c r="Q77" t="s">
        <v>472</v>
      </c>
      <c r="R77" s="3">
        <v>9355.8401573777592</v>
      </c>
      <c r="S77" s="9">
        <f t="shared" si="2"/>
        <v>1871.1680314755517</v>
      </c>
      <c r="T77" s="11"/>
      <c r="V77" s="26">
        <v>3.71</v>
      </c>
      <c r="W77" s="26">
        <v>2</v>
      </c>
      <c r="X77" s="26" t="s">
        <v>169</v>
      </c>
    </row>
    <row r="78" spans="1:24">
      <c r="A78" t="s">
        <v>283</v>
      </c>
      <c r="B78" t="s">
        <v>473</v>
      </c>
      <c r="C78" t="s">
        <v>4</v>
      </c>
      <c r="D78" t="s">
        <v>52</v>
      </c>
      <c r="E78" t="s">
        <v>474</v>
      </c>
      <c r="F78">
        <v>2</v>
      </c>
      <c r="G78">
        <v>14</v>
      </c>
      <c r="H78">
        <v>18559.355102000001</v>
      </c>
      <c r="I78" t="s">
        <v>150</v>
      </c>
      <c r="J78" t="s">
        <v>160</v>
      </c>
      <c r="K78" t="s">
        <v>144</v>
      </c>
      <c r="L78" t="s">
        <v>343</v>
      </c>
      <c r="M78" t="s">
        <v>160</v>
      </c>
      <c r="N78" t="s">
        <v>144</v>
      </c>
      <c r="O78" s="7" t="s">
        <v>17</v>
      </c>
      <c r="P78" t="s">
        <v>234</v>
      </c>
      <c r="Q78" t="s">
        <v>475</v>
      </c>
      <c r="R78" s="3">
        <v>18559.355102178153</v>
      </c>
      <c r="S78" s="9">
        <f t="shared" si="2"/>
        <v>3711.8710204356307</v>
      </c>
      <c r="T78" s="11"/>
      <c r="V78" s="26">
        <v>3.48</v>
      </c>
      <c r="W78" s="26">
        <v>1</v>
      </c>
      <c r="X78" s="26" t="s">
        <v>147</v>
      </c>
    </row>
    <row r="79" spans="1:24">
      <c r="A79" t="s">
        <v>283</v>
      </c>
      <c r="B79" t="s">
        <v>476</v>
      </c>
      <c r="C79" t="s">
        <v>5</v>
      </c>
      <c r="D79" t="s">
        <v>76</v>
      </c>
      <c r="E79" t="s">
        <v>477</v>
      </c>
      <c r="F79">
        <v>2</v>
      </c>
      <c r="G79">
        <v>14</v>
      </c>
      <c r="H79">
        <v>7623.9705560000002</v>
      </c>
      <c r="I79" t="s">
        <v>150</v>
      </c>
      <c r="J79" t="s">
        <v>160</v>
      </c>
      <c r="K79" t="s">
        <v>144</v>
      </c>
      <c r="L79" t="s">
        <v>151</v>
      </c>
      <c r="M79" t="s">
        <v>160</v>
      </c>
      <c r="N79" t="s">
        <v>144</v>
      </c>
      <c r="O79" s="7" t="s">
        <v>17</v>
      </c>
      <c r="Q79" t="s">
        <v>478</v>
      </c>
      <c r="R79" s="3">
        <v>7623.9705564732749</v>
      </c>
      <c r="S79" s="9">
        <f t="shared" si="2"/>
        <v>1524.7941112946551</v>
      </c>
      <c r="T79" s="11"/>
      <c r="V79" s="26">
        <v>4.3099999999999996</v>
      </c>
      <c r="W79" s="26">
        <v>3</v>
      </c>
      <c r="X79" s="26" t="s">
        <v>147</v>
      </c>
    </row>
    <row r="80" spans="1:24">
      <c r="A80" t="s">
        <v>297</v>
      </c>
      <c r="B80" t="s">
        <v>479</v>
      </c>
      <c r="C80" t="s">
        <v>4</v>
      </c>
      <c r="D80" t="s">
        <v>54</v>
      </c>
      <c r="E80" t="s">
        <v>480</v>
      </c>
      <c r="F80">
        <v>3</v>
      </c>
      <c r="G80">
        <v>33</v>
      </c>
      <c r="H80">
        <v>7099.7328779999998</v>
      </c>
      <c r="I80" t="s">
        <v>167</v>
      </c>
      <c r="J80" t="s">
        <v>320</v>
      </c>
      <c r="K80" t="s">
        <v>144</v>
      </c>
      <c r="L80" t="s">
        <v>150</v>
      </c>
      <c r="M80" t="s">
        <v>17</v>
      </c>
      <c r="N80" t="s">
        <v>144</v>
      </c>
      <c r="O80" s="7" t="s">
        <v>17</v>
      </c>
      <c r="Q80" t="s">
        <v>481</v>
      </c>
      <c r="R80" s="3">
        <v>7099.732878426149</v>
      </c>
      <c r="S80" s="9">
        <f t="shared" si="2"/>
        <v>1419.9465756852298</v>
      </c>
      <c r="T80" s="11">
        <v>1273.3822898000001</v>
      </c>
      <c r="V80" s="26">
        <v>3.55</v>
      </c>
      <c r="W80" s="26">
        <v>2</v>
      </c>
      <c r="X80" s="26" t="s">
        <v>147</v>
      </c>
    </row>
    <row r="81" spans="1:50">
      <c r="A81" t="s">
        <v>283</v>
      </c>
      <c r="B81" t="s">
        <v>482</v>
      </c>
      <c r="C81" t="s">
        <v>4</v>
      </c>
      <c r="D81" t="s">
        <v>54</v>
      </c>
      <c r="E81" t="s">
        <v>483</v>
      </c>
      <c r="F81">
        <v>1</v>
      </c>
      <c r="G81">
        <v>10</v>
      </c>
      <c r="H81">
        <v>9174.4858989999993</v>
      </c>
      <c r="I81" t="s">
        <v>150</v>
      </c>
      <c r="J81" t="s">
        <v>10</v>
      </c>
      <c r="K81" t="s">
        <v>144</v>
      </c>
      <c r="L81" t="s">
        <v>368</v>
      </c>
      <c r="M81" t="s">
        <v>10</v>
      </c>
      <c r="N81" t="s">
        <v>144</v>
      </c>
      <c r="O81" s="7" t="s">
        <v>17</v>
      </c>
      <c r="P81" t="s">
        <v>234</v>
      </c>
      <c r="Q81" t="s">
        <v>484</v>
      </c>
      <c r="R81" s="3">
        <v>9174.4858986418985</v>
      </c>
      <c r="S81" s="9">
        <f t="shared" si="2"/>
        <v>1834.8971797283798</v>
      </c>
      <c r="T81" s="11"/>
      <c r="V81" s="26">
        <v>4.43</v>
      </c>
      <c r="W81" s="26">
        <v>3</v>
      </c>
      <c r="X81" s="26" t="s">
        <v>169</v>
      </c>
    </row>
    <row r="82" spans="1:50">
      <c r="A82" t="s">
        <v>297</v>
      </c>
      <c r="B82" t="s">
        <v>485</v>
      </c>
      <c r="C82" t="s">
        <v>4</v>
      </c>
      <c r="D82" t="s">
        <v>52</v>
      </c>
      <c r="E82" t="s">
        <v>483</v>
      </c>
      <c r="F82">
        <v>3</v>
      </c>
      <c r="G82">
        <v>26</v>
      </c>
      <c r="H82">
        <v>9451.8434429999998</v>
      </c>
      <c r="I82" t="s">
        <v>150</v>
      </c>
      <c r="J82" t="s">
        <v>320</v>
      </c>
      <c r="K82" t="s">
        <v>150</v>
      </c>
      <c r="L82" t="s">
        <v>368</v>
      </c>
      <c r="M82" t="s">
        <v>10</v>
      </c>
      <c r="N82" t="s">
        <v>144</v>
      </c>
      <c r="O82" s="7" t="s">
        <v>17</v>
      </c>
      <c r="P82" t="s">
        <v>234</v>
      </c>
      <c r="Q82" t="s">
        <v>486</v>
      </c>
      <c r="R82" s="3">
        <v>9451.8434426155927</v>
      </c>
      <c r="S82" s="9">
        <f t="shared" si="2"/>
        <v>1890.3686885231186</v>
      </c>
      <c r="T82" s="11"/>
      <c r="V82" s="26">
        <v>3.95</v>
      </c>
      <c r="W82" s="26">
        <v>2</v>
      </c>
      <c r="X82" s="26" t="s">
        <v>169</v>
      </c>
    </row>
    <row r="83" spans="1:50">
      <c r="A83" t="s">
        <v>172</v>
      </c>
      <c r="B83" t="s">
        <v>487</v>
      </c>
      <c r="C83" t="s">
        <v>4</v>
      </c>
      <c r="D83" t="s">
        <v>63</v>
      </c>
      <c r="E83" t="s">
        <v>488</v>
      </c>
      <c r="F83">
        <v>2</v>
      </c>
      <c r="G83">
        <v>11</v>
      </c>
      <c r="H83">
        <v>20179.890556999999</v>
      </c>
      <c r="I83" t="s">
        <v>159</v>
      </c>
      <c r="J83" t="s">
        <v>160</v>
      </c>
      <c r="K83" t="s">
        <v>144</v>
      </c>
      <c r="L83" t="s">
        <v>436</v>
      </c>
      <c r="M83" t="s">
        <v>160</v>
      </c>
      <c r="N83" t="s">
        <v>144</v>
      </c>
      <c r="O83" s="7" t="s">
        <v>17</v>
      </c>
      <c r="P83" t="s">
        <v>234</v>
      </c>
      <c r="Q83" t="s">
        <v>489</v>
      </c>
      <c r="R83" s="3">
        <v>20179.890556992799</v>
      </c>
      <c r="S83" s="9">
        <f t="shared" si="2"/>
        <v>4035.97811139856</v>
      </c>
      <c r="T83" s="11">
        <v>2825</v>
      </c>
      <c r="V83" s="26">
        <v>3.75</v>
      </c>
      <c r="W83" s="26">
        <v>2</v>
      </c>
      <c r="X83" s="26" t="s">
        <v>147</v>
      </c>
    </row>
    <row r="84" spans="1:50">
      <c r="A84" t="s">
        <v>297</v>
      </c>
      <c r="B84" t="s">
        <v>490</v>
      </c>
      <c r="C84" t="s">
        <v>4</v>
      </c>
      <c r="D84" t="s">
        <v>52</v>
      </c>
      <c r="E84" t="s">
        <v>491</v>
      </c>
      <c r="F84">
        <v>3</v>
      </c>
      <c r="G84">
        <v>25</v>
      </c>
      <c r="H84">
        <v>12238.498802</v>
      </c>
      <c r="I84" t="s">
        <v>150</v>
      </c>
      <c r="J84" t="s">
        <v>320</v>
      </c>
      <c r="K84" t="s">
        <v>150</v>
      </c>
      <c r="L84" t="s">
        <v>368</v>
      </c>
      <c r="M84" t="s">
        <v>320</v>
      </c>
      <c r="N84" t="s">
        <v>150</v>
      </c>
      <c r="O84" s="7" t="s">
        <v>17</v>
      </c>
      <c r="P84" t="s">
        <v>234</v>
      </c>
      <c r="Q84" t="s">
        <v>492</v>
      </c>
      <c r="R84" s="3">
        <v>12238.498802119135</v>
      </c>
      <c r="S84" s="9">
        <f t="shared" si="2"/>
        <v>2447.6997604238268</v>
      </c>
      <c r="T84" s="11"/>
      <c r="V84" s="26">
        <v>4.3099999999999996</v>
      </c>
      <c r="W84" s="26">
        <v>3</v>
      </c>
      <c r="X84" s="26" t="s">
        <v>147</v>
      </c>
    </row>
    <row r="85" spans="1:50">
      <c r="A85" t="s">
        <v>297</v>
      </c>
      <c r="B85" t="s">
        <v>493</v>
      </c>
      <c r="C85" t="s">
        <v>2</v>
      </c>
      <c r="D85" t="s">
        <v>33</v>
      </c>
      <c r="E85" t="s">
        <v>494</v>
      </c>
      <c r="F85">
        <v>2</v>
      </c>
      <c r="G85">
        <v>10</v>
      </c>
      <c r="H85">
        <v>3448.2071129999999</v>
      </c>
      <c r="I85" t="s">
        <v>143</v>
      </c>
      <c r="J85" t="s">
        <v>160</v>
      </c>
      <c r="L85" t="s">
        <v>160</v>
      </c>
      <c r="M85" t="s">
        <v>144</v>
      </c>
      <c r="O85" s="7" t="s">
        <v>17</v>
      </c>
      <c r="Q85" t="s">
        <v>495</v>
      </c>
      <c r="R85" s="3">
        <v>3448.2071129999999</v>
      </c>
      <c r="S85" s="9">
        <v>689.64142259999994</v>
      </c>
      <c r="T85" s="11">
        <v>1802.2123636363635</v>
      </c>
      <c r="U85" s="3"/>
      <c r="V85" s="3">
        <f>S85*Quota!$I$2/100</f>
        <v>520.67927406299998</v>
      </c>
      <c r="W85" s="3">
        <f>V85*100/S85</f>
        <v>75.5</v>
      </c>
      <c r="X85" s="26" t="s">
        <v>147</v>
      </c>
      <c r="Y85" s="3"/>
      <c r="Z85" s="3"/>
      <c r="AA85" s="3"/>
      <c r="AB85" s="3"/>
      <c r="AC85" s="3"/>
      <c r="AD85" s="3"/>
      <c r="AE85" s="23"/>
      <c r="AF85" s="3"/>
      <c r="AG85" s="21"/>
      <c r="AH85" s="3"/>
      <c r="AL85" s="26" t="s">
        <v>147</v>
      </c>
      <c r="AM85" s="27" t="e">
        <f>#REF!*(15*0.0004*5)</f>
        <v>#REF!</v>
      </c>
      <c r="AN85" s="27" t="e">
        <f>#REF!*(15*0.00006*5)</f>
        <v>#REF!</v>
      </c>
      <c r="AO85" s="27" t="e">
        <f>#REF!*(0.000035*15*5)</f>
        <v>#REF!</v>
      </c>
      <c r="AP85" s="27" t="e">
        <f>#REF!*(0.0001*3*5)</f>
        <v>#REF!</v>
      </c>
      <c r="AQ85" s="27" t="e">
        <f>#REF!*(0.0002*30)</f>
        <v>#REF!</v>
      </c>
      <c r="AR85" s="27" t="e">
        <f>#REF!*(0.0001*30)</f>
        <v>#REF!</v>
      </c>
      <c r="AS85" s="28" t="e">
        <f t="shared" ref="AS85:AX85" si="3">AM85*3</f>
        <v>#REF!</v>
      </c>
      <c r="AT85" s="28" t="e">
        <f t="shared" si="3"/>
        <v>#REF!</v>
      </c>
      <c r="AU85" s="28" t="e">
        <f t="shared" si="3"/>
        <v>#REF!</v>
      </c>
      <c r="AV85" s="28" t="e">
        <f t="shared" si="3"/>
        <v>#REF!</v>
      </c>
      <c r="AW85" s="28" t="e">
        <f t="shared" si="3"/>
        <v>#REF!</v>
      </c>
      <c r="AX85" s="28" t="e">
        <f t="shared" si="3"/>
        <v>#REF!</v>
      </c>
    </row>
  </sheetData>
  <autoFilter ref="A1:X85" xr:uid="{0D22123B-99ED-4BCB-A275-048C9D08878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F883-E5DF-4DFD-82A0-2D4DDB6991A8}">
  <dimension ref="A1:K3"/>
  <sheetViews>
    <sheetView workbookViewId="0">
      <selection activeCell="K2" sqref="K2"/>
    </sheetView>
  </sheetViews>
  <sheetFormatPr defaultRowHeight="14.45"/>
  <cols>
    <col min="1" max="1" width="18" customWidth="1"/>
    <col min="2" max="2" width="22.85546875" customWidth="1"/>
    <col min="3" max="5" width="18" customWidth="1"/>
    <col min="7" max="7" width="16.5703125" customWidth="1"/>
    <col min="8" max="8" width="18.42578125" customWidth="1"/>
    <col min="9" max="9" width="30.140625" bestFit="1" customWidth="1"/>
    <col min="10" max="10" width="21.140625" bestFit="1" customWidth="1"/>
    <col min="11" max="11" width="21.5703125" customWidth="1"/>
  </cols>
  <sheetData>
    <row r="1" spans="1:11">
      <c r="A1" t="s">
        <v>496</v>
      </c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</row>
    <row r="2" spans="1:11">
      <c r="A2" t="s">
        <v>10</v>
      </c>
      <c r="B2">
        <v>188926</v>
      </c>
      <c r="C2" s="3">
        <v>732000</v>
      </c>
      <c r="D2" s="3">
        <f>C2/5</f>
        <v>146400</v>
      </c>
      <c r="E2" s="3">
        <v>83162</v>
      </c>
      <c r="F2" s="3">
        <f>D2-E2</f>
        <v>63238</v>
      </c>
      <c r="G2" s="14">
        <f>F2*100/B2</f>
        <v>33.4723648412606</v>
      </c>
      <c r="H2">
        <v>75.7</v>
      </c>
      <c r="I2">
        <v>75.5</v>
      </c>
      <c r="J2">
        <v>30</v>
      </c>
      <c r="K2">
        <v>10</v>
      </c>
    </row>
    <row r="3" spans="1:11">
      <c r="A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21fcaf-d5e3-4371-8c57-e6e6c63e12f4" xsi:nil="true"/>
    <lcf76f155ced4ddcb4097134ff3c332f xmlns="2592c875-3d9a-4742-9ce6-f85f7efb8c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CCB2AB2A3F940817CC1C929F839E0" ma:contentTypeVersion="13" ma:contentTypeDescription="Create a new document." ma:contentTypeScope="" ma:versionID="80c00425b8681ef3ab153e36e5573fb4">
  <xsd:schema xmlns:xsd="http://www.w3.org/2001/XMLSchema" xmlns:xs="http://www.w3.org/2001/XMLSchema" xmlns:p="http://schemas.microsoft.com/office/2006/metadata/properties" xmlns:ns2="2592c875-3d9a-4742-9ce6-f85f7efb8c4e" xmlns:ns3="3e21fcaf-d5e3-4371-8c57-e6e6c63e12f4" targetNamespace="http://schemas.microsoft.com/office/2006/metadata/properties" ma:root="true" ma:fieldsID="f534a3845f2ebe78f867d396c1c24d2a" ns2:_="" ns3:_="">
    <xsd:import namespace="2592c875-3d9a-4742-9ce6-f85f7efb8c4e"/>
    <xsd:import namespace="3e21fcaf-d5e3-4371-8c57-e6e6c63e1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2c875-3d9a-4742-9ce6-f85f7efb8c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1fcaf-d5e3-4371-8c57-e6e6c63e1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398f25-be76-4bd2-9a97-3ded792bea61}" ma:internalName="TaxCatchAll" ma:showField="CatchAllData" ma:web="3e21fcaf-d5e3-4371-8c57-e6e6c63e1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75AA6-FC36-4F5D-8409-F545C592082F}"/>
</file>

<file path=customXml/itemProps2.xml><?xml version="1.0" encoding="utf-8"?>
<ds:datastoreItem xmlns:ds="http://schemas.openxmlformats.org/officeDocument/2006/customXml" ds:itemID="{7FDDA935-79BF-4950-9198-85EDB66D8FC4}"/>
</file>

<file path=customXml/itemProps3.xml><?xml version="1.0" encoding="utf-8"?>
<ds:datastoreItem xmlns:ds="http://schemas.openxmlformats.org/officeDocument/2006/customXml" ds:itemID="{FD171BCD-2557-4472-979F-E44B42BD4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Ianosca DESCOMBES</dc:creator>
  <cp:keywords/>
  <dc:description/>
  <cp:lastModifiedBy>Urbain ZONGO</cp:lastModifiedBy>
  <cp:revision/>
  <dcterms:created xsi:type="dcterms:W3CDTF">2025-06-30T12:24:50Z</dcterms:created>
  <dcterms:modified xsi:type="dcterms:W3CDTF">2025-08-21T08:00:52Z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2025-06-30T17:59:02Z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078cddb1-c6f8-4d74-b269-2457f7834eb1</vt:lpwstr>
  </property>
  <property fmtid="{D5CDD505-2E9C-101B-9397-08002B2CF9AE}" pid="8" name="MSIP_Label_2a3a108f-898d-4589-9ebc-7ee3b46df9b8_ContentBits">
    <vt:lpwstr>0</vt:lpwstr>
  </property>
  <property fmtid="{D5CDD505-2E9C-101B-9397-08002B2CF9AE}" pid="9" name="ContentTypeId">
    <vt:lpwstr>0x010100C39CCB2AB2A3F940817CC1C929F839E0</vt:lpwstr>
  </property>
  <property fmtid="{D5CDD505-2E9C-101B-9397-08002B2CF9AE}" pid="10" name="MediaServiceImageTags">
    <vt:lpwstr/>
  </property>
</Properties>
</file>