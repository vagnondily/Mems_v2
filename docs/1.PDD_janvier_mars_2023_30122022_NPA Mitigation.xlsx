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manantsoa_vagnondily_wfp_org/Documents/Attachments/"/>
    </mc:Choice>
  </mc:AlternateContent>
  <xr:revisionPtr revIDLastSave="1" documentId="13_ncr:1_{4BD0E8A2-F546-456D-BE3F-A1957551FFF0}" xr6:coauthVersionLast="47" xr6:coauthVersionMax="47" xr10:uidLastSave="{8E00D6F1-E6EA-418E-9450-6820BF9E240E}"/>
  <bookViews>
    <workbookView xWindow="-28920" yWindow="-120" windowWidth="29040" windowHeight="15840" tabRatio="788" xr2:uid="{1A010E6B-3F28-43E3-9B9B-4C4939A6CABA}"/>
  </bookViews>
  <sheets>
    <sheet name="Summary" sheetId="4" r:id="rId1"/>
    <sheet name="Details" sheetId="2" r:id="rId2"/>
    <sheet name="Ration" sheetId="1" r:id="rId3"/>
    <sheet name="info" sheetId="3" state="hidden" r:id="rId4"/>
  </sheets>
  <externalReferences>
    <externalReference r:id="rId5"/>
  </externalReferences>
  <definedNames>
    <definedName name="_xlnm._FilterDatabase" localSheetId="1" hidden="1">Details!$A$3:$AN$477</definedName>
    <definedName name="_xlnm._FilterDatabase" localSheetId="2" hidden="1">Ration!$B$2:$V$32</definedName>
    <definedName name="d_act">Details!$F$4:$F$600</definedName>
    <definedName name="d_bnf">Details!$S$4:$S$600</definedName>
    <definedName name="d_csb1">Details!$AE$4:$AE$600</definedName>
    <definedName name="d_csb2">Details!$AF$4:$AF$600</definedName>
    <definedName name="d_doz">Details!$AG$4:$AG$600</definedName>
    <definedName name="d_hhs">Details!$T$4:$T$600</definedName>
    <definedName name="d_hu">Details!$AB$4:$AB$600</definedName>
    <definedName name="d_lns">Details!$AH$4:$AH$600</definedName>
    <definedName name="d_ls">Details!$AA$4:$AA$600</definedName>
    <definedName name="d_mga">Details!$AJ$4:$AJ$600</definedName>
    <definedName name="D_mod">Details!$U$4:$U$600</definedName>
    <definedName name="d_mth">Details!$B$4:$B$600</definedName>
    <definedName name="d_riz">Details!$W$4:$W$600</definedName>
    <definedName name="d_SO">Details!$J$4:$J$600</definedName>
    <definedName name="d_stats">Details!$AN$4:$AN$600</definedName>
    <definedName name="d_sup">Details!$AD$4:$AD$600</definedName>
    <definedName name="d_usd">Details!$AK$4:$AK$600</definedName>
    <definedName name="d_wbs">Details!$D$4:$D$600</definedName>
    <definedName name="d_yr">Details!$C$4:$C$600</definedName>
    <definedName name="ExRate">Ration!$AA$2</definedName>
    <definedName name="madmod">info!$F$3:$F$6</definedName>
    <definedName name="mg_bt">info!$H$10:$H$15</definedName>
    <definedName name="Mg_mth">info!$E$10:$E$21</definedName>
    <definedName name="mg_yr">info!$F$10:$F$12</definedName>
    <definedName name="MGMT">info!$H$4</definedName>
    <definedName name="partner">info!$B$3:$B$30</definedName>
    <definedName name="pl_offices">[1]ref!$V$3:$V$6</definedName>
    <definedName name="Pl_stats">[1]ref!$B$3:$B$6</definedName>
    <definedName name="pl_yrs">[1]ref!$R$3:$R$8</definedName>
    <definedName name="RAr">info!$M$10:$M$21</definedName>
    <definedName name="rat_tab">Ration!$B$2:$T$32</definedName>
    <definedName name="RMth">info!$K$10:$K$21</definedName>
    <definedName name="RYr">info!$L$10:$L$21</definedName>
    <definedName name="SchLS">Ration!$V$31</definedName>
    <definedName name="tab_act">Ration!$F$3:$F$182</definedName>
    <definedName name="tab_act1">Ration!$E$3:$E$182</definedName>
    <definedName name="tab_cash">Ration!$W$3:$W$182</definedName>
    <definedName name="tab_csb1">Ration!$P$3:$P$182</definedName>
    <definedName name="tab_csb2">Ration!$Q$3:$Q$182</definedName>
    <definedName name="tab_hu">Ration!$M$3:$M$182</definedName>
    <definedName name="tab_lns">Ration!$S$3:$S$182</definedName>
    <definedName name="tab_ls">Ration!$L$3:$L$182</definedName>
    <definedName name="tab_mc">Ration!$I$3:$I$182</definedName>
    <definedName name="tab_mg">Ration!$K$3:$K$182</definedName>
    <definedName name="tab_mnp">Ration!$N$3:$N$182</definedName>
    <definedName name="tab_mod">Ration!$G$3:$G$182</definedName>
    <definedName name="tab_pdoz">Ration!$R$3:$R$182</definedName>
    <definedName name="tab_Psup">Ration!$O$3:$O$182</definedName>
    <definedName name="tab_riz">Ration!$H$3:$H$182</definedName>
    <definedName name="tab_sor">Ration!$J$3:$J$182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4" l="1"/>
  <c r="H26" i="4"/>
  <c r="I26" i="4"/>
  <c r="J26" i="4"/>
  <c r="K26" i="4"/>
  <c r="L26" i="4"/>
  <c r="M26" i="4"/>
  <c r="N26" i="4"/>
  <c r="O26" i="4"/>
  <c r="P26" i="4"/>
  <c r="G25" i="4"/>
  <c r="H25" i="4"/>
  <c r="I25" i="4"/>
  <c r="J25" i="4"/>
  <c r="K25" i="4"/>
  <c r="L25" i="4"/>
  <c r="M25" i="4"/>
  <c r="N25" i="4"/>
  <c r="O25" i="4"/>
  <c r="P25" i="4"/>
  <c r="G24" i="4"/>
  <c r="Z470" i="2" a="1"/>
  <c r="Z470" i="2" s="1"/>
  <c r="AA470" i="2" a="1"/>
  <c r="AA470" i="2" s="1"/>
  <c r="AJ470" i="2" a="1"/>
  <c r="AJ470" i="2" s="1"/>
  <c r="AK470" i="2" s="1" a="1"/>
  <c r="AK470" i="2" s="1"/>
  <c r="AC472" i="2" a="1"/>
  <c r="AC472" i="2" s="1"/>
  <c r="AF472" i="2" a="1"/>
  <c r="AF472" i="2" s="1"/>
  <c r="AG473" i="2" a="1"/>
  <c r="AG473" i="2" s="1"/>
  <c r="AG474" i="2" a="1"/>
  <c r="AG474" i="2" s="1"/>
  <c r="W475" i="2" a="1"/>
  <c r="W475" i="2" s="1"/>
  <c r="X475" i="2" a="1"/>
  <c r="X475" i="2" s="1"/>
  <c r="Y475" i="2" a="1"/>
  <c r="Y475" i="2" s="1"/>
  <c r="Z475" i="2" a="1"/>
  <c r="Z475" i="2"/>
  <c r="AA475" i="2" a="1"/>
  <c r="AA475" i="2" s="1"/>
  <c r="AB475" i="2" a="1"/>
  <c r="AB475" i="2" s="1"/>
  <c r="AD475" i="2" a="1"/>
  <c r="AD475" i="2" s="1"/>
  <c r="AF475" i="2" a="1"/>
  <c r="AF475" i="2" s="1"/>
  <c r="AG475" i="2" a="1"/>
  <c r="AG475" i="2" s="1"/>
  <c r="AH475" i="2" a="1"/>
  <c r="AH475" i="2" s="1"/>
  <c r="AJ475" i="2" a="1"/>
  <c r="AJ475" i="2" s="1"/>
  <c r="AK475" i="2" s="1" a="1"/>
  <c r="AK475" i="2" s="1"/>
  <c r="Z476" i="2" a="1"/>
  <c r="Z476" i="2" s="1"/>
  <c r="AA476" i="2" a="1"/>
  <c r="AA476" i="2" s="1"/>
  <c r="AB476" i="2" a="1"/>
  <c r="AB476" i="2" s="1"/>
  <c r="AC476" i="2" a="1"/>
  <c r="AC476" i="2" s="1"/>
  <c r="AD476" i="2" a="1"/>
  <c r="AD476" i="2" s="1"/>
  <c r="AE476" i="2" a="1"/>
  <c r="AE476" i="2" s="1"/>
  <c r="AG476" i="2" a="1"/>
  <c r="AG476" i="2" s="1"/>
  <c r="AJ476" i="2" a="1"/>
  <c r="AJ476" i="2" s="1"/>
  <c r="AK476" i="2" s="1" a="1"/>
  <c r="AK476" i="2" s="1"/>
  <c r="Y477" i="2" a="1"/>
  <c r="Y477" i="2" s="1"/>
  <c r="AA477" i="2" a="1"/>
  <c r="AA477" i="2" s="1"/>
  <c r="AD477" i="2" a="1"/>
  <c r="AD477" i="2" s="1"/>
  <c r="AE477" i="2" a="1"/>
  <c r="AE477" i="2" s="1"/>
  <c r="AF477" i="2" a="1"/>
  <c r="AF477" i="2" s="1"/>
  <c r="AH477" i="2" a="1"/>
  <c r="AH477" i="2" s="1"/>
  <c r="AJ477" i="2" a="1"/>
  <c r="AJ477" i="2" s="1"/>
  <c r="AK477" i="2" s="1" a="1"/>
  <c r="AK477" i="2" s="1"/>
  <c r="T477" i="2"/>
  <c r="AC477" i="2" s="1" a="1"/>
  <c r="AC477" i="2" s="1"/>
  <c r="T476" i="2"/>
  <c r="W476" i="2" s="1" a="1"/>
  <c r="W476" i="2" s="1"/>
  <c r="T475" i="2"/>
  <c r="AC475" i="2" s="1" a="1"/>
  <c r="AC475" i="2" s="1"/>
  <c r="T474" i="2"/>
  <c r="Y474" i="2" s="1" a="1"/>
  <c r="Y474" i="2" s="1"/>
  <c r="T473" i="2"/>
  <c r="Y473" i="2" s="1" a="1"/>
  <c r="Y473" i="2" s="1"/>
  <c r="T472" i="2"/>
  <c r="W472" i="2" s="1" a="1"/>
  <c r="W472" i="2" s="1"/>
  <c r="T471" i="2"/>
  <c r="Y471" i="2" s="1" a="1"/>
  <c r="Y471" i="2" s="1"/>
  <c r="T470" i="2"/>
  <c r="AB470" i="2" s="1" a="1"/>
  <c r="AB470" i="2" s="1"/>
  <c r="T469" i="2"/>
  <c r="X469" i="2" s="1" a="1"/>
  <c r="X469" i="2" s="1"/>
  <c r="T468" i="2"/>
  <c r="AA468" i="2" s="1" a="1"/>
  <c r="AA468" i="2" s="1"/>
  <c r="T467" i="2"/>
  <c r="AF467" i="2" s="1" a="1"/>
  <c r="AF467" i="2" s="1"/>
  <c r="T466" i="2"/>
  <c r="AC466" i="2" s="1" a="1"/>
  <c r="AC466" i="2" s="1"/>
  <c r="T465" i="2"/>
  <c r="AA465" i="2" s="1" a="1"/>
  <c r="AA465" i="2" s="1"/>
  <c r="T464" i="2"/>
  <c r="AC464" i="2" s="1" a="1"/>
  <c r="AC464" i="2" s="1"/>
  <c r="T463" i="2"/>
  <c r="AA463" i="2" s="1" a="1"/>
  <c r="AA463" i="2" s="1"/>
  <c r="T462" i="2"/>
  <c r="AG462" i="2" s="1" a="1"/>
  <c r="AG462" i="2" s="1"/>
  <c r="T461" i="2"/>
  <c r="W461" i="2" s="1" a="1"/>
  <c r="W461" i="2" s="1"/>
  <c r="T460" i="2"/>
  <c r="Y460" i="2" s="1" a="1"/>
  <c r="Y460" i="2" s="1"/>
  <c r="T459" i="2"/>
  <c r="Y459" i="2" s="1" a="1"/>
  <c r="Y459" i="2" s="1"/>
  <c r="T458" i="2"/>
  <c r="AC458" i="2" s="1" a="1"/>
  <c r="AC458" i="2" s="1"/>
  <c r="T457" i="2"/>
  <c r="Y457" i="2" s="1" a="1"/>
  <c r="Y457" i="2" s="1"/>
  <c r="T456" i="2"/>
  <c r="AE456" i="2" s="1" a="1"/>
  <c r="AE456" i="2" s="1"/>
  <c r="T455" i="2"/>
  <c r="T454" i="2"/>
  <c r="T453" i="2"/>
  <c r="T452" i="2"/>
  <c r="W452" i="2" s="1" a="1"/>
  <c r="W452" i="2" s="1"/>
  <c r="T451" i="2"/>
  <c r="AG451" i="2" s="1" a="1"/>
  <c r="AG451" i="2" s="1"/>
  <c r="T450" i="2"/>
  <c r="AH450" i="2" s="1" a="1"/>
  <c r="AH450" i="2" s="1"/>
  <c r="T449" i="2"/>
  <c r="AE449" i="2" s="1" a="1"/>
  <c r="AE449" i="2" s="1"/>
  <c r="T448" i="2"/>
  <c r="T447" i="2"/>
  <c r="AB447" i="2" s="1" a="1"/>
  <c r="AB447" i="2" s="1"/>
  <c r="S446" i="2"/>
  <c r="T446" i="2" s="1"/>
  <c r="S445" i="2"/>
  <c r="T445" i="2" s="1"/>
  <c r="S444" i="2"/>
  <c r="T444" i="2" s="1"/>
  <c r="AA444" i="2" s="1" a="1"/>
  <c r="AA444" i="2" s="1"/>
  <c r="S443" i="2"/>
  <c r="T443" i="2" s="1"/>
  <c r="AE443" i="2" s="1" a="1"/>
  <c r="AE443" i="2" s="1"/>
  <c r="S442" i="2"/>
  <c r="T442" i="2" s="1"/>
  <c r="S441" i="2"/>
  <c r="T441" i="2" s="1"/>
  <c r="S440" i="2"/>
  <c r="T440" i="2" s="1"/>
  <c r="S439" i="2"/>
  <c r="T439" i="2" s="1"/>
  <c r="X439" i="2" s="1" a="1"/>
  <c r="X439" i="2" s="1"/>
  <c r="S438" i="2"/>
  <c r="T438" i="2" s="1"/>
  <c r="AE438" i="2" s="1" a="1"/>
  <c r="AE438" i="2" s="1"/>
  <c r="S437" i="2"/>
  <c r="T437" i="2" s="1"/>
  <c r="AF437" i="2" s="1" a="1"/>
  <c r="AF437" i="2" s="1"/>
  <c r="S436" i="2"/>
  <c r="T436" i="2" s="1"/>
  <c r="S435" i="2"/>
  <c r="T435" i="2" s="1"/>
  <c r="S434" i="2"/>
  <c r="T434" i="2" s="1"/>
  <c r="S433" i="2"/>
  <c r="T433" i="2" s="1"/>
  <c r="S432" i="2"/>
  <c r="T432" i="2" s="1"/>
  <c r="Y432" i="2" s="1" a="1"/>
  <c r="Y432" i="2" s="1"/>
  <c r="S431" i="2"/>
  <c r="T431" i="2" s="1"/>
  <c r="X431" i="2" s="1" a="1"/>
  <c r="X431" i="2" s="1"/>
  <c r="S430" i="2"/>
  <c r="T430" i="2" s="1"/>
  <c r="S429" i="2"/>
  <c r="T429" i="2" s="1"/>
  <c r="S428" i="2"/>
  <c r="T428" i="2" s="1"/>
  <c r="S427" i="2"/>
  <c r="T427" i="2" s="1"/>
  <c r="Z427" i="2" s="1" a="1"/>
  <c r="Z427" i="2" s="1"/>
  <c r="S426" i="2"/>
  <c r="T426" i="2" s="1"/>
  <c r="AH426" i="2" s="1" a="1"/>
  <c r="AH426" i="2" s="1"/>
  <c r="S425" i="2"/>
  <c r="T425" i="2" s="1"/>
  <c r="S424" i="2"/>
  <c r="T424" i="2" s="1"/>
  <c r="X424" i="2" s="1" a="1"/>
  <c r="X424" i="2" s="1"/>
  <c r="S423" i="2"/>
  <c r="T423" i="2" s="1"/>
  <c r="S422" i="2"/>
  <c r="T422" i="2" s="1"/>
  <c r="W422" i="2" s="1" a="1"/>
  <c r="W422" i="2" s="1"/>
  <c r="S421" i="2"/>
  <c r="T421" i="2" s="1"/>
  <c r="S420" i="2"/>
  <c r="T420" i="2" s="1"/>
  <c r="S419" i="2"/>
  <c r="T419" i="2" s="1"/>
  <c r="S418" i="2"/>
  <c r="T418" i="2" s="1"/>
  <c r="X418" i="2" s="1" a="1"/>
  <c r="X418" i="2" s="1"/>
  <c r="S417" i="2"/>
  <c r="T417" i="2" s="1"/>
  <c r="S416" i="2"/>
  <c r="T416" i="2" s="1"/>
  <c r="S415" i="2"/>
  <c r="T415" i="2" s="1"/>
  <c r="S414" i="2"/>
  <c r="T414" i="2" s="1"/>
  <c r="S413" i="2"/>
  <c r="T413" i="2" s="1"/>
  <c r="S412" i="2"/>
  <c r="T412" i="2" s="1"/>
  <c r="S411" i="2"/>
  <c r="T411" i="2" s="1"/>
  <c r="S410" i="2"/>
  <c r="T410" i="2" s="1"/>
  <c r="S409" i="2"/>
  <c r="T409" i="2" s="1"/>
  <c r="S408" i="2"/>
  <c r="T408" i="2" s="1"/>
  <c r="S407" i="2"/>
  <c r="T407" i="2" s="1"/>
  <c r="AA407" i="2" s="1" a="1"/>
  <c r="AA407" i="2" s="1"/>
  <c r="S406" i="2"/>
  <c r="T406" i="2" s="1"/>
  <c r="S405" i="2"/>
  <c r="T405" i="2" s="1"/>
  <c r="AG405" i="2" s="1" a="1"/>
  <c r="AG405" i="2" s="1"/>
  <c r="S404" i="2"/>
  <c r="T404" i="2" s="1"/>
  <c r="W404" i="2" s="1" a="1"/>
  <c r="W404" i="2" s="1"/>
  <c r="S403" i="2"/>
  <c r="T403" i="2" s="1"/>
  <c r="S402" i="2"/>
  <c r="T402" i="2" s="1"/>
  <c r="AE402" i="2" s="1" a="1"/>
  <c r="AE402" i="2" s="1"/>
  <c r="S401" i="2"/>
  <c r="T401" i="2" s="1"/>
  <c r="S400" i="2"/>
  <c r="T400" i="2" s="1"/>
  <c r="S399" i="2"/>
  <c r="T399" i="2" s="1"/>
  <c r="S398" i="2"/>
  <c r="T398" i="2" s="1"/>
  <c r="S397" i="2"/>
  <c r="T397" i="2" s="1"/>
  <c r="W397" i="2" s="1" a="1"/>
  <c r="W397" i="2" s="1"/>
  <c r="S396" i="2"/>
  <c r="T396" i="2" s="1"/>
  <c r="S395" i="2"/>
  <c r="T395" i="2" s="1"/>
  <c r="S394" i="2"/>
  <c r="T394" i="2" s="1"/>
  <c r="T393" i="2"/>
  <c r="S393" i="2"/>
  <c r="S392" i="2"/>
  <c r="T392" i="2" s="1"/>
  <c r="S391" i="2"/>
  <c r="T391" i="2" s="1"/>
  <c r="S390" i="2"/>
  <c r="T390" i="2" s="1"/>
  <c r="S389" i="2"/>
  <c r="T389" i="2" s="1"/>
  <c r="S388" i="2"/>
  <c r="T388" i="2" s="1"/>
  <c r="S387" i="2"/>
  <c r="T387" i="2" s="1"/>
  <c r="S386" i="2"/>
  <c r="T386" i="2" s="1"/>
  <c r="S385" i="2"/>
  <c r="T385" i="2" s="1"/>
  <c r="S384" i="2"/>
  <c r="T384" i="2" s="1"/>
  <c r="S383" i="2"/>
  <c r="T383" i="2" s="1"/>
  <c r="S382" i="2"/>
  <c r="T382" i="2" s="1"/>
  <c r="S381" i="2"/>
  <c r="T381" i="2" s="1"/>
  <c r="S380" i="2"/>
  <c r="T380" i="2" s="1"/>
  <c r="S379" i="2"/>
  <c r="T379" i="2" s="1"/>
  <c r="S378" i="2"/>
  <c r="T378" i="2" s="1"/>
  <c r="S377" i="2"/>
  <c r="T377" i="2" s="1"/>
  <c r="S376" i="2"/>
  <c r="T376" i="2" s="1"/>
  <c r="S375" i="2"/>
  <c r="T375" i="2" s="1"/>
  <c r="S374" i="2"/>
  <c r="T374" i="2" s="1"/>
  <c r="S373" i="2"/>
  <c r="T373" i="2" s="1"/>
  <c r="S372" i="2"/>
  <c r="T372" i="2" s="1"/>
  <c r="S371" i="2"/>
  <c r="T371" i="2" s="1"/>
  <c r="S370" i="2"/>
  <c r="T370" i="2" s="1"/>
  <c r="T369" i="2"/>
  <c r="S369" i="2"/>
  <c r="S368" i="2"/>
  <c r="T368" i="2" s="1"/>
  <c r="S367" i="2"/>
  <c r="T367" i="2" s="1"/>
  <c r="S366" i="2"/>
  <c r="T366" i="2" s="1"/>
  <c r="S365" i="2"/>
  <c r="T365" i="2" s="1"/>
  <c r="S364" i="2"/>
  <c r="T364" i="2" s="1"/>
  <c r="S363" i="2"/>
  <c r="T363" i="2" s="1"/>
  <c r="S362" i="2"/>
  <c r="T362" i="2" s="1"/>
  <c r="S361" i="2"/>
  <c r="T361" i="2" s="1"/>
  <c r="T360" i="2"/>
  <c r="S360" i="2"/>
  <c r="S359" i="2"/>
  <c r="T359" i="2" s="1"/>
  <c r="S358" i="2"/>
  <c r="T358" i="2" s="1"/>
  <c r="S357" i="2"/>
  <c r="T357" i="2" s="1"/>
  <c r="S356" i="2"/>
  <c r="T356" i="2" s="1"/>
  <c r="S355" i="2"/>
  <c r="T355" i="2" s="1"/>
  <c r="S354" i="2"/>
  <c r="T354" i="2" s="1"/>
  <c r="S353" i="2"/>
  <c r="T353" i="2" s="1"/>
  <c r="S352" i="2"/>
  <c r="T352" i="2" s="1"/>
  <c r="S351" i="2"/>
  <c r="T351" i="2" s="1"/>
  <c r="S350" i="2"/>
  <c r="T350" i="2" s="1"/>
  <c r="S349" i="2"/>
  <c r="T349" i="2" s="1"/>
  <c r="S348" i="2"/>
  <c r="T348" i="2" s="1"/>
  <c r="S347" i="2"/>
  <c r="T347" i="2" s="1"/>
  <c r="S346" i="2"/>
  <c r="T346" i="2" s="1"/>
  <c r="S345" i="2"/>
  <c r="T345" i="2" s="1"/>
  <c r="S344" i="2"/>
  <c r="T344" i="2" s="1"/>
  <c r="S343" i="2"/>
  <c r="T343" i="2" s="1"/>
  <c r="S342" i="2"/>
  <c r="T342" i="2" s="1"/>
  <c r="S341" i="2"/>
  <c r="T341" i="2" s="1"/>
  <c r="S340" i="2"/>
  <c r="T340" i="2" s="1"/>
  <c r="S339" i="2"/>
  <c r="T339" i="2" s="1"/>
  <c r="S338" i="2"/>
  <c r="T338" i="2" s="1"/>
  <c r="S337" i="2"/>
  <c r="T337" i="2" s="1"/>
  <c r="S336" i="2"/>
  <c r="T336" i="2" s="1"/>
  <c r="S335" i="2"/>
  <c r="T335" i="2" s="1"/>
  <c r="S334" i="2"/>
  <c r="T334" i="2" s="1"/>
  <c r="S333" i="2"/>
  <c r="T333" i="2" s="1"/>
  <c r="S332" i="2"/>
  <c r="T332" i="2" s="1"/>
  <c r="S331" i="2"/>
  <c r="T331" i="2" s="1"/>
  <c r="S330" i="2"/>
  <c r="T330" i="2" s="1"/>
  <c r="S329" i="2"/>
  <c r="T329" i="2" s="1"/>
  <c r="S328" i="2"/>
  <c r="T328" i="2" s="1"/>
  <c r="S327" i="2"/>
  <c r="T327" i="2" s="1"/>
  <c r="S326" i="2"/>
  <c r="T326" i="2" s="1"/>
  <c r="S325" i="2"/>
  <c r="T325" i="2" s="1"/>
  <c r="S324" i="2"/>
  <c r="T324" i="2" s="1"/>
  <c r="S323" i="2"/>
  <c r="T323" i="2" s="1"/>
  <c r="S322" i="2"/>
  <c r="T322" i="2" s="1"/>
  <c r="S321" i="2"/>
  <c r="T321" i="2" s="1"/>
  <c r="S320" i="2"/>
  <c r="T320" i="2" s="1"/>
  <c r="Q26" i="4" l="1"/>
  <c r="Q25" i="4"/>
  <c r="Z477" i="2" a="1"/>
  <c r="Z477" i="2" s="1"/>
  <c r="AF474" i="2" a="1"/>
  <c r="AF474" i="2" s="1"/>
  <c r="AA473" i="2" a="1"/>
  <c r="AA473" i="2" s="1"/>
  <c r="AC470" i="2" a="1"/>
  <c r="AC470" i="2" s="1"/>
  <c r="X473" i="2" a="1"/>
  <c r="X473" i="2" s="1"/>
  <c r="AE474" i="2" a="1"/>
  <c r="AE474" i="2" s="1"/>
  <c r="X477" i="2" a="1"/>
  <c r="X477" i="2" s="1"/>
  <c r="AD474" i="2" a="1"/>
  <c r="AD474" i="2" s="1"/>
  <c r="AG465" i="2" a="1"/>
  <c r="AG465" i="2" s="1"/>
  <c r="W477" i="2" a="1"/>
  <c r="W477" i="2" s="1"/>
  <c r="AE475" i="2" a="1"/>
  <c r="AE475" i="2" s="1"/>
  <c r="AE472" i="2" a="1"/>
  <c r="AE472" i="2" s="1"/>
  <c r="AJ464" i="2" a="1"/>
  <c r="AJ464" i="2" s="1"/>
  <c r="AK464" i="2" s="1" a="1"/>
  <c r="AK464" i="2" s="1"/>
  <c r="AC474" i="2" a="1"/>
  <c r="AC474" i="2" s="1"/>
  <c r="AD472" i="2" a="1"/>
  <c r="AD472" i="2" s="1"/>
  <c r="Z463" i="2" a="1"/>
  <c r="Z463" i="2" s="1"/>
  <c r="AB474" i="2" a="1"/>
  <c r="AB474" i="2" s="1"/>
  <c r="AC461" i="2" a="1"/>
  <c r="AC461" i="2" s="1"/>
  <c r="AA474" i="2" a="1"/>
  <c r="AA474" i="2" s="1"/>
  <c r="AB472" i="2" a="1"/>
  <c r="AB472" i="2" s="1"/>
  <c r="AG460" i="2" a="1"/>
  <c r="AG460" i="2" s="1"/>
  <c r="Z474" i="2" a="1"/>
  <c r="Z474" i="2" s="1"/>
  <c r="AJ471" i="2" a="1"/>
  <c r="AJ471" i="2" s="1"/>
  <c r="AK471" i="2" s="1" a="1"/>
  <c r="AK471" i="2" s="1"/>
  <c r="AB460" i="2" a="1"/>
  <c r="AB460" i="2" s="1"/>
  <c r="AG477" i="2" a="1"/>
  <c r="AG477" i="2" s="1"/>
  <c r="AH471" i="2" a="1"/>
  <c r="AH471" i="2" s="1"/>
  <c r="AC459" i="2" a="1"/>
  <c r="AC459" i="2" s="1"/>
  <c r="X474" i="2" a="1"/>
  <c r="X474" i="2" s="1"/>
  <c r="AG471" i="2" a="1"/>
  <c r="AG471" i="2" s="1"/>
  <c r="AG458" i="2" a="1"/>
  <c r="AG458" i="2" s="1"/>
  <c r="W474" i="2" a="1"/>
  <c r="W474" i="2" s="1"/>
  <c r="AA471" i="2" a="1"/>
  <c r="AA471" i="2" s="1"/>
  <c r="AA458" i="2" a="1"/>
  <c r="AA458" i="2" s="1"/>
  <c r="Z471" i="2" a="1"/>
  <c r="Z471" i="2" s="1"/>
  <c r="AF457" i="2" a="1"/>
  <c r="AF457" i="2" s="1"/>
  <c r="AJ474" i="2" a="1"/>
  <c r="AJ474" i="2" s="1"/>
  <c r="AK474" i="2" s="1" a="1"/>
  <c r="AK474" i="2" s="1"/>
  <c r="AH473" i="2" a="1"/>
  <c r="AH473" i="2" s="1"/>
  <c r="X471" i="2" a="1"/>
  <c r="X471" i="2" s="1"/>
  <c r="AB477" i="2" a="1"/>
  <c r="AB477" i="2" s="1"/>
  <c r="W471" i="2" a="1"/>
  <c r="W471" i="2" s="1"/>
  <c r="Y379" i="2" a="1"/>
  <c r="Y379" i="2" s="1"/>
  <c r="AJ379" i="2" a="1"/>
  <c r="AJ379" i="2" s="1"/>
  <c r="AK379" i="2" s="1" a="1"/>
  <c r="AK379" i="2" s="1"/>
  <c r="Z379" i="2" a="1"/>
  <c r="Z379" i="2" s="1"/>
  <c r="AA379" i="2" a="1"/>
  <c r="AA379" i="2" s="1"/>
  <c r="AB379" i="2" a="1"/>
  <c r="AB379" i="2" s="1"/>
  <c r="AC379" i="2" a="1"/>
  <c r="AC379" i="2" s="1"/>
  <c r="AD379" i="2" a="1"/>
  <c r="AD379" i="2" s="1"/>
  <c r="AE379" i="2" a="1"/>
  <c r="AE379" i="2" s="1"/>
  <c r="AF379" i="2" a="1"/>
  <c r="AF379" i="2" s="1"/>
  <c r="W379" i="2" a="1"/>
  <c r="W379" i="2" s="1"/>
  <c r="AG379" i="2" a="1"/>
  <c r="AG379" i="2" s="1"/>
  <c r="X379" i="2" a="1"/>
  <c r="X379" i="2" s="1"/>
  <c r="AH379" i="2" a="1"/>
  <c r="AH379" i="2" s="1"/>
  <c r="Y334" i="2" a="1"/>
  <c r="Y334" i="2" s="1"/>
  <c r="Z334" i="2" a="1"/>
  <c r="Z334" i="2" s="1"/>
  <c r="AA334" i="2" a="1"/>
  <c r="AA334" i="2" s="1"/>
  <c r="AB334" i="2" a="1"/>
  <c r="AB334" i="2" s="1"/>
  <c r="AC334" i="2" a="1"/>
  <c r="AC334" i="2" s="1"/>
  <c r="AD334" i="2" a="1"/>
  <c r="AD334" i="2" s="1"/>
  <c r="AE334" i="2" a="1"/>
  <c r="AE334" i="2" s="1"/>
  <c r="AF334" i="2" a="1"/>
  <c r="AF334" i="2" s="1"/>
  <c r="AG334" i="2" a="1"/>
  <c r="AG334" i="2" s="1"/>
  <c r="W334" i="2" a="1"/>
  <c r="W334" i="2" s="1"/>
  <c r="AH334" i="2" a="1"/>
  <c r="AH334" i="2" s="1"/>
  <c r="AI334" i="2" s="1"/>
  <c r="X334" i="2" a="1"/>
  <c r="X334" i="2" s="1"/>
  <c r="AJ334" i="2" a="1"/>
  <c r="AJ334" i="2" s="1"/>
  <c r="AK334" i="2" s="1" a="1"/>
  <c r="AK334" i="2" s="1"/>
  <c r="Z350" i="2" a="1"/>
  <c r="Z350" i="2" s="1"/>
  <c r="AA350" i="2" a="1"/>
  <c r="AA350" i="2" s="1"/>
  <c r="AB350" i="2" a="1"/>
  <c r="AB350" i="2" s="1"/>
  <c r="AC350" i="2" a="1"/>
  <c r="AC350" i="2" s="1"/>
  <c r="AD350" i="2" a="1"/>
  <c r="AD350" i="2" s="1"/>
  <c r="AE350" i="2" a="1"/>
  <c r="AE350" i="2" s="1"/>
  <c r="AF350" i="2" a="1"/>
  <c r="AF350" i="2" s="1"/>
  <c r="AG350" i="2" a="1"/>
  <c r="AG350" i="2" s="1"/>
  <c r="W350" i="2" a="1"/>
  <c r="W350" i="2" s="1"/>
  <c r="AH350" i="2" a="1"/>
  <c r="AH350" i="2" s="1"/>
  <c r="X350" i="2" a="1"/>
  <c r="X350" i="2" s="1"/>
  <c r="AJ350" i="2" a="1"/>
  <c r="AJ350" i="2" s="1"/>
  <c r="AK350" i="2" s="1" a="1"/>
  <c r="AK350" i="2" s="1"/>
  <c r="Y350" i="2" a="1"/>
  <c r="Y350" i="2" s="1"/>
  <c r="Z395" i="2" a="1"/>
  <c r="Z395" i="2" s="1"/>
  <c r="AA395" i="2" a="1"/>
  <c r="AA395" i="2" s="1"/>
  <c r="AB395" i="2" a="1"/>
  <c r="AB395" i="2" s="1"/>
  <c r="AC395" i="2" a="1"/>
  <c r="AC395" i="2" s="1"/>
  <c r="AD395" i="2" a="1"/>
  <c r="AD395" i="2" s="1"/>
  <c r="AE395" i="2" a="1"/>
  <c r="AE395" i="2" s="1"/>
  <c r="AF395" i="2" a="1"/>
  <c r="AF395" i="2" s="1"/>
  <c r="AG395" i="2" a="1"/>
  <c r="AG395" i="2" s="1"/>
  <c r="AH395" i="2" a="1"/>
  <c r="AH395" i="2" s="1"/>
  <c r="W395" i="2" a="1"/>
  <c r="W395" i="2" s="1"/>
  <c r="AJ395" i="2" a="1"/>
  <c r="AJ395" i="2" s="1"/>
  <c r="AK395" i="2" s="1" a="1"/>
  <c r="AK395" i="2" s="1"/>
  <c r="X395" i="2" a="1"/>
  <c r="X395" i="2" s="1"/>
  <c r="Y395" i="2" a="1"/>
  <c r="Y395" i="2" s="1"/>
  <c r="Y425" i="2" a="1"/>
  <c r="Y425" i="2" s="1"/>
  <c r="W425" i="2" a="1"/>
  <c r="W425" i="2" s="1"/>
  <c r="AJ425" i="2" a="1"/>
  <c r="AJ425" i="2" s="1"/>
  <c r="AK425" i="2" s="1" a="1"/>
  <c r="AK425" i="2" s="1"/>
  <c r="X425" i="2" a="1"/>
  <c r="X425" i="2" s="1"/>
  <c r="AI425" i="2" s="1"/>
  <c r="Z425" i="2" a="1"/>
  <c r="Z425" i="2" s="1"/>
  <c r="AB425" i="2" a="1"/>
  <c r="AB425" i="2" s="1"/>
  <c r="AC425" i="2" a="1"/>
  <c r="AC425" i="2" s="1"/>
  <c r="AD425" i="2" a="1"/>
  <c r="AD425" i="2" s="1"/>
  <c r="AE425" i="2" a="1"/>
  <c r="AE425" i="2" s="1"/>
  <c r="AF425" i="2" a="1"/>
  <c r="AF425" i="2" s="1"/>
  <c r="AG425" i="2" a="1"/>
  <c r="AG425" i="2" s="1"/>
  <c r="AH425" i="2" a="1"/>
  <c r="AH425" i="2" s="1"/>
  <c r="AA425" i="2" a="1"/>
  <c r="AA425" i="2" s="1"/>
  <c r="Y326" i="2" a="1"/>
  <c r="Y326" i="2" s="1"/>
  <c r="Z326" i="2" a="1"/>
  <c r="Z326" i="2" s="1"/>
  <c r="AA326" i="2" a="1"/>
  <c r="AA326" i="2" s="1"/>
  <c r="AB326" i="2" a="1"/>
  <c r="AB326" i="2" s="1"/>
  <c r="AC326" i="2" a="1"/>
  <c r="AC326" i="2" s="1"/>
  <c r="AD326" i="2" a="1"/>
  <c r="AD326" i="2" s="1"/>
  <c r="AE326" i="2" a="1"/>
  <c r="AE326" i="2" s="1"/>
  <c r="AI326" i="2" s="1"/>
  <c r="AF326" i="2" a="1"/>
  <c r="AF326" i="2" s="1"/>
  <c r="AG326" i="2" a="1"/>
  <c r="AG326" i="2" s="1"/>
  <c r="W326" i="2" a="1"/>
  <c r="W326" i="2" s="1"/>
  <c r="AH326" i="2" a="1"/>
  <c r="AH326" i="2" s="1"/>
  <c r="X326" i="2" a="1"/>
  <c r="X326" i="2" s="1"/>
  <c r="AJ326" i="2" a="1"/>
  <c r="AJ326" i="2" s="1"/>
  <c r="AK326" i="2" s="1" a="1"/>
  <c r="AK326" i="2" s="1"/>
  <c r="AE389" i="2" a="1"/>
  <c r="AE389" i="2" s="1"/>
  <c r="W389" i="2" a="1"/>
  <c r="W389" i="2" s="1"/>
  <c r="AG389" i="2" a="1"/>
  <c r="AG389" i="2" s="1"/>
  <c r="X389" i="2" a="1"/>
  <c r="X389" i="2" s="1"/>
  <c r="AH389" i="2" a="1"/>
  <c r="AH389" i="2" s="1"/>
  <c r="Y389" i="2" a="1"/>
  <c r="Y389" i="2" s="1"/>
  <c r="AJ389" i="2" a="1"/>
  <c r="AJ389" i="2" s="1"/>
  <c r="AK389" i="2" s="1" a="1"/>
  <c r="AK389" i="2" s="1"/>
  <c r="Z389" i="2" a="1"/>
  <c r="Z389" i="2" s="1"/>
  <c r="AA389" i="2" a="1"/>
  <c r="AA389" i="2" s="1"/>
  <c r="AB389" i="2" a="1"/>
  <c r="AB389" i="2" s="1"/>
  <c r="AC389" i="2" a="1"/>
  <c r="AC389" i="2" s="1"/>
  <c r="AD389" i="2" a="1"/>
  <c r="AD389" i="2" s="1"/>
  <c r="AF389" i="2" a="1"/>
  <c r="AF389" i="2" s="1"/>
  <c r="AB408" i="2" a="1"/>
  <c r="AB408" i="2" s="1"/>
  <c r="AC408" i="2" a="1"/>
  <c r="AC408" i="2" s="1"/>
  <c r="AE408" i="2" a="1"/>
  <c r="AE408" i="2" s="1"/>
  <c r="AF408" i="2" a="1"/>
  <c r="AF408" i="2" s="1"/>
  <c r="AG408" i="2" a="1"/>
  <c r="AG408" i="2" s="1"/>
  <c r="W408" i="2" a="1"/>
  <c r="W408" i="2" s="1"/>
  <c r="AH408" i="2" a="1"/>
  <c r="AH408" i="2" s="1"/>
  <c r="X408" i="2" a="1"/>
  <c r="X408" i="2" s="1"/>
  <c r="AJ408" i="2" a="1"/>
  <c r="AJ408" i="2" s="1"/>
  <c r="AK408" i="2" s="1" a="1"/>
  <c r="AK408" i="2" s="1"/>
  <c r="Y408" i="2" a="1"/>
  <c r="Y408" i="2" s="1"/>
  <c r="Z408" i="2" a="1"/>
  <c r="Z408" i="2" s="1"/>
  <c r="AA408" i="2" a="1"/>
  <c r="AA408" i="2" s="1"/>
  <c r="AD408" i="2" a="1"/>
  <c r="AD408" i="2" s="1"/>
  <c r="AG336" i="2" a="1"/>
  <c r="AG336" i="2" s="1"/>
  <c r="AH336" i="2" a="1"/>
  <c r="AH336" i="2" s="1"/>
  <c r="W336" i="2" a="1"/>
  <c r="W336" i="2" s="1"/>
  <c r="AJ336" i="2" a="1"/>
  <c r="AJ336" i="2" s="1"/>
  <c r="AK336" i="2" s="1" a="1"/>
  <c r="AK336" i="2" s="1"/>
  <c r="X336" i="2" a="1"/>
  <c r="X336" i="2" s="1"/>
  <c r="Y336" i="2" a="1"/>
  <c r="Y336" i="2" s="1"/>
  <c r="Z336" i="2" a="1"/>
  <c r="Z336" i="2" s="1"/>
  <c r="AA336" i="2" a="1"/>
  <c r="AA336" i="2" s="1"/>
  <c r="AB336" i="2" a="1"/>
  <c r="AB336" i="2" s="1"/>
  <c r="AC336" i="2" a="1"/>
  <c r="AC336" i="2" s="1"/>
  <c r="AD336" i="2" a="1"/>
  <c r="AD336" i="2" s="1"/>
  <c r="AE336" i="2" a="1"/>
  <c r="AE336" i="2" s="1"/>
  <c r="AF336" i="2" a="1"/>
  <c r="AF336" i="2" s="1"/>
  <c r="AC413" i="2" a="1"/>
  <c r="AC413" i="2" s="1"/>
  <c r="W413" i="2" a="1"/>
  <c r="W413" i="2" s="1"/>
  <c r="X413" i="2" a="1"/>
  <c r="X413" i="2" s="1"/>
  <c r="AH413" i="2" a="1"/>
  <c r="AH413" i="2" s="1"/>
  <c r="Y413" i="2" a="1"/>
  <c r="Y413" i="2" s="1"/>
  <c r="Z413" i="2" a="1"/>
  <c r="Z413" i="2" s="1"/>
  <c r="AJ413" i="2" a="1"/>
  <c r="AJ413" i="2" s="1"/>
  <c r="AK413" i="2" s="1" a="1"/>
  <c r="AK413" i="2" s="1"/>
  <c r="AF413" i="2" a="1"/>
  <c r="AF413" i="2" s="1"/>
  <c r="AG413" i="2" a="1"/>
  <c r="AG413" i="2" s="1"/>
  <c r="AA413" i="2" a="1"/>
  <c r="AA413" i="2" s="1"/>
  <c r="AB413" i="2" a="1"/>
  <c r="AB413" i="2" s="1"/>
  <c r="AD413" i="2" a="1"/>
  <c r="AD413" i="2" s="1"/>
  <c r="AE413" i="2" a="1"/>
  <c r="AE413" i="2" s="1"/>
  <c r="AE429" i="2" a="1"/>
  <c r="AE429" i="2" s="1"/>
  <c r="AD429" i="2" a="1"/>
  <c r="AD429" i="2" s="1"/>
  <c r="AF429" i="2" a="1"/>
  <c r="AF429" i="2" s="1"/>
  <c r="AG429" i="2" a="1"/>
  <c r="AG429" i="2" s="1"/>
  <c r="X429" i="2" a="1"/>
  <c r="X429" i="2" s="1"/>
  <c r="AJ429" i="2" a="1"/>
  <c r="AJ429" i="2" s="1"/>
  <c r="AK429" i="2" s="1" a="1"/>
  <c r="AK429" i="2" s="1"/>
  <c r="Y429" i="2" a="1"/>
  <c r="Y429" i="2" s="1"/>
  <c r="Z429" i="2" a="1"/>
  <c r="Z429" i="2" s="1"/>
  <c r="AA429" i="2" a="1"/>
  <c r="AA429" i="2" s="1"/>
  <c r="AB429" i="2" a="1"/>
  <c r="AB429" i="2" s="1"/>
  <c r="W429" i="2" a="1"/>
  <c r="W429" i="2" s="1"/>
  <c r="AC429" i="2" a="1"/>
  <c r="AC429" i="2" s="1"/>
  <c r="AH429" i="2" a="1"/>
  <c r="AH429" i="2" s="1"/>
  <c r="AC323" i="2" a="1"/>
  <c r="AC323" i="2" s="1"/>
  <c r="AD323" i="2" a="1"/>
  <c r="AD323" i="2" s="1"/>
  <c r="AE323" i="2" a="1"/>
  <c r="AE323" i="2" s="1"/>
  <c r="AF323" i="2" a="1"/>
  <c r="AF323" i="2" s="1"/>
  <c r="W323" i="2" a="1"/>
  <c r="W323" i="2" s="1"/>
  <c r="AG323" i="2" a="1"/>
  <c r="AG323" i="2" s="1"/>
  <c r="X323" i="2" a="1"/>
  <c r="X323" i="2" s="1"/>
  <c r="AH323" i="2" a="1"/>
  <c r="AH323" i="2" s="1"/>
  <c r="Y323" i="2" a="1"/>
  <c r="Y323" i="2" s="1"/>
  <c r="AJ323" i="2" a="1"/>
  <c r="AJ323" i="2" s="1"/>
  <c r="AK323" i="2" s="1" a="1"/>
  <c r="AK323" i="2" s="1"/>
  <c r="Z323" i="2" a="1"/>
  <c r="Z323" i="2" s="1"/>
  <c r="AA323" i="2" a="1"/>
  <c r="AA323" i="2" s="1"/>
  <c r="AB323" i="2" a="1"/>
  <c r="AB323" i="2" s="1"/>
  <c r="AD385" i="2" a="1"/>
  <c r="AD385" i="2" s="1"/>
  <c r="AE385" i="2" a="1"/>
  <c r="AE385" i="2" s="1"/>
  <c r="AF385" i="2" a="1"/>
  <c r="AF385" i="2" s="1"/>
  <c r="W385" i="2" a="1"/>
  <c r="W385" i="2" s="1"/>
  <c r="AG385" i="2" a="1"/>
  <c r="AG385" i="2" s="1"/>
  <c r="X385" i="2" a="1"/>
  <c r="X385" i="2" s="1"/>
  <c r="AH385" i="2" a="1"/>
  <c r="AH385" i="2" s="1"/>
  <c r="Y385" i="2" a="1"/>
  <c r="Y385" i="2" s="1"/>
  <c r="AJ385" i="2" a="1"/>
  <c r="AJ385" i="2" s="1"/>
  <c r="AK385" i="2" s="1" a="1"/>
  <c r="AK385" i="2" s="1"/>
  <c r="Z385" i="2" a="1"/>
  <c r="Z385" i="2" s="1"/>
  <c r="AA385" i="2" a="1"/>
  <c r="AA385" i="2" s="1"/>
  <c r="AB385" i="2" a="1"/>
  <c r="AB385" i="2" s="1"/>
  <c r="AC385" i="2" a="1"/>
  <c r="AC385" i="2" s="1"/>
  <c r="Y446" i="2" a="1"/>
  <c r="Y446" i="2" s="1"/>
  <c r="AH446" i="2" a="1"/>
  <c r="AH446" i="2" s="1"/>
  <c r="Z446" i="2" a="1"/>
  <c r="Z446" i="2" s="1"/>
  <c r="AJ446" i="2" a="1"/>
  <c r="AJ446" i="2" s="1"/>
  <c r="AK446" i="2" s="1" a="1"/>
  <c r="AK446" i="2" s="1"/>
  <c r="AA446" i="2" a="1"/>
  <c r="AA446" i="2" s="1"/>
  <c r="AC446" i="2" a="1"/>
  <c r="AC446" i="2" s="1"/>
  <c r="AD446" i="2" a="1"/>
  <c r="AD446" i="2" s="1"/>
  <c r="AE446" i="2" a="1"/>
  <c r="AE446" i="2" s="1"/>
  <c r="W446" i="2" a="1"/>
  <c r="W446" i="2" s="1"/>
  <c r="AF446" i="2" a="1"/>
  <c r="AF446" i="2" s="1"/>
  <c r="X446" i="2" a="1"/>
  <c r="X446" i="2" s="1"/>
  <c r="AB446" i="2" a="1"/>
  <c r="AB446" i="2" s="1"/>
  <c r="AG446" i="2" a="1"/>
  <c r="AG446" i="2" s="1"/>
  <c r="AA433" i="2" a="1"/>
  <c r="AA433" i="2" s="1"/>
  <c r="AB433" i="2" a="1"/>
  <c r="AB433" i="2" s="1"/>
  <c r="AI433" i="2" s="1"/>
  <c r="AC433" i="2" a="1"/>
  <c r="AC433" i="2" s="1"/>
  <c r="AD433" i="2" a="1"/>
  <c r="AD433" i="2" s="1"/>
  <c r="AE433" i="2" a="1"/>
  <c r="AE433" i="2" s="1"/>
  <c r="AF433" i="2" a="1"/>
  <c r="AF433" i="2" s="1"/>
  <c r="W433" i="2" a="1"/>
  <c r="W433" i="2" s="1"/>
  <c r="AG433" i="2" a="1"/>
  <c r="AG433" i="2" s="1"/>
  <c r="X433" i="2" a="1"/>
  <c r="X433" i="2" s="1"/>
  <c r="AH433" i="2" a="1"/>
  <c r="AH433" i="2" s="1"/>
  <c r="Y433" i="2" a="1"/>
  <c r="Y433" i="2" s="1"/>
  <c r="AJ433" i="2" a="1"/>
  <c r="AJ433" i="2" s="1"/>
  <c r="AK433" i="2" s="1" a="1"/>
  <c r="AK433" i="2" s="1"/>
  <c r="Z433" i="2" a="1"/>
  <c r="Z433" i="2" s="1"/>
  <c r="AB403" i="2" a="1"/>
  <c r="AB403" i="2" s="1"/>
  <c r="AC403" i="2" a="1"/>
  <c r="AC403" i="2" s="1"/>
  <c r="AD403" i="2" a="1"/>
  <c r="AD403" i="2" s="1"/>
  <c r="W403" i="2" a="1"/>
  <c r="W403" i="2" s="1"/>
  <c r="AF403" i="2" a="1"/>
  <c r="AF403" i="2" s="1"/>
  <c r="X403" i="2" a="1"/>
  <c r="X403" i="2" s="1"/>
  <c r="AG403" i="2" a="1"/>
  <c r="AG403" i="2" s="1"/>
  <c r="AH403" i="2" a="1"/>
  <c r="AH403" i="2" s="1"/>
  <c r="Y403" i="2" a="1"/>
  <c r="Y403" i="2" s="1"/>
  <c r="AJ403" i="2" a="1"/>
  <c r="AJ403" i="2" s="1"/>
  <c r="AK403" i="2" s="1" a="1"/>
  <c r="AK403" i="2" s="1"/>
  <c r="Z403" i="2" a="1"/>
  <c r="Z403" i="2" s="1"/>
  <c r="AA403" i="2" a="1"/>
  <c r="AA403" i="2" s="1"/>
  <c r="AE403" i="2" a="1"/>
  <c r="AE403" i="2" s="1"/>
  <c r="AF344" i="2" a="1"/>
  <c r="AF344" i="2" s="1"/>
  <c r="AG344" i="2" a="1"/>
  <c r="AG344" i="2" s="1"/>
  <c r="AH344" i="2" a="1"/>
  <c r="AH344" i="2" s="1"/>
  <c r="W344" i="2" a="1"/>
  <c r="W344" i="2" s="1"/>
  <c r="AJ344" i="2" a="1"/>
  <c r="AJ344" i="2" s="1"/>
  <c r="AK344" i="2" s="1" a="1"/>
  <c r="AK344" i="2" s="1"/>
  <c r="X344" i="2" a="1"/>
  <c r="X344" i="2" s="1"/>
  <c r="Y344" i="2" a="1"/>
  <c r="Y344" i="2" s="1"/>
  <c r="Z344" i="2" a="1"/>
  <c r="Z344" i="2" s="1"/>
  <c r="AI344" i="2" s="1"/>
  <c r="AA344" i="2" a="1"/>
  <c r="AA344" i="2" s="1"/>
  <c r="AB344" i="2" a="1"/>
  <c r="AB344" i="2" s="1"/>
  <c r="AC344" i="2" a="1"/>
  <c r="AC344" i="2" s="1"/>
  <c r="AD344" i="2" a="1"/>
  <c r="AD344" i="2" s="1"/>
  <c r="AE344" i="2" a="1"/>
  <c r="AE344" i="2" s="1"/>
  <c r="W329" i="2" a="1"/>
  <c r="W329" i="2" s="1"/>
  <c r="AJ329" i="2" a="1"/>
  <c r="AJ329" i="2" s="1"/>
  <c r="AK329" i="2" s="1" a="1"/>
  <c r="AK329" i="2" s="1"/>
  <c r="X329" i="2" a="1"/>
  <c r="X329" i="2" s="1"/>
  <c r="Y329" i="2" a="1"/>
  <c r="Y329" i="2" s="1"/>
  <c r="Z329" i="2" a="1"/>
  <c r="Z329" i="2" s="1"/>
  <c r="AA329" i="2" a="1"/>
  <c r="AA329" i="2" s="1"/>
  <c r="AB329" i="2" a="1"/>
  <c r="AB329" i="2" s="1"/>
  <c r="AC329" i="2" a="1"/>
  <c r="AC329" i="2" s="1"/>
  <c r="AD329" i="2" a="1"/>
  <c r="AD329" i="2" s="1"/>
  <c r="AE329" i="2" a="1"/>
  <c r="AE329" i="2" s="1"/>
  <c r="AF329" i="2" a="1"/>
  <c r="AF329" i="2" s="1"/>
  <c r="AI329" i="2" s="1"/>
  <c r="AG329" i="2" a="1"/>
  <c r="AG329" i="2" s="1"/>
  <c r="AH329" i="2" a="1"/>
  <c r="AH329" i="2" s="1"/>
  <c r="W473" i="2" a="1"/>
  <c r="W473" i="2" s="1"/>
  <c r="AA472" i="2" a="1"/>
  <c r="AA472" i="2" s="1"/>
  <c r="Y470" i="2" a="1"/>
  <c r="Y470" i="2" s="1"/>
  <c r="AB469" i="2" a="1"/>
  <c r="AB469" i="2" s="1"/>
  <c r="AE468" i="2" a="1"/>
  <c r="AE468" i="2" s="1"/>
  <c r="AJ467" i="2" a="1"/>
  <c r="AJ467" i="2" s="1"/>
  <c r="AK467" i="2" s="1" a="1"/>
  <c r="AK467" i="2" s="1"/>
  <c r="X467" i="2" a="1"/>
  <c r="X467" i="2" s="1"/>
  <c r="Y466" i="2" a="1"/>
  <c r="Y466" i="2" s="1"/>
  <c r="AF463" i="2" a="1"/>
  <c r="AF463" i="2" s="1"/>
  <c r="Y462" i="2" a="1"/>
  <c r="Y462" i="2" s="1"/>
  <c r="Z457" i="2" a="1"/>
  <c r="Z457" i="2" s="1"/>
  <c r="AD452" i="2" a="1"/>
  <c r="AD452" i="2" s="1"/>
  <c r="AF444" i="2" a="1"/>
  <c r="AF444" i="2" s="1"/>
  <c r="AB353" i="2" a="1"/>
  <c r="AB353" i="2" s="1"/>
  <c r="AC353" i="2" a="1"/>
  <c r="AC353" i="2" s="1"/>
  <c r="AD353" i="2" a="1"/>
  <c r="AD353" i="2" s="1"/>
  <c r="AE353" i="2" a="1"/>
  <c r="AE353" i="2" s="1"/>
  <c r="W353" i="2" a="1"/>
  <c r="W353" i="2" s="1"/>
  <c r="AF353" i="2" a="1"/>
  <c r="AF353" i="2" s="1"/>
  <c r="AG353" i="2" a="1"/>
  <c r="AG353" i="2" s="1"/>
  <c r="X353" i="2" a="1"/>
  <c r="X353" i="2" s="1"/>
  <c r="Y353" i="2" a="1"/>
  <c r="Y353" i="2" s="1"/>
  <c r="AH353" i="2" a="1"/>
  <c r="AH353" i="2" s="1"/>
  <c r="Z353" i="2" a="1"/>
  <c r="Z353" i="2" s="1"/>
  <c r="AA353" i="2" a="1"/>
  <c r="AA353" i="2" s="1"/>
  <c r="AJ353" i="2" a="1"/>
  <c r="AJ353" i="2" s="1"/>
  <c r="AK353" i="2" s="1" a="1"/>
  <c r="AK353" i="2" s="1"/>
  <c r="AC382" i="2" a="1"/>
  <c r="AC382" i="2" s="1"/>
  <c r="AD382" i="2" a="1"/>
  <c r="AD382" i="2" s="1"/>
  <c r="AE382" i="2" a="1"/>
  <c r="AE382" i="2" s="1"/>
  <c r="AF382" i="2" a="1"/>
  <c r="AF382" i="2" s="1"/>
  <c r="AG382" i="2" a="1"/>
  <c r="AG382" i="2" s="1"/>
  <c r="W382" i="2" a="1"/>
  <c r="W382" i="2" s="1"/>
  <c r="X382" i="2" a="1"/>
  <c r="X382" i="2" s="1"/>
  <c r="AH382" i="2" a="1"/>
  <c r="AH382" i="2" s="1"/>
  <c r="Y382" i="2" a="1"/>
  <c r="Y382" i="2" s="1"/>
  <c r="AJ382" i="2" a="1"/>
  <c r="AJ382" i="2" s="1"/>
  <c r="AK382" i="2" s="1" a="1"/>
  <c r="AK382" i="2" s="1"/>
  <c r="Z382" i="2" a="1"/>
  <c r="Z382" i="2" s="1"/>
  <c r="AA382" i="2" a="1"/>
  <c r="AA382" i="2" s="1"/>
  <c r="AA421" i="2" a="1"/>
  <c r="AA421" i="2" s="1"/>
  <c r="X421" i="2" a="1"/>
  <c r="X421" i="2" s="1"/>
  <c r="Y421" i="2" a="1"/>
  <c r="Y421" i="2" s="1"/>
  <c r="Z421" i="2" a="1"/>
  <c r="Z421" i="2" s="1"/>
  <c r="AB421" i="2" a="1"/>
  <c r="AB421" i="2" s="1"/>
  <c r="AC421" i="2" a="1"/>
  <c r="AC421" i="2" s="1"/>
  <c r="AD421" i="2" a="1"/>
  <c r="AD421" i="2" s="1"/>
  <c r="AE421" i="2" a="1"/>
  <c r="AE421" i="2" s="1"/>
  <c r="AI421" i="2" s="1"/>
  <c r="AF421" i="2" a="1"/>
  <c r="AF421" i="2" s="1"/>
  <c r="AG421" i="2" a="1"/>
  <c r="AG421" i="2" s="1"/>
  <c r="AH421" i="2" a="1"/>
  <c r="AH421" i="2" s="1"/>
  <c r="AJ421" i="2" a="1"/>
  <c r="AJ421" i="2" s="1"/>
  <c r="AK421" i="2" s="1" a="1"/>
  <c r="AK421" i="2" s="1"/>
  <c r="X434" i="2" a="1"/>
  <c r="X434" i="2" s="1"/>
  <c r="AJ434" i="2" a="1"/>
  <c r="AJ434" i="2" s="1"/>
  <c r="AK434" i="2" s="1" a="1"/>
  <c r="AK434" i="2" s="1"/>
  <c r="Y434" i="2" a="1"/>
  <c r="Y434" i="2" s="1"/>
  <c r="Z434" i="2" a="1"/>
  <c r="Z434" i="2" s="1"/>
  <c r="AA434" i="2" a="1"/>
  <c r="AA434" i="2" s="1"/>
  <c r="AC434" i="2" a="1"/>
  <c r="AC434" i="2" s="1"/>
  <c r="AD434" i="2" a="1"/>
  <c r="AD434" i="2" s="1"/>
  <c r="AE434" i="2" a="1"/>
  <c r="AE434" i="2" s="1"/>
  <c r="AF434" i="2" a="1"/>
  <c r="AF434" i="2" s="1"/>
  <c r="AG434" i="2" a="1"/>
  <c r="AG434" i="2" s="1"/>
  <c r="AC465" i="2" a="1"/>
  <c r="AC465" i="2" s="1"/>
  <c r="AD465" i="2" a="1"/>
  <c r="AD465" i="2" s="1"/>
  <c r="AC341" i="2" a="1"/>
  <c r="AC341" i="2" s="1"/>
  <c r="AD341" i="2" a="1"/>
  <c r="AD341" i="2" s="1"/>
  <c r="AE341" i="2" a="1"/>
  <c r="AE341" i="2" s="1"/>
  <c r="AF341" i="2" a="1"/>
  <c r="AF341" i="2" s="1"/>
  <c r="AG341" i="2" a="1"/>
  <c r="AG341" i="2" s="1"/>
  <c r="W341" i="2" a="1"/>
  <c r="W341" i="2" s="1"/>
  <c r="AH341" i="2" a="1"/>
  <c r="AH341" i="2" s="1"/>
  <c r="X341" i="2" a="1"/>
  <c r="X341" i="2" s="1"/>
  <c r="AJ341" i="2" a="1"/>
  <c r="AJ341" i="2" s="1"/>
  <c r="AK341" i="2" s="1" a="1"/>
  <c r="AK341" i="2" s="1"/>
  <c r="Y341" i="2" a="1"/>
  <c r="Y341" i="2" s="1"/>
  <c r="Z341" i="2" a="1"/>
  <c r="Z341" i="2" s="1"/>
  <c r="AA341" i="2" a="1"/>
  <c r="AA341" i="2" s="1"/>
  <c r="AB341" i="2" a="1"/>
  <c r="AB341" i="2" s="1"/>
  <c r="AH369" i="2" a="1"/>
  <c r="AH369" i="2" s="1"/>
  <c r="AC369" i="2" a="1"/>
  <c r="AC369" i="2" s="1"/>
  <c r="AF369" i="2" a="1"/>
  <c r="AF369" i="2" s="1"/>
  <c r="AG369" i="2" a="1"/>
  <c r="AG369" i="2" s="1"/>
  <c r="W369" i="2" a="1"/>
  <c r="W369" i="2" s="1"/>
  <c r="AJ369" i="2" a="1"/>
  <c r="AJ369" i="2" s="1"/>
  <c r="AK369" i="2" s="1" a="1"/>
  <c r="AK369" i="2" s="1"/>
  <c r="X369" i="2" a="1"/>
  <c r="X369" i="2" s="1"/>
  <c r="Y369" i="2" a="1"/>
  <c r="Y369" i="2" s="1"/>
  <c r="Z369" i="2" a="1"/>
  <c r="Z369" i="2" s="1"/>
  <c r="AA369" i="2" a="1"/>
  <c r="AA369" i="2" s="1"/>
  <c r="AB369" i="2" a="1"/>
  <c r="AB369" i="2" s="1"/>
  <c r="AD369" i="2" a="1"/>
  <c r="AD369" i="2" s="1"/>
  <c r="AE369" i="2" a="1"/>
  <c r="AE369" i="2" s="1"/>
  <c r="AG384" i="2" a="1"/>
  <c r="AG384" i="2" s="1"/>
  <c r="W384" i="2" a="1"/>
  <c r="W384" i="2" s="1"/>
  <c r="AJ384" i="2" a="1"/>
  <c r="AJ384" i="2" s="1"/>
  <c r="AK384" i="2" s="1" a="1"/>
  <c r="AK384" i="2" s="1"/>
  <c r="X384" i="2" a="1"/>
  <c r="X384" i="2" s="1"/>
  <c r="Y384" i="2" a="1"/>
  <c r="Y384" i="2" s="1"/>
  <c r="Z384" i="2" a="1"/>
  <c r="Z384" i="2" s="1"/>
  <c r="AA384" i="2" a="1"/>
  <c r="AA384" i="2" s="1"/>
  <c r="AB384" i="2" a="1"/>
  <c r="AB384" i="2" s="1"/>
  <c r="AC384" i="2" a="1"/>
  <c r="AC384" i="2" s="1"/>
  <c r="AD384" i="2" a="1"/>
  <c r="AD384" i="2" s="1"/>
  <c r="AE384" i="2" a="1"/>
  <c r="AE384" i="2" s="1"/>
  <c r="AF384" i="2" a="1"/>
  <c r="AF384" i="2" s="1"/>
  <c r="AH384" i="2" a="1"/>
  <c r="AH384" i="2" s="1"/>
  <c r="AC372" i="2" a="1"/>
  <c r="AC372" i="2" s="1"/>
  <c r="AD372" i="2" a="1"/>
  <c r="AD372" i="2" s="1"/>
  <c r="AF372" i="2" a="1"/>
  <c r="AF372" i="2" s="1"/>
  <c r="AG372" i="2" a="1"/>
  <c r="AG372" i="2" s="1"/>
  <c r="AH372" i="2" a="1"/>
  <c r="AH372" i="2" s="1"/>
  <c r="AJ372" i="2" a="1"/>
  <c r="AJ372" i="2" s="1"/>
  <c r="AK372" i="2" s="1" a="1"/>
  <c r="AK372" i="2" s="1"/>
  <c r="W372" i="2" a="1"/>
  <c r="W372" i="2" s="1"/>
  <c r="X372" i="2" a="1"/>
  <c r="X372" i="2" s="1"/>
  <c r="Y372" i="2" a="1"/>
  <c r="Y372" i="2" s="1"/>
  <c r="Z372" i="2" a="1"/>
  <c r="Z372" i="2" s="1"/>
  <c r="AA372" i="2" a="1"/>
  <c r="AA372" i="2" s="1"/>
  <c r="AB372" i="2" a="1"/>
  <c r="AB372" i="2" s="1"/>
  <c r="AE372" i="2" a="1"/>
  <c r="AE372" i="2" s="1"/>
  <c r="AD454" i="2" a="1"/>
  <c r="AD454" i="2" s="1"/>
  <c r="AE454" i="2" a="1"/>
  <c r="AE454" i="2" s="1"/>
  <c r="AF454" i="2" a="1"/>
  <c r="AF454" i="2" s="1"/>
  <c r="W454" i="2" a="1"/>
  <c r="W454" i="2" s="1"/>
  <c r="Y454" i="2" a="1"/>
  <c r="Y454" i="2" s="1"/>
  <c r="AH454" i="2" a="1"/>
  <c r="AH454" i="2" s="1"/>
  <c r="Z454" i="2" a="1"/>
  <c r="Z454" i="2" s="1"/>
  <c r="AJ454" i="2" a="1"/>
  <c r="AJ454" i="2" s="1"/>
  <c r="AK454" i="2" s="1" a="1"/>
  <c r="AK454" i="2" s="1"/>
  <c r="AA454" i="2" a="1"/>
  <c r="AA454" i="2" s="1"/>
  <c r="AB454" i="2" a="1"/>
  <c r="AB454" i="2" s="1"/>
  <c r="AG463" i="2" a="1"/>
  <c r="AG463" i="2" s="1"/>
  <c r="AF452" i="2" a="1"/>
  <c r="AF452" i="2" s="1"/>
  <c r="AC331" i="2" a="1"/>
  <c r="AC331" i="2" s="1"/>
  <c r="AD331" i="2" a="1"/>
  <c r="AD331" i="2" s="1"/>
  <c r="AE331" i="2" a="1"/>
  <c r="AE331" i="2" s="1"/>
  <c r="AF331" i="2" a="1"/>
  <c r="AF331" i="2" s="1"/>
  <c r="AG331" i="2" a="1"/>
  <c r="AG331" i="2" s="1"/>
  <c r="W331" i="2" a="1"/>
  <c r="W331" i="2" s="1"/>
  <c r="AH331" i="2" a="1"/>
  <c r="AH331" i="2" s="1"/>
  <c r="X331" i="2" a="1"/>
  <c r="X331" i="2" s="1"/>
  <c r="AJ331" i="2" a="1"/>
  <c r="AJ331" i="2" s="1"/>
  <c r="AK331" i="2" s="1" a="1"/>
  <c r="AK331" i="2" s="1"/>
  <c r="Y331" i="2" a="1"/>
  <c r="Y331" i="2" s="1"/>
  <c r="Z331" i="2" a="1"/>
  <c r="Z331" i="2" s="1"/>
  <c r="AA331" i="2" a="1"/>
  <c r="AA331" i="2" s="1"/>
  <c r="AB331" i="2" a="1"/>
  <c r="AB331" i="2" s="1"/>
  <c r="AE359" i="2" a="1"/>
  <c r="AE359" i="2" s="1"/>
  <c r="AF359" i="2" a="1"/>
  <c r="AF359" i="2" s="1"/>
  <c r="AG359" i="2" a="1"/>
  <c r="AG359" i="2" s="1"/>
  <c r="W359" i="2" a="1"/>
  <c r="W359" i="2" s="1"/>
  <c r="AI359" i="2" s="1"/>
  <c r="AH359" i="2" a="1"/>
  <c r="AH359" i="2" s="1"/>
  <c r="Z359" i="2" a="1"/>
  <c r="Z359" i="2" s="1"/>
  <c r="AA359" i="2" a="1"/>
  <c r="AA359" i="2" s="1"/>
  <c r="AB359" i="2" a="1"/>
  <c r="AB359" i="2" s="1"/>
  <c r="AC359" i="2" a="1"/>
  <c r="AC359" i="2" s="1"/>
  <c r="AJ359" i="2" a="1"/>
  <c r="AJ359" i="2" s="1"/>
  <c r="AK359" i="2" s="1" a="1"/>
  <c r="AK359" i="2" s="1"/>
  <c r="X359" i="2" a="1"/>
  <c r="X359" i="2" s="1"/>
  <c r="Y359" i="2" a="1"/>
  <c r="Y359" i="2" s="1"/>
  <c r="AD359" i="2" a="1"/>
  <c r="AD359" i="2" s="1"/>
  <c r="Z387" i="2" a="1"/>
  <c r="Z387" i="2" s="1"/>
  <c r="AB387" i="2" a="1"/>
  <c r="AB387" i="2" s="1"/>
  <c r="AC387" i="2" a="1"/>
  <c r="AC387" i="2" s="1"/>
  <c r="AD387" i="2" a="1"/>
  <c r="AD387" i="2" s="1"/>
  <c r="AE387" i="2" a="1"/>
  <c r="AE387" i="2" s="1"/>
  <c r="AF387" i="2" a="1"/>
  <c r="AF387" i="2" s="1"/>
  <c r="AG387" i="2" a="1"/>
  <c r="AG387" i="2" s="1"/>
  <c r="W387" i="2" a="1"/>
  <c r="W387" i="2" s="1"/>
  <c r="AH387" i="2" a="1"/>
  <c r="AH387" i="2" s="1"/>
  <c r="X387" i="2" a="1"/>
  <c r="X387" i="2" s="1"/>
  <c r="Y387" i="2" a="1"/>
  <c r="Y387" i="2" s="1"/>
  <c r="AA387" i="2" a="1"/>
  <c r="AA387" i="2" s="1"/>
  <c r="AJ387" i="2" a="1"/>
  <c r="AJ387" i="2" s="1"/>
  <c r="AK387" i="2" s="1" a="1"/>
  <c r="AK387" i="2" s="1"/>
  <c r="W426" i="2" a="1"/>
  <c r="W426" i="2" s="1"/>
  <c r="AJ426" i="2" a="1"/>
  <c r="AJ426" i="2" s="1"/>
  <c r="AK426" i="2" s="1" a="1"/>
  <c r="AK426" i="2" s="1"/>
  <c r="X426" i="2" a="1"/>
  <c r="X426" i="2" s="1"/>
  <c r="Y426" i="2" a="1"/>
  <c r="Y426" i="2" s="1"/>
  <c r="Z426" i="2" a="1"/>
  <c r="Z426" i="2" s="1"/>
  <c r="AB426" i="2" a="1"/>
  <c r="AB426" i="2" s="1"/>
  <c r="AC426" i="2" a="1"/>
  <c r="AC426" i="2" s="1"/>
  <c r="AD426" i="2" a="1"/>
  <c r="AD426" i="2" s="1"/>
  <c r="AE426" i="2" a="1"/>
  <c r="AE426" i="2" s="1"/>
  <c r="AF426" i="2" a="1"/>
  <c r="AF426" i="2" s="1"/>
  <c r="AG426" i="2" a="1"/>
  <c r="AG426" i="2" s="1"/>
  <c r="AB332" i="2" a="1"/>
  <c r="AB332" i="2" s="1"/>
  <c r="AC332" i="2" a="1"/>
  <c r="AC332" i="2" s="1"/>
  <c r="AD332" i="2" a="1"/>
  <c r="AD332" i="2" s="1"/>
  <c r="AE332" i="2" a="1"/>
  <c r="AE332" i="2" s="1"/>
  <c r="AF332" i="2" a="1"/>
  <c r="AF332" i="2" s="1"/>
  <c r="AG332" i="2" a="1"/>
  <c r="AG332" i="2" s="1"/>
  <c r="AH332" i="2" a="1"/>
  <c r="AH332" i="2" s="1"/>
  <c r="AJ332" i="2" a="1"/>
  <c r="AJ332" i="2" s="1"/>
  <c r="AK332" i="2" s="1" a="1"/>
  <c r="AK332" i="2" s="1"/>
  <c r="W332" i="2" a="1"/>
  <c r="W332" i="2" s="1"/>
  <c r="X332" i="2" a="1"/>
  <c r="X332" i="2" s="1"/>
  <c r="Y332" i="2" a="1"/>
  <c r="Y332" i="2" s="1"/>
  <c r="Z332" i="2" a="1"/>
  <c r="Z332" i="2" s="1"/>
  <c r="AA332" i="2" a="1"/>
  <c r="AA332" i="2" s="1"/>
  <c r="AB345" i="2" a="1"/>
  <c r="AB345" i="2" s="1"/>
  <c r="AI345" i="2" s="1"/>
  <c r="AC345" i="2" a="1"/>
  <c r="AC345" i="2" s="1"/>
  <c r="AD345" i="2" a="1"/>
  <c r="AD345" i="2" s="1"/>
  <c r="AE345" i="2" a="1"/>
  <c r="AE345" i="2" s="1"/>
  <c r="W345" i="2" a="1"/>
  <c r="W345" i="2" s="1"/>
  <c r="AF345" i="2" a="1"/>
  <c r="AF345" i="2" s="1"/>
  <c r="X345" i="2" a="1"/>
  <c r="X345" i="2" s="1"/>
  <c r="AG345" i="2" a="1"/>
  <c r="AG345" i="2" s="1"/>
  <c r="Y345" i="2" a="1"/>
  <c r="Y345" i="2" s="1"/>
  <c r="AH345" i="2" a="1"/>
  <c r="AH345" i="2" s="1"/>
  <c r="Z345" i="2" a="1"/>
  <c r="Z345" i="2" s="1"/>
  <c r="AJ345" i="2" a="1"/>
  <c r="AJ345" i="2" s="1"/>
  <c r="AK345" i="2" s="1" a="1"/>
  <c r="AK345" i="2" s="1"/>
  <c r="AA345" i="2" a="1"/>
  <c r="AA345" i="2" s="1"/>
  <c r="AJ374" i="2" a="1"/>
  <c r="AJ374" i="2" s="1"/>
  <c r="AK374" i="2" s="1" a="1"/>
  <c r="AK374" i="2" s="1"/>
  <c r="X374" i="2" a="1"/>
  <c r="X374" i="2" s="1"/>
  <c r="AE374" i="2" a="1"/>
  <c r="AE374" i="2" s="1"/>
  <c r="AF374" i="2" a="1"/>
  <c r="AF374" i="2" s="1"/>
  <c r="AG374" i="2" a="1"/>
  <c r="AG374" i="2" s="1"/>
  <c r="AH374" i="2" a="1"/>
  <c r="AH374" i="2" s="1"/>
  <c r="W374" i="2" a="1"/>
  <c r="W374" i="2" s="1"/>
  <c r="Y374" i="2" a="1"/>
  <c r="Y374" i="2" s="1"/>
  <c r="Z374" i="2" a="1"/>
  <c r="Z374" i="2" s="1"/>
  <c r="AA374" i="2" a="1"/>
  <c r="AA374" i="2" s="1"/>
  <c r="AB374" i="2" a="1"/>
  <c r="AB374" i="2" s="1"/>
  <c r="AC374" i="2" a="1"/>
  <c r="AC374" i="2" s="1"/>
  <c r="AD374" i="2" a="1"/>
  <c r="AD374" i="2" s="1"/>
  <c r="W388" i="2" a="1"/>
  <c r="W388" i="2" s="1"/>
  <c r="AJ388" i="2" a="1"/>
  <c r="AJ388" i="2" s="1"/>
  <c r="AK388" i="2" s="1" a="1"/>
  <c r="AK388" i="2" s="1"/>
  <c r="X388" i="2" a="1"/>
  <c r="X388" i="2" s="1"/>
  <c r="Z388" i="2" a="1"/>
  <c r="Z388" i="2" s="1"/>
  <c r="AA388" i="2" a="1"/>
  <c r="AA388" i="2" s="1"/>
  <c r="AB388" i="2" a="1"/>
  <c r="AB388" i="2" s="1"/>
  <c r="AC388" i="2" a="1"/>
  <c r="AC388" i="2" s="1"/>
  <c r="AD388" i="2" a="1"/>
  <c r="AD388" i="2" s="1"/>
  <c r="AE388" i="2" a="1"/>
  <c r="AE388" i="2" s="1"/>
  <c r="AF388" i="2" a="1"/>
  <c r="AF388" i="2" s="1"/>
  <c r="AG388" i="2" a="1"/>
  <c r="AG388" i="2" s="1"/>
  <c r="AH388" i="2" a="1"/>
  <c r="AH388" i="2" s="1"/>
  <c r="AF401" i="2" a="1"/>
  <c r="AF401" i="2" s="1"/>
  <c r="W401" i="2" a="1"/>
  <c r="W401" i="2" s="1"/>
  <c r="AG401" i="2" a="1"/>
  <c r="AG401" i="2" s="1"/>
  <c r="X401" i="2" a="1"/>
  <c r="X401" i="2" s="1"/>
  <c r="AJ401" i="2" a="1"/>
  <c r="AJ401" i="2" s="1"/>
  <c r="AK401" i="2" s="1" a="1"/>
  <c r="AK401" i="2" s="1"/>
  <c r="Z401" i="2" a="1"/>
  <c r="Z401" i="2" s="1"/>
  <c r="AA401" i="2" a="1"/>
  <c r="AA401" i="2" s="1"/>
  <c r="AB401" i="2" a="1"/>
  <c r="AB401" i="2" s="1"/>
  <c r="AC401" i="2" a="1"/>
  <c r="AC401" i="2" s="1"/>
  <c r="AD401" i="2" a="1"/>
  <c r="AD401" i="2" s="1"/>
  <c r="Y401" i="2" a="1"/>
  <c r="Y401" i="2" s="1"/>
  <c r="AE401" i="2" a="1"/>
  <c r="AE401" i="2" s="1"/>
  <c r="AH401" i="2" a="1"/>
  <c r="AH401" i="2" s="1"/>
  <c r="AH427" i="2" a="1"/>
  <c r="AH427" i="2" s="1"/>
  <c r="AJ427" i="2" a="1"/>
  <c r="AJ427" i="2" s="1"/>
  <c r="AK427" i="2" s="1" a="1"/>
  <c r="AK427" i="2" s="1"/>
  <c r="W427" i="2" a="1"/>
  <c r="W427" i="2" s="1"/>
  <c r="X427" i="2" a="1"/>
  <c r="X427" i="2" s="1"/>
  <c r="Y427" i="2" a="1"/>
  <c r="Y427" i="2" s="1"/>
  <c r="AA427" i="2" a="1"/>
  <c r="AA427" i="2" s="1"/>
  <c r="AB427" i="2" a="1"/>
  <c r="AB427" i="2" s="1"/>
  <c r="AC427" i="2" a="1"/>
  <c r="AC427" i="2" s="1"/>
  <c r="AD427" i="2" a="1"/>
  <c r="AD427" i="2" s="1"/>
  <c r="AE427" i="2" a="1"/>
  <c r="AE427" i="2" s="1"/>
  <c r="AF427" i="2" a="1"/>
  <c r="AF427" i="2" s="1"/>
  <c r="Z441" i="2" a="1"/>
  <c r="Z441" i="2" s="1"/>
  <c r="AA441" i="2" a="1"/>
  <c r="AA441" i="2" s="1"/>
  <c r="AB441" i="2" a="1"/>
  <c r="AB441" i="2" s="1"/>
  <c r="AC441" i="2" a="1"/>
  <c r="AC441" i="2" s="1"/>
  <c r="AD441" i="2" a="1"/>
  <c r="AD441" i="2" s="1"/>
  <c r="AE441" i="2" a="1"/>
  <c r="AE441" i="2" s="1"/>
  <c r="AF441" i="2" a="1"/>
  <c r="AF441" i="2" s="1"/>
  <c r="W441" i="2" a="1"/>
  <c r="W441" i="2" s="1"/>
  <c r="AG441" i="2" a="1"/>
  <c r="AG441" i="2" s="1"/>
  <c r="X441" i="2" a="1"/>
  <c r="X441" i="2" s="1"/>
  <c r="AH441" i="2" a="1"/>
  <c r="AH441" i="2" s="1"/>
  <c r="X456" i="2" a="1"/>
  <c r="X456" i="2" s="1"/>
  <c r="AG456" i="2" a="1"/>
  <c r="AG456" i="2" s="1"/>
  <c r="Z456" i="2" a="1"/>
  <c r="Z456" i="2" s="1"/>
  <c r="AJ456" i="2" a="1"/>
  <c r="AJ456" i="2" s="1"/>
  <c r="AK456" i="2" s="1" a="1"/>
  <c r="AK456" i="2" s="1"/>
  <c r="AA456" i="2" a="1"/>
  <c r="AA456" i="2" s="1"/>
  <c r="AB456" i="2" a="1"/>
  <c r="AB456" i="2" s="1"/>
  <c r="AC456" i="2" a="1"/>
  <c r="AC456" i="2" s="1"/>
  <c r="AD456" i="2" a="1"/>
  <c r="AD456" i="2" s="1"/>
  <c r="AF473" i="2" a="1"/>
  <c r="AF473" i="2" s="1"/>
  <c r="AF471" i="2" a="1"/>
  <c r="AF471" i="2" s="1"/>
  <c r="AH470" i="2" a="1"/>
  <c r="AH470" i="2" s="1"/>
  <c r="X470" i="2" a="1"/>
  <c r="X470" i="2" s="1"/>
  <c r="W467" i="2" a="1"/>
  <c r="W467" i="2" s="1"/>
  <c r="X466" i="2" a="1"/>
  <c r="X466" i="2" s="1"/>
  <c r="AJ462" i="2" a="1"/>
  <c r="AJ462" i="2" s="1"/>
  <c r="AK462" i="2" s="1" a="1"/>
  <c r="AK462" i="2" s="1"/>
  <c r="Z461" i="2" a="1"/>
  <c r="Z461" i="2" s="1"/>
  <c r="Z460" i="2" a="1"/>
  <c r="Z460" i="2" s="1"/>
  <c r="AB459" i="2" a="1"/>
  <c r="AB459" i="2" s="1"/>
  <c r="Z458" i="2" a="1"/>
  <c r="Z458" i="2" s="1"/>
  <c r="W456" i="2" a="1"/>
  <c r="W456" i="2" s="1"/>
  <c r="AC454" i="2" a="1"/>
  <c r="AC454" i="2" s="1"/>
  <c r="AB452" i="2" a="1"/>
  <c r="AB452" i="2" s="1"/>
  <c r="AJ432" i="2" a="1"/>
  <c r="AJ432" i="2" s="1"/>
  <c r="AK432" i="2" s="1" a="1"/>
  <c r="AK432" i="2" s="1"/>
  <c r="AA426" i="2" a="1"/>
  <c r="AA426" i="2" s="1"/>
  <c r="AI426" i="2" s="1"/>
  <c r="AC418" i="2" a="1"/>
  <c r="AC418" i="2" s="1"/>
  <c r="AA338" i="2" a="1"/>
  <c r="AA338" i="2" s="1"/>
  <c r="AB338" i="2" a="1"/>
  <c r="AB338" i="2" s="1"/>
  <c r="AC338" i="2" a="1"/>
  <c r="AC338" i="2" s="1"/>
  <c r="AD338" i="2" a="1"/>
  <c r="AD338" i="2" s="1"/>
  <c r="AE338" i="2" a="1"/>
  <c r="AE338" i="2" s="1"/>
  <c r="AF338" i="2" a="1"/>
  <c r="AF338" i="2" s="1"/>
  <c r="AG338" i="2" a="1"/>
  <c r="AG338" i="2" s="1"/>
  <c r="AH338" i="2" a="1"/>
  <c r="AH338" i="2" s="1"/>
  <c r="W338" i="2" a="1"/>
  <c r="W338" i="2" s="1"/>
  <c r="AJ338" i="2" a="1"/>
  <c r="AJ338" i="2" s="1"/>
  <c r="AK338" i="2" s="1" a="1"/>
  <c r="AK338" i="2" s="1"/>
  <c r="X338" i="2" a="1"/>
  <c r="X338" i="2" s="1"/>
  <c r="Y338" i="2" a="1"/>
  <c r="Y338" i="2" s="1"/>
  <c r="Z338" i="2" a="1"/>
  <c r="Z338" i="2" s="1"/>
  <c r="AD367" i="2" a="1"/>
  <c r="AD367" i="2" s="1"/>
  <c r="AF367" i="2" a="1"/>
  <c r="AF367" i="2" s="1"/>
  <c r="Y367" i="2" a="1"/>
  <c r="Y367" i="2" s="1"/>
  <c r="AH367" i="2" a="1"/>
  <c r="AH367" i="2" s="1"/>
  <c r="AE367" i="2" a="1"/>
  <c r="AE367" i="2" s="1"/>
  <c r="AG367" i="2" a="1"/>
  <c r="AG367" i="2" s="1"/>
  <c r="AJ367" i="2" a="1"/>
  <c r="AJ367" i="2" s="1"/>
  <c r="AK367" i="2" s="1" a="1"/>
  <c r="AK367" i="2" s="1"/>
  <c r="W367" i="2" a="1"/>
  <c r="W367" i="2" s="1"/>
  <c r="X367" i="2" a="1"/>
  <c r="X367" i="2" s="1"/>
  <c r="Z367" i="2" a="1"/>
  <c r="Z367" i="2" s="1"/>
  <c r="AA367" i="2" a="1"/>
  <c r="AA367" i="2" s="1"/>
  <c r="AB367" i="2" a="1"/>
  <c r="AB367" i="2" s="1"/>
  <c r="AC367" i="2" a="1"/>
  <c r="AC367" i="2" s="1"/>
  <c r="AH381" i="2" a="1"/>
  <c r="AH381" i="2" s="1"/>
  <c r="AJ381" i="2" a="1"/>
  <c r="AJ381" i="2" s="1"/>
  <c r="AK381" i="2" s="1" a="1"/>
  <c r="AK381" i="2" s="1"/>
  <c r="W381" i="2" a="1"/>
  <c r="W381" i="2" s="1"/>
  <c r="AG381" i="2" a="1"/>
  <c r="AG381" i="2" s="1"/>
  <c r="Y381" i="2" a="1"/>
  <c r="Y381" i="2" s="1"/>
  <c r="Z381" i="2" a="1"/>
  <c r="Z381" i="2" s="1"/>
  <c r="AA381" i="2" a="1"/>
  <c r="AA381" i="2" s="1"/>
  <c r="AB381" i="2" a="1"/>
  <c r="AB381" i="2" s="1"/>
  <c r="AC381" i="2" a="1"/>
  <c r="AC381" i="2" s="1"/>
  <c r="AD381" i="2" a="1"/>
  <c r="AD381" i="2" s="1"/>
  <c r="X381" i="2" a="1"/>
  <c r="X381" i="2" s="1"/>
  <c r="AE381" i="2" a="1"/>
  <c r="AE381" i="2" s="1"/>
  <c r="AF381" i="2" a="1"/>
  <c r="AF381" i="2" s="1"/>
  <c r="AG420" i="2" a="1"/>
  <c r="AG420" i="2" s="1"/>
  <c r="AA420" i="2" a="1"/>
  <c r="AA420" i="2" s="1"/>
  <c r="W420" i="2" a="1"/>
  <c r="W420" i="2" s="1"/>
  <c r="X420" i="2" a="1"/>
  <c r="X420" i="2" s="1"/>
  <c r="Y420" i="2" a="1"/>
  <c r="Y420" i="2" s="1"/>
  <c r="Z420" i="2" a="1"/>
  <c r="Z420" i="2" s="1"/>
  <c r="AC420" i="2" a="1"/>
  <c r="AC420" i="2" s="1"/>
  <c r="AD420" i="2" a="1"/>
  <c r="AD420" i="2" s="1"/>
  <c r="AE420" i="2" a="1"/>
  <c r="AE420" i="2" s="1"/>
  <c r="AF420" i="2" a="1"/>
  <c r="AF420" i="2" s="1"/>
  <c r="AH420" i="2" a="1"/>
  <c r="AH420" i="2" s="1"/>
  <c r="AJ420" i="2" a="1"/>
  <c r="AJ420" i="2" s="1"/>
  <c r="AK420" i="2" s="1" a="1"/>
  <c r="AK420" i="2" s="1"/>
  <c r="W464" i="2" a="1"/>
  <c r="W464" i="2" s="1"/>
  <c r="X464" i="2" a="1"/>
  <c r="X464" i="2" s="1"/>
  <c r="AG464" i="2" a="1"/>
  <c r="AG464" i="2" s="1"/>
  <c r="AG454" i="2" a="1"/>
  <c r="AG454" i="2" s="1"/>
  <c r="Z472" i="2" a="1"/>
  <c r="Z472" i="2" s="1"/>
  <c r="W470" i="2" a="1"/>
  <c r="W470" i="2" s="1"/>
  <c r="AA469" i="2" a="1"/>
  <c r="AA469" i="2" s="1"/>
  <c r="AD468" i="2" a="1"/>
  <c r="AD468" i="2" s="1"/>
  <c r="AH467" i="2" a="1"/>
  <c r="AH467" i="2" s="1"/>
  <c r="AH466" i="2" a="1"/>
  <c r="AH466" i="2" s="1"/>
  <c r="W466" i="2" a="1"/>
  <c r="W466" i="2" s="1"/>
  <c r="Z465" i="2" a="1"/>
  <c r="Z465" i="2" s="1"/>
  <c r="AE463" i="2" a="1"/>
  <c r="AE463" i="2" s="1"/>
  <c r="X462" i="2" a="1"/>
  <c r="X462" i="2" s="1"/>
  <c r="Y461" i="2" a="1"/>
  <c r="Y461" i="2" s="1"/>
  <c r="AA459" i="2" a="1"/>
  <c r="AA459" i="2" s="1"/>
  <c r="Y458" i="2" a="1"/>
  <c r="Y458" i="2" s="1"/>
  <c r="Z452" i="2" a="1"/>
  <c r="Z452" i="2" s="1"/>
  <c r="AD432" i="2" a="1"/>
  <c r="AD432" i="2" s="1"/>
  <c r="Z373" i="2" a="1"/>
  <c r="Z373" i="2" s="1"/>
  <c r="AB373" i="2" a="1"/>
  <c r="AB373" i="2" s="1"/>
  <c r="AE373" i="2" a="1"/>
  <c r="AE373" i="2" s="1"/>
  <c r="AF373" i="2" a="1"/>
  <c r="AF373" i="2" s="1"/>
  <c r="AG373" i="2" a="1"/>
  <c r="AG373" i="2" s="1"/>
  <c r="AH373" i="2" a="1"/>
  <c r="AH373" i="2" s="1"/>
  <c r="W373" i="2" a="1"/>
  <c r="W373" i="2" s="1"/>
  <c r="AJ373" i="2" a="1"/>
  <c r="AJ373" i="2" s="1"/>
  <c r="AK373" i="2" s="1" a="1"/>
  <c r="AK373" i="2" s="1"/>
  <c r="X373" i="2" a="1"/>
  <c r="X373" i="2" s="1"/>
  <c r="Y373" i="2" a="1"/>
  <c r="Y373" i="2" s="1"/>
  <c r="AI373" i="2" s="1"/>
  <c r="AA373" i="2" a="1"/>
  <c r="AA373" i="2" s="1"/>
  <c r="AC373" i="2" a="1"/>
  <c r="AC373" i="2" s="1"/>
  <c r="AD373" i="2" a="1"/>
  <c r="AD373" i="2" s="1"/>
  <c r="X400" i="2" a="1"/>
  <c r="X400" i="2" s="1"/>
  <c r="Y400" i="2" a="1"/>
  <c r="Y400" i="2" s="1"/>
  <c r="AA400" i="2" a="1"/>
  <c r="AA400" i="2" s="1"/>
  <c r="AC400" i="2" a="1"/>
  <c r="AC400" i="2" s="1"/>
  <c r="AD400" i="2" a="1"/>
  <c r="AD400" i="2" s="1"/>
  <c r="AE400" i="2" a="1"/>
  <c r="AE400" i="2" s="1"/>
  <c r="AF400" i="2" a="1"/>
  <c r="AF400" i="2" s="1"/>
  <c r="AG400" i="2" a="1"/>
  <c r="AG400" i="2" s="1"/>
  <c r="W400" i="2" a="1"/>
  <c r="W400" i="2" s="1"/>
  <c r="Z400" i="2" a="1"/>
  <c r="Z400" i="2" s="1"/>
  <c r="AB400" i="2" a="1"/>
  <c r="AB400" i="2" s="1"/>
  <c r="AJ400" i="2" a="1"/>
  <c r="AJ400" i="2" s="1"/>
  <c r="AK400" i="2" s="1" a="1"/>
  <c r="AK400" i="2" s="1"/>
  <c r="AD440" i="2" a="1"/>
  <c r="AD440" i="2" s="1"/>
  <c r="AI440" i="2" s="1"/>
  <c r="AE440" i="2" a="1"/>
  <c r="AE440" i="2" s="1"/>
  <c r="W440" i="2" a="1"/>
  <c r="W440" i="2" s="1"/>
  <c r="AF440" i="2" a="1"/>
  <c r="AF440" i="2" s="1"/>
  <c r="Y440" i="2" a="1"/>
  <c r="Y440" i="2" s="1"/>
  <c r="AH440" i="2" a="1"/>
  <c r="AH440" i="2" s="1"/>
  <c r="Z440" i="2" a="1"/>
  <c r="Z440" i="2" s="1"/>
  <c r="AJ440" i="2" a="1"/>
  <c r="AJ440" i="2" s="1"/>
  <c r="AK440" i="2" s="1" a="1"/>
  <c r="AK440" i="2" s="1"/>
  <c r="AA440" i="2" a="1"/>
  <c r="AA440" i="2" s="1"/>
  <c r="AB440" i="2" a="1"/>
  <c r="AB440" i="2" s="1"/>
  <c r="AC440" i="2" a="1"/>
  <c r="AC440" i="2" s="1"/>
  <c r="AA455" i="2" a="1"/>
  <c r="AA455" i="2" s="1"/>
  <c r="AC455" i="2" a="1"/>
  <c r="AC455" i="2" s="1"/>
  <c r="W455" i="2" a="1"/>
  <c r="W455" i="2" s="1"/>
  <c r="AG455" i="2" a="1"/>
  <c r="AG455" i="2" s="1"/>
  <c r="AH455" i="2" a="1"/>
  <c r="AH455" i="2" s="1"/>
  <c r="AJ455" i="2" a="1"/>
  <c r="AJ455" i="2" s="1"/>
  <c r="AK455" i="2" s="1" a="1"/>
  <c r="AK455" i="2" s="1"/>
  <c r="W320" i="2" a="1"/>
  <c r="W320" i="2" s="1"/>
  <c r="X320" i="2" a="1"/>
  <c r="X320" i="2" s="1"/>
  <c r="AJ320" i="2" a="1"/>
  <c r="AJ320" i="2" s="1"/>
  <c r="AK320" i="2" s="1" a="1"/>
  <c r="AK320" i="2" s="1"/>
  <c r="Y320" i="2" a="1"/>
  <c r="Y320" i="2" s="1"/>
  <c r="Z320" i="2" a="1"/>
  <c r="Z320" i="2" s="1"/>
  <c r="AI320" i="2" s="1"/>
  <c r="AA320" i="2" a="1"/>
  <c r="AA320" i="2" s="1"/>
  <c r="AB320" i="2" a="1"/>
  <c r="AB320" i="2" s="1"/>
  <c r="AC320" i="2" a="1"/>
  <c r="AC320" i="2" s="1"/>
  <c r="AD320" i="2" a="1"/>
  <c r="AD320" i="2" s="1"/>
  <c r="AE320" i="2" a="1"/>
  <c r="AE320" i="2" s="1"/>
  <c r="AF320" i="2" a="1"/>
  <c r="AF320" i="2" s="1"/>
  <c r="AG320" i="2" a="1"/>
  <c r="AG320" i="2" s="1"/>
  <c r="AH320" i="2" a="1"/>
  <c r="AH320" i="2" s="1"/>
  <c r="Y476" i="2" a="1"/>
  <c r="Y476" i="2" s="1"/>
  <c r="AE473" i="2" a="1"/>
  <c r="AE473" i="2" s="1"/>
  <c r="AE471" i="2" a="1"/>
  <c r="AE471" i="2" s="1"/>
  <c r="AI471" i="2" s="1"/>
  <c r="AG470" i="2" a="1"/>
  <c r="AG470" i="2" s="1"/>
  <c r="Z469" i="2" a="1"/>
  <c r="Z469" i="2" s="1"/>
  <c r="AG467" i="2" a="1"/>
  <c r="AG467" i="2" s="1"/>
  <c r="Y465" i="2" a="1"/>
  <c r="Y465" i="2" s="1"/>
  <c r="AB464" i="2" a="1"/>
  <c r="AB464" i="2" s="1"/>
  <c r="AH462" i="2" a="1"/>
  <c r="AH462" i="2" s="1"/>
  <c r="X458" i="2" a="1"/>
  <c r="X458" i="2" s="1"/>
  <c r="AH400" i="2" a="1"/>
  <c r="AH400" i="2" s="1"/>
  <c r="AB333" i="2" a="1"/>
  <c r="AB333" i="2" s="1"/>
  <c r="AC333" i="2" a="1"/>
  <c r="AC333" i="2" s="1"/>
  <c r="AD333" i="2" a="1"/>
  <c r="AD333" i="2" s="1"/>
  <c r="AE333" i="2" a="1"/>
  <c r="AE333" i="2" s="1"/>
  <c r="AF333" i="2" a="1"/>
  <c r="AF333" i="2" s="1"/>
  <c r="AG333" i="2" a="1"/>
  <c r="AG333" i="2" s="1"/>
  <c r="W333" i="2" a="1"/>
  <c r="W333" i="2" s="1"/>
  <c r="X333" i="2" a="1"/>
  <c r="X333" i="2" s="1"/>
  <c r="AH333" i="2" a="1"/>
  <c r="AH333" i="2" s="1"/>
  <c r="AJ333" i="2" a="1"/>
  <c r="AJ333" i="2" s="1"/>
  <c r="AK333" i="2" s="1" a="1"/>
  <c r="AK333" i="2" s="1"/>
  <c r="Y333" i="2" a="1"/>
  <c r="Y333" i="2" s="1"/>
  <c r="Z333" i="2" a="1"/>
  <c r="Z333" i="2" s="1"/>
  <c r="AA333" i="2" a="1"/>
  <c r="AA333" i="2" s="1"/>
  <c r="AE375" i="2" a="1"/>
  <c r="AE375" i="2" s="1"/>
  <c r="AF375" i="2" a="1"/>
  <c r="AF375" i="2" s="1"/>
  <c r="AH375" i="2" a="1"/>
  <c r="AH375" i="2" s="1"/>
  <c r="AC375" i="2" a="1"/>
  <c r="AC375" i="2" s="1"/>
  <c r="AD375" i="2" a="1"/>
  <c r="AD375" i="2" s="1"/>
  <c r="AG375" i="2" a="1"/>
  <c r="AG375" i="2" s="1"/>
  <c r="AJ375" i="2" a="1"/>
  <c r="AJ375" i="2" s="1"/>
  <c r="AK375" i="2" s="1" a="1"/>
  <c r="AK375" i="2" s="1"/>
  <c r="W375" i="2" a="1"/>
  <c r="W375" i="2" s="1"/>
  <c r="X375" i="2" a="1"/>
  <c r="X375" i="2" s="1"/>
  <c r="Y375" i="2" a="1"/>
  <c r="Y375" i="2" s="1"/>
  <c r="AI375" i="2" s="1"/>
  <c r="Z375" i="2" a="1"/>
  <c r="Z375" i="2" s="1"/>
  <c r="AA375" i="2" a="1"/>
  <c r="AA375" i="2" s="1"/>
  <c r="AB375" i="2" a="1"/>
  <c r="AB375" i="2" s="1"/>
  <c r="Z414" i="2" a="1"/>
  <c r="Z414" i="2" s="1"/>
  <c r="AB414" i="2" a="1"/>
  <c r="AB414" i="2" s="1"/>
  <c r="AD414" i="2" a="1"/>
  <c r="AD414" i="2" s="1"/>
  <c r="AG414" i="2" a="1"/>
  <c r="AG414" i="2" s="1"/>
  <c r="AH414" i="2" a="1"/>
  <c r="AH414" i="2" s="1"/>
  <c r="W414" i="2" a="1"/>
  <c r="W414" i="2" s="1"/>
  <c r="X414" i="2" a="1"/>
  <c r="X414" i="2" s="1"/>
  <c r="AA414" i="2" a="1"/>
  <c r="AA414" i="2" s="1"/>
  <c r="AC414" i="2" a="1"/>
  <c r="AC414" i="2" s="1"/>
  <c r="AE414" i="2" a="1"/>
  <c r="AE414" i="2" s="1"/>
  <c r="AF414" i="2" a="1"/>
  <c r="AF414" i="2" s="1"/>
  <c r="AJ414" i="2" a="1"/>
  <c r="AJ414" i="2" s="1"/>
  <c r="AK414" i="2" s="1" a="1"/>
  <c r="AK414" i="2" s="1"/>
  <c r="W428" i="2" a="1"/>
  <c r="W428" i="2" s="1"/>
  <c r="AI428" i="2" s="1"/>
  <c r="AH428" i="2" a="1"/>
  <c r="AH428" i="2" s="1"/>
  <c r="AF428" i="2" a="1"/>
  <c r="AF428" i="2" s="1"/>
  <c r="AG428" i="2" a="1"/>
  <c r="AG428" i="2" s="1"/>
  <c r="AJ428" i="2" a="1"/>
  <c r="AJ428" i="2" s="1"/>
  <c r="AK428" i="2" s="1" a="1"/>
  <c r="AK428" i="2" s="1"/>
  <c r="X428" i="2" a="1"/>
  <c r="X428" i="2" s="1"/>
  <c r="Z428" i="2" a="1"/>
  <c r="Z428" i="2" s="1"/>
  <c r="AA428" i="2" a="1"/>
  <c r="AA428" i="2" s="1"/>
  <c r="AB428" i="2" a="1"/>
  <c r="AB428" i="2" s="1"/>
  <c r="AC428" i="2" a="1"/>
  <c r="AC428" i="2" s="1"/>
  <c r="AD428" i="2" a="1"/>
  <c r="AD428" i="2" s="1"/>
  <c r="AE442" i="2" a="1"/>
  <c r="AE442" i="2" s="1"/>
  <c r="AF442" i="2" a="1"/>
  <c r="AF442" i="2" s="1"/>
  <c r="W442" i="2" a="1"/>
  <c r="W442" i="2" s="1"/>
  <c r="AG442" i="2" a="1"/>
  <c r="AG442" i="2" s="1"/>
  <c r="X442" i="2" a="1"/>
  <c r="X442" i="2" s="1"/>
  <c r="Y442" i="2" a="1"/>
  <c r="Y442" i="2" s="1"/>
  <c r="AI442" i="2" s="1"/>
  <c r="AH442" i="2" a="1"/>
  <c r="AH442" i="2" s="1"/>
  <c r="Z442" i="2" a="1"/>
  <c r="Z442" i="2" s="1"/>
  <c r="AJ442" i="2" a="1"/>
  <c r="AJ442" i="2" s="1"/>
  <c r="AK442" i="2" s="1" a="1"/>
  <c r="AK442" i="2" s="1"/>
  <c r="AA442" i="2" a="1"/>
  <c r="AA442" i="2" s="1"/>
  <c r="AB442" i="2" a="1"/>
  <c r="AB442" i="2" s="1"/>
  <c r="AC442" i="2" a="1"/>
  <c r="AC442" i="2" s="1"/>
  <c r="AA457" i="2" a="1"/>
  <c r="AA457" i="2" s="1"/>
  <c r="W457" i="2" a="1"/>
  <c r="W457" i="2" s="1"/>
  <c r="AG457" i="2" a="1"/>
  <c r="AG457" i="2" s="1"/>
  <c r="X457" i="2" a="1"/>
  <c r="X457" i="2" s="1"/>
  <c r="AH457" i="2" a="1"/>
  <c r="AH457" i="2" s="1"/>
  <c r="AJ472" i="2" a="1"/>
  <c r="AJ472" i="2" s="1"/>
  <c r="AK472" i="2" s="1" a="1"/>
  <c r="AK472" i="2" s="1"/>
  <c r="AH321" i="2" a="1"/>
  <c r="AH321" i="2" s="1"/>
  <c r="W321" i="2" a="1"/>
  <c r="W321" i="2" s="1"/>
  <c r="AJ321" i="2" a="1"/>
  <c r="AJ321" i="2" s="1"/>
  <c r="AK321" i="2" s="1" a="1"/>
  <c r="AK321" i="2" s="1"/>
  <c r="X321" i="2" a="1"/>
  <c r="X321" i="2" s="1"/>
  <c r="Y321" i="2" a="1"/>
  <c r="Y321" i="2" s="1"/>
  <c r="Z321" i="2" a="1"/>
  <c r="Z321" i="2" s="1"/>
  <c r="AA321" i="2" a="1"/>
  <c r="AA321" i="2" s="1"/>
  <c r="AB321" i="2" a="1"/>
  <c r="AB321" i="2" s="1"/>
  <c r="AC321" i="2" a="1"/>
  <c r="AC321" i="2" s="1"/>
  <c r="AD321" i="2" a="1"/>
  <c r="AD321" i="2" s="1"/>
  <c r="AE321" i="2" a="1"/>
  <c r="AE321" i="2" s="1"/>
  <c r="AF321" i="2" a="1"/>
  <c r="AF321" i="2" s="1"/>
  <c r="AG321" i="2" a="1"/>
  <c r="AG321" i="2" s="1"/>
  <c r="W347" i="2" a="1"/>
  <c r="W347" i="2" s="1"/>
  <c r="X347" i="2" a="1"/>
  <c r="X347" i="2" s="1"/>
  <c r="AH347" i="2" a="1"/>
  <c r="AH347" i="2" s="1"/>
  <c r="Y347" i="2" a="1"/>
  <c r="Y347" i="2" s="1"/>
  <c r="AJ347" i="2" a="1"/>
  <c r="AJ347" i="2" s="1"/>
  <c r="AK347" i="2" s="1" a="1"/>
  <c r="AK347" i="2" s="1"/>
  <c r="Z347" i="2" a="1"/>
  <c r="Z347" i="2" s="1"/>
  <c r="AA347" i="2" a="1"/>
  <c r="AA347" i="2" s="1"/>
  <c r="AB347" i="2" a="1"/>
  <c r="AB347" i="2" s="1"/>
  <c r="AC347" i="2" a="1"/>
  <c r="AC347" i="2" s="1"/>
  <c r="AD347" i="2" a="1"/>
  <c r="AD347" i="2" s="1"/>
  <c r="AE347" i="2" a="1"/>
  <c r="AE347" i="2" s="1"/>
  <c r="AF347" i="2" a="1"/>
  <c r="AF347" i="2" s="1"/>
  <c r="AG347" i="2" a="1"/>
  <c r="AG347" i="2" s="1"/>
  <c r="AC361" i="2" a="1"/>
  <c r="AC361" i="2" s="1"/>
  <c r="AE361" i="2" a="1"/>
  <c r="AE361" i="2" s="1"/>
  <c r="W361" i="2" a="1"/>
  <c r="W361" i="2" s="1"/>
  <c r="AJ361" i="2" a="1"/>
  <c r="AJ361" i="2" s="1"/>
  <c r="AK361" i="2" s="1" a="1"/>
  <c r="AK361" i="2" s="1"/>
  <c r="X361" i="2" a="1"/>
  <c r="X361" i="2" s="1"/>
  <c r="Y361" i="2" a="1"/>
  <c r="Y361" i="2" s="1"/>
  <c r="AD361" i="2" a="1"/>
  <c r="AD361" i="2" s="1"/>
  <c r="AF361" i="2" a="1"/>
  <c r="AF361" i="2" s="1"/>
  <c r="AG361" i="2" a="1"/>
  <c r="AG361" i="2" s="1"/>
  <c r="AH361" i="2" a="1"/>
  <c r="AH361" i="2" s="1"/>
  <c r="Z361" i="2" a="1"/>
  <c r="Z361" i="2" s="1"/>
  <c r="AA361" i="2" a="1"/>
  <c r="AA361" i="2" s="1"/>
  <c r="AE376" i="2" a="1"/>
  <c r="AE376" i="2" s="1"/>
  <c r="AF376" i="2" a="1"/>
  <c r="AF376" i="2" s="1"/>
  <c r="AH376" i="2" a="1"/>
  <c r="AH376" i="2" s="1"/>
  <c r="AJ376" i="2" a="1"/>
  <c r="AJ376" i="2" s="1"/>
  <c r="AK376" i="2" s="1" a="1"/>
  <c r="AK376" i="2" s="1"/>
  <c r="W376" i="2" a="1"/>
  <c r="W376" i="2" s="1"/>
  <c r="X376" i="2" a="1"/>
  <c r="X376" i="2" s="1"/>
  <c r="Y376" i="2" a="1"/>
  <c r="Y376" i="2" s="1"/>
  <c r="Z376" i="2" a="1"/>
  <c r="Z376" i="2" s="1"/>
  <c r="AA376" i="2" a="1"/>
  <c r="AA376" i="2" s="1"/>
  <c r="AB376" i="2" a="1"/>
  <c r="AB376" i="2" s="1"/>
  <c r="AC376" i="2" a="1"/>
  <c r="AC376" i="2" s="1"/>
  <c r="AD376" i="2" a="1"/>
  <c r="AD376" i="2" s="1"/>
  <c r="AG376" i="2" a="1"/>
  <c r="AG376" i="2" s="1"/>
  <c r="AJ415" i="2" a="1"/>
  <c r="AJ415" i="2" s="1"/>
  <c r="AK415" i="2" s="1" a="1"/>
  <c r="AK415" i="2" s="1"/>
  <c r="AD415" i="2" a="1"/>
  <c r="AD415" i="2" s="1"/>
  <c r="AE415" i="2" a="1"/>
  <c r="AE415" i="2" s="1"/>
  <c r="X415" i="2" a="1"/>
  <c r="X415" i="2" s="1"/>
  <c r="Y415" i="2" a="1"/>
  <c r="Y415" i="2" s="1"/>
  <c r="Z415" i="2" a="1"/>
  <c r="Z415" i="2" s="1"/>
  <c r="AA415" i="2" a="1"/>
  <c r="AA415" i="2" s="1"/>
  <c r="AC415" i="2" a="1"/>
  <c r="AC415" i="2" s="1"/>
  <c r="AF415" i="2" a="1"/>
  <c r="AF415" i="2" s="1"/>
  <c r="AG415" i="2" a="1"/>
  <c r="AG415" i="2" s="1"/>
  <c r="AH415" i="2" a="1"/>
  <c r="AH415" i="2" s="1"/>
  <c r="W415" i="2" a="1"/>
  <c r="W415" i="2" s="1"/>
  <c r="AB443" i="2" a="1"/>
  <c r="AB443" i="2" s="1"/>
  <c r="AC443" i="2" a="1"/>
  <c r="AC443" i="2" s="1"/>
  <c r="AD443" i="2" a="1"/>
  <c r="AD443" i="2" s="1"/>
  <c r="W443" i="2" a="1"/>
  <c r="W443" i="2" s="1"/>
  <c r="AF443" i="2" a="1"/>
  <c r="AF443" i="2" s="1"/>
  <c r="X443" i="2" a="1"/>
  <c r="X443" i="2" s="1"/>
  <c r="AG443" i="2" a="1"/>
  <c r="AG443" i="2" s="1"/>
  <c r="Y443" i="2" a="1"/>
  <c r="Y443" i="2" s="1"/>
  <c r="AH443" i="2" a="1"/>
  <c r="AH443" i="2" s="1"/>
  <c r="AJ443" i="2" a="1"/>
  <c r="AJ443" i="2" s="1"/>
  <c r="AK443" i="2" s="1" a="1"/>
  <c r="AK443" i="2" s="1"/>
  <c r="Z443" i="2" a="1"/>
  <c r="Z443" i="2" s="1"/>
  <c r="AF322" i="2" a="1"/>
  <c r="AF322" i="2" s="1"/>
  <c r="AG322" i="2" a="1"/>
  <c r="AG322" i="2" s="1"/>
  <c r="AH322" i="2" a="1"/>
  <c r="AH322" i="2" s="1"/>
  <c r="AJ322" i="2" a="1"/>
  <c r="AJ322" i="2" s="1"/>
  <c r="AK322" i="2" s="1" a="1"/>
  <c r="AK322" i="2" s="1"/>
  <c r="W322" i="2" a="1"/>
  <c r="W322" i="2" s="1"/>
  <c r="X322" i="2" a="1"/>
  <c r="X322" i="2" s="1"/>
  <c r="Y322" i="2" a="1"/>
  <c r="Y322" i="2" s="1"/>
  <c r="Z322" i="2" a="1"/>
  <c r="Z322" i="2" s="1"/>
  <c r="AA322" i="2" a="1"/>
  <c r="AA322" i="2" s="1"/>
  <c r="AB322" i="2" a="1"/>
  <c r="AB322" i="2" s="1"/>
  <c r="AI322" i="2" s="1"/>
  <c r="AC322" i="2" a="1"/>
  <c r="AC322" i="2" s="1"/>
  <c r="AD322" i="2" a="1"/>
  <c r="AD322" i="2" s="1"/>
  <c r="AE322" i="2" a="1"/>
  <c r="AE322" i="2" s="1"/>
  <c r="AE348" i="2" a="1"/>
  <c r="AE348" i="2" s="1"/>
  <c r="AF348" i="2" a="1"/>
  <c r="AF348" i="2" s="1"/>
  <c r="W348" i="2" a="1"/>
  <c r="W348" i="2" s="1"/>
  <c r="AG348" i="2" a="1"/>
  <c r="AG348" i="2" s="1"/>
  <c r="X348" i="2" a="1"/>
  <c r="X348" i="2" s="1"/>
  <c r="AH348" i="2" a="1"/>
  <c r="AH348" i="2" s="1"/>
  <c r="AJ348" i="2" a="1"/>
  <c r="AJ348" i="2" s="1"/>
  <c r="AK348" i="2" s="1" a="1"/>
  <c r="AK348" i="2" s="1"/>
  <c r="Y348" i="2" a="1"/>
  <c r="Y348" i="2" s="1"/>
  <c r="Z348" i="2" a="1"/>
  <c r="Z348" i="2" s="1"/>
  <c r="AA348" i="2" a="1"/>
  <c r="AA348" i="2" s="1"/>
  <c r="AB348" i="2" a="1"/>
  <c r="AB348" i="2" s="1"/>
  <c r="AC348" i="2" a="1"/>
  <c r="AC348" i="2" s="1"/>
  <c r="AD348" i="2" a="1"/>
  <c r="AD348" i="2" s="1"/>
  <c r="AA362" i="2" a="1"/>
  <c r="AA362" i="2" s="1"/>
  <c r="AB362" i="2" a="1"/>
  <c r="AB362" i="2" s="1"/>
  <c r="AD362" i="2" a="1"/>
  <c r="AD362" i="2" s="1"/>
  <c r="AG362" i="2" a="1"/>
  <c r="AG362" i="2" s="1"/>
  <c r="X362" i="2" a="1"/>
  <c r="X362" i="2" s="1"/>
  <c r="W362" i="2" a="1"/>
  <c r="W362" i="2" s="1"/>
  <c r="Y362" i="2" a="1"/>
  <c r="Y362" i="2" s="1"/>
  <c r="Z362" i="2" a="1"/>
  <c r="Z362" i="2" s="1"/>
  <c r="AC362" i="2" a="1"/>
  <c r="AC362" i="2" s="1"/>
  <c r="AE362" i="2" a="1"/>
  <c r="AE362" i="2" s="1"/>
  <c r="AF362" i="2" a="1"/>
  <c r="AF362" i="2" s="1"/>
  <c r="AH362" i="2" a="1"/>
  <c r="AH362" i="2" s="1"/>
  <c r="AJ362" i="2" a="1"/>
  <c r="AJ362" i="2" s="1"/>
  <c r="AK362" i="2" s="1" a="1"/>
  <c r="AK362" i="2" s="1"/>
  <c r="AC377" i="2" a="1"/>
  <c r="AC377" i="2" s="1"/>
  <c r="AD377" i="2" a="1"/>
  <c r="AD377" i="2" s="1"/>
  <c r="AF377" i="2" a="1"/>
  <c r="AF377" i="2" s="1"/>
  <c r="AG377" i="2" a="1"/>
  <c r="AG377" i="2" s="1"/>
  <c r="W377" i="2" a="1"/>
  <c r="W377" i="2" s="1"/>
  <c r="X377" i="2" a="1"/>
  <c r="X377" i="2" s="1"/>
  <c r="AH377" i="2" a="1"/>
  <c r="AH377" i="2" s="1"/>
  <c r="Y377" i="2" a="1"/>
  <c r="Y377" i="2" s="1"/>
  <c r="AJ377" i="2" a="1"/>
  <c r="AJ377" i="2" s="1"/>
  <c r="AK377" i="2" s="1" a="1"/>
  <c r="AK377" i="2" s="1"/>
  <c r="Z377" i="2" a="1"/>
  <c r="Z377" i="2" s="1"/>
  <c r="AA377" i="2" a="1"/>
  <c r="AA377" i="2" s="1"/>
  <c r="AB377" i="2" a="1"/>
  <c r="AB377" i="2" s="1"/>
  <c r="AC390" i="2" a="1"/>
  <c r="AC390" i="2" s="1"/>
  <c r="AD390" i="2" a="1"/>
  <c r="AD390" i="2" s="1"/>
  <c r="AE390" i="2" a="1"/>
  <c r="AE390" i="2" s="1"/>
  <c r="AF390" i="2" a="1"/>
  <c r="AF390" i="2" s="1"/>
  <c r="AG390" i="2" a="1"/>
  <c r="AG390" i="2" s="1"/>
  <c r="W390" i="2" a="1"/>
  <c r="W390" i="2" s="1"/>
  <c r="AH390" i="2" a="1"/>
  <c r="AH390" i="2" s="1"/>
  <c r="X390" i="2" a="1"/>
  <c r="X390" i="2" s="1"/>
  <c r="AJ390" i="2" a="1"/>
  <c r="AJ390" i="2" s="1"/>
  <c r="AK390" i="2" s="1" a="1"/>
  <c r="AK390" i="2" s="1"/>
  <c r="Y390" i="2" a="1"/>
  <c r="Y390" i="2" s="1"/>
  <c r="Z390" i="2" a="1"/>
  <c r="Z390" i="2" s="1"/>
  <c r="AA390" i="2" a="1"/>
  <c r="AA390" i="2" s="1"/>
  <c r="AB390" i="2" a="1"/>
  <c r="AB390" i="2" s="1"/>
  <c r="Y416" i="2" a="1"/>
  <c r="Y416" i="2" s="1"/>
  <c r="AA416" i="2" a="1"/>
  <c r="AA416" i="2" s="1"/>
  <c r="AB416" i="2" a="1"/>
  <c r="AB416" i="2" s="1"/>
  <c r="X416" i="2" a="1"/>
  <c r="X416" i="2" s="1"/>
  <c r="Z416" i="2" a="1"/>
  <c r="Z416" i="2" s="1"/>
  <c r="AC416" i="2" a="1"/>
  <c r="AC416" i="2" s="1"/>
  <c r="AD416" i="2" a="1"/>
  <c r="AD416" i="2" s="1"/>
  <c r="AF416" i="2" a="1"/>
  <c r="AF416" i="2" s="1"/>
  <c r="AG416" i="2" a="1"/>
  <c r="AG416" i="2" s="1"/>
  <c r="AH416" i="2" a="1"/>
  <c r="AH416" i="2" s="1"/>
  <c r="AJ416" i="2" a="1"/>
  <c r="AJ416" i="2" s="1"/>
  <c r="AK416" i="2" s="1" a="1"/>
  <c r="AK416" i="2" s="1"/>
  <c r="W444" i="2" a="1"/>
  <c r="W444" i="2" s="1"/>
  <c r="X444" i="2" a="1"/>
  <c r="X444" i="2" s="1"/>
  <c r="AG444" i="2" a="1"/>
  <c r="AG444" i="2" s="1"/>
  <c r="Y444" i="2" a="1"/>
  <c r="Y444" i="2" s="1"/>
  <c r="AH444" i="2" a="1"/>
  <c r="AH444" i="2" s="1"/>
  <c r="AJ444" i="2" a="1"/>
  <c r="AJ444" i="2" s="1"/>
  <c r="AK444" i="2" s="1" a="1"/>
  <c r="AK444" i="2" s="1"/>
  <c r="Z444" i="2" a="1"/>
  <c r="Z444" i="2" s="1"/>
  <c r="AB444" i="2" a="1"/>
  <c r="AB444" i="2" s="1"/>
  <c r="AC444" i="2" a="1"/>
  <c r="AC444" i="2" s="1"/>
  <c r="AD444" i="2" a="1"/>
  <c r="AD444" i="2" s="1"/>
  <c r="AE444" i="2" a="1"/>
  <c r="AE444" i="2" s="1"/>
  <c r="AE459" i="2" a="1"/>
  <c r="AE459" i="2" s="1"/>
  <c r="X459" i="2" a="1"/>
  <c r="X459" i="2" s="1"/>
  <c r="AG459" i="2" a="1"/>
  <c r="AG459" i="2" s="1"/>
  <c r="AJ459" i="2" a="1"/>
  <c r="AJ459" i="2" s="1"/>
  <c r="AK459" i="2" s="1" a="1"/>
  <c r="AK459" i="2" s="1"/>
  <c r="Z459" i="2" a="1"/>
  <c r="Z459" i="2" s="1"/>
  <c r="AI459" i="2" s="1"/>
  <c r="AH476" i="2" a="1"/>
  <c r="AH476" i="2" s="1"/>
  <c r="AH474" i="2" a="1"/>
  <c r="AH474" i="2" s="1"/>
  <c r="AD473" i="2" a="1"/>
  <c r="AD473" i="2" s="1"/>
  <c r="AH472" i="2" a="1"/>
  <c r="AH472" i="2" s="1"/>
  <c r="Y472" i="2" a="1"/>
  <c r="Y472" i="2" s="1"/>
  <c r="AD471" i="2" a="1"/>
  <c r="AD471" i="2" s="1"/>
  <c r="AF470" i="2" a="1"/>
  <c r="AF470" i="2" s="1"/>
  <c r="Y469" i="2" a="1"/>
  <c r="Y469" i="2" s="1"/>
  <c r="AC468" i="2" a="1"/>
  <c r="AC468" i="2" s="1"/>
  <c r="AE467" i="2" a="1"/>
  <c r="AE467" i="2" s="1"/>
  <c r="AG466" i="2" a="1"/>
  <c r="AG466" i="2" s="1"/>
  <c r="AD463" i="2" a="1"/>
  <c r="AD463" i="2" s="1"/>
  <c r="X461" i="2" a="1"/>
  <c r="X461" i="2" s="1"/>
  <c r="W458" i="2" a="1"/>
  <c r="W458" i="2" s="1"/>
  <c r="AJ451" i="2" a="1"/>
  <c r="AJ451" i="2" s="1"/>
  <c r="AK451" i="2" s="1" a="1"/>
  <c r="AK451" i="2" s="1"/>
  <c r="AA443" i="2" a="1"/>
  <c r="AA443" i="2" s="1"/>
  <c r="AH431" i="2" a="1"/>
  <c r="AH431" i="2" s="1"/>
  <c r="AJ424" i="2" a="1"/>
  <c r="AJ424" i="2" s="1"/>
  <c r="AK424" i="2" s="1" a="1"/>
  <c r="AK424" i="2" s="1"/>
  <c r="AC356" i="2" a="1"/>
  <c r="AC356" i="2" s="1"/>
  <c r="AD356" i="2" a="1"/>
  <c r="AD356" i="2" s="1"/>
  <c r="AF356" i="2" a="1"/>
  <c r="AF356" i="2" s="1"/>
  <c r="W356" i="2" a="1"/>
  <c r="W356" i="2" s="1"/>
  <c r="AH356" i="2" a="1"/>
  <c r="AH356" i="2" s="1"/>
  <c r="AJ356" i="2" a="1"/>
  <c r="AJ356" i="2" s="1"/>
  <c r="AK356" i="2" s="1" a="1"/>
  <c r="AK356" i="2" s="1"/>
  <c r="X356" i="2" a="1"/>
  <c r="X356" i="2" s="1"/>
  <c r="Y356" i="2" a="1"/>
  <c r="Y356" i="2" s="1"/>
  <c r="Z356" i="2" a="1"/>
  <c r="Z356" i="2" s="1"/>
  <c r="AA356" i="2" a="1"/>
  <c r="AA356" i="2" s="1"/>
  <c r="AB356" i="2" a="1"/>
  <c r="AB356" i="2" s="1"/>
  <c r="AE356" i="2" a="1"/>
  <c r="AE356" i="2" s="1"/>
  <c r="AG356" i="2" a="1"/>
  <c r="AG356" i="2" s="1"/>
  <c r="AJ410" i="2" a="1"/>
  <c r="AJ410" i="2" s="1"/>
  <c r="AK410" i="2" s="1" a="1"/>
  <c r="AK410" i="2" s="1"/>
  <c r="W410" i="2" a="1"/>
  <c r="W410" i="2" s="1"/>
  <c r="Y410" i="2" a="1"/>
  <c r="Y410" i="2" s="1"/>
  <c r="Z410" i="2" a="1"/>
  <c r="Z410" i="2" s="1"/>
  <c r="AB410" i="2" a="1"/>
  <c r="AB410" i="2" s="1"/>
  <c r="AC410" i="2" a="1"/>
  <c r="AC410" i="2" s="1"/>
  <c r="AD410" i="2" a="1"/>
  <c r="AD410" i="2" s="1"/>
  <c r="AE410" i="2" a="1"/>
  <c r="AE410" i="2" s="1"/>
  <c r="AF410" i="2" a="1"/>
  <c r="AF410" i="2" s="1"/>
  <c r="X410" i="2" a="1"/>
  <c r="X410" i="2" s="1"/>
  <c r="AA410" i="2" a="1"/>
  <c r="AA410" i="2" s="1"/>
  <c r="AH410" i="2" a="1"/>
  <c r="AH410" i="2" s="1"/>
  <c r="X437" i="2" a="1"/>
  <c r="X437" i="2" s="1"/>
  <c r="AG437" i="2" a="1"/>
  <c r="AG437" i="2" s="1"/>
  <c r="Y437" i="2" a="1"/>
  <c r="Y437" i="2" s="1"/>
  <c r="AH437" i="2" a="1"/>
  <c r="AH437" i="2" s="1"/>
  <c r="Z437" i="2" a="1"/>
  <c r="Z437" i="2" s="1"/>
  <c r="AJ437" i="2" a="1"/>
  <c r="AJ437" i="2" s="1"/>
  <c r="AK437" i="2" s="1" a="1"/>
  <c r="AK437" i="2" s="1"/>
  <c r="AA437" i="2" a="1"/>
  <c r="AA437" i="2" s="1"/>
  <c r="AB437" i="2" a="1"/>
  <c r="AB437" i="2" s="1"/>
  <c r="AC437" i="2" a="1"/>
  <c r="AC437" i="2" s="1"/>
  <c r="AD437" i="2" a="1"/>
  <c r="AD437" i="2" s="1"/>
  <c r="AE437" i="2" a="1"/>
  <c r="AE437" i="2" s="1"/>
  <c r="AH343" i="2" a="1"/>
  <c r="AH343" i="2" s="1"/>
  <c r="Y343" i="2" a="1"/>
  <c r="Y343" i="2" s="1"/>
  <c r="AJ343" i="2" a="1"/>
  <c r="AJ343" i="2" s="1"/>
  <c r="AK343" i="2" s="1" a="1"/>
  <c r="AK343" i="2" s="1"/>
  <c r="Z343" i="2" a="1"/>
  <c r="Z343" i="2" s="1"/>
  <c r="AA343" i="2" a="1"/>
  <c r="AA343" i="2" s="1"/>
  <c r="AB343" i="2" a="1"/>
  <c r="AB343" i="2" s="1"/>
  <c r="AC343" i="2" a="1"/>
  <c r="AC343" i="2" s="1"/>
  <c r="AD343" i="2" a="1"/>
  <c r="AD343" i="2" s="1"/>
  <c r="AE343" i="2" a="1"/>
  <c r="AE343" i="2" s="1"/>
  <c r="W343" i="2" a="1"/>
  <c r="W343" i="2" s="1"/>
  <c r="AI343" i="2" s="1"/>
  <c r="X343" i="2" a="1"/>
  <c r="X343" i="2" s="1"/>
  <c r="AF343" i="2" a="1"/>
  <c r="AF343" i="2" s="1"/>
  <c r="AG343" i="2" a="1"/>
  <c r="AG343" i="2" s="1"/>
  <c r="AE398" i="2" a="1"/>
  <c r="AE398" i="2" s="1"/>
  <c r="AG398" i="2" a="1"/>
  <c r="AG398" i="2" s="1"/>
  <c r="W398" i="2" a="1"/>
  <c r="W398" i="2" s="1"/>
  <c r="AH398" i="2" a="1"/>
  <c r="AH398" i="2" s="1"/>
  <c r="X398" i="2" a="1"/>
  <c r="X398" i="2" s="1"/>
  <c r="AJ398" i="2" a="1"/>
  <c r="AJ398" i="2" s="1"/>
  <c r="AK398" i="2" s="1" a="1"/>
  <c r="AK398" i="2" s="1"/>
  <c r="Y398" i="2" a="1"/>
  <c r="Y398" i="2" s="1"/>
  <c r="Z398" i="2" a="1"/>
  <c r="Z398" i="2" s="1"/>
  <c r="AA398" i="2" a="1"/>
  <c r="AA398" i="2" s="1"/>
  <c r="AB398" i="2" a="1"/>
  <c r="AB398" i="2" s="1"/>
  <c r="AC398" i="2" a="1"/>
  <c r="AC398" i="2" s="1"/>
  <c r="AD398" i="2" a="1"/>
  <c r="AD398" i="2" s="1"/>
  <c r="AF398" i="2" a="1"/>
  <c r="AF398" i="2" s="1"/>
  <c r="AG330" i="2" a="1"/>
  <c r="AG330" i="2" s="1"/>
  <c r="W330" i="2" a="1"/>
  <c r="W330" i="2" s="1"/>
  <c r="X330" i="2" a="1"/>
  <c r="X330" i="2" s="1"/>
  <c r="AH330" i="2" a="1"/>
  <c r="AH330" i="2" s="1"/>
  <c r="AJ330" i="2" a="1"/>
  <c r="AJ330" i="2" s="1"/>
  <c r="AK330" i="2" s="1" a="1"/>
  <c r="AK330" i="2" s="1"/>
  <c r="Y330" i="2" a="1"/>
  <c r="Y330" i="2" s="1"/>
  <c r="Z330" i="2" a="1"/>
  <c r="Z330" i="2" s="1"/>
  <c r="AA330" i="2" a="1"/>
  <c r="AA330" i="2" s="1"/>
  <c r="AB330" i="2" a="1"/>
  <c r="AB330" i="2" s="1"/>
  <c r="AC330" i="2" a="1"/>
  <c r="AC330" i="2" s="1"/>
  <c r="AD330" i="2" a="1"/>
  <c r="AD330" i="2" s="1"/>
  <c r="AE330" i="2" a="1"/>
  <c r="AE330" i="2" s="1"/>
  <c r="AF330" i="2" a="1"/>
  <c r="AF330" i="2" s="1"/>
  <c r="AA399" i="2" a="1"/>
  <c r="AA399" i="2" s="1"/>
  <c r="AB399" i="2" a="1"/>
  <c r="AB399" i="2" s="1"/>
  <c r="AC399" i="2" a="1"/>
  <c r="AC399" i="2" s="1"/>
  <c r="AD399" i="2" a="1"/>
  <c r="AD399" i="2" s="1"/>
  <c r="AE399" i="2" a="1"/>
  <c r="AE399" i="2" s="1"/>
  <c r="W399" i="2" a="1"/>
  <c r="W399" i="2" s="1"/>
  <c r="AF399" i="2" a="1"/>
  <c r="AF399" i="2" s="1"/>
  <c r="X399" i="2" a="1"/>
  <c r="X399" i="2" s="1"/>
  <c r="AG399" i="2" a="1"/>
  <c r="AG399" i="2" s="1"/>
  <c r="Y399" i="2" a="1"/>
  <c r="Y399" i="2" s="1"/>
  <c r="AH399" i="2" a="1"/>
  <c r="AH399" i="2" s="1"/>
  <c r="AJ399" i="2" a="1"/>
  <c r="AJ399" i="2" s="1"/>
  <c r="AK399" i="2" s="1" a="1"/>
  <c r="AK399" i="2" s="1"/>
  <c r="Z399" i="2" a="1"/>
  <c r="Z399" i="2" s="1"/>
  <c r="Y346" i="2" a="1"/>
  <c r="Y346" i="2" s="1"/>
  <c r="Z346" i="2" a="1"/>
  <c r="Z346" i="2" s="1"/>
  <c r="AA346" i="2" a="1"/>
  <c r="AA346" i="2" s="1"/>
  <c r="AB346" i="2" a="1"/>
  <c r="AB346" i="2" s="1"/>
  <c r="AC346" i="2" a="1"/>
  <c r="AC346" i="2" s="1"/>
  <c r="AD346" i="2" a="1"/>
  <c r="AD346" i="2" s="1"/>
  <c r="AE346" i="2" a="1"/>
  <c r="AE346" i="2" s="1"/>
  <c r="AF346" i="2" a="1"/>
  <c r="AF346" i="2" s="1"/>
  <c r="AG346" i="2" a="1"/>
  <c r="AG346" i="2" s="1"/>
  <c r="W346" i="2" a="1"/>
  <c r="W346" i="2" s="1"/>
  <c r="AH346" i="2" a="1"/>
  <c r="AH346" i="2" s="1"/>
  <c r="X346" i="2" a="1"/>
  <c r="X346" i="2" s="1"/>
  <c r="AJ346" i="2" a="1"/>
  <c r="AJ346" i="2" s="1"/>
  <c r="AK346" i="2" s="1" a="1"/>
  <c r="AK346" i="2" s="1"/>
  <c r="AD360" i="2" a="1"/>
  <c r="AD360" i="2" s="1"/>
  <c r="AF360" i="2" a="1"/>
  <c r="AF360" i="2" s="1"/>
  <c r="AG360" i="2" a="1"/>
  <c r="AG360" i="2" s="1"/>
  <c r="AJ360" i="2" a="1"/>
  <c r="AJ360" i="2" s="1"/>
  <c r="AK360" i="2" s="1" a="1"/>
  <c r="AK360" i="2" s="1"/>
  <c r="W360" i="2" a="1"/>
  <c r="W360" i="2" s="1"/>
  <c r="X360" i="2" a="1"/>
  <c r="X360" i="2" s="1"/>
  <c r="Y360" i="2" a="1"/>
  <c r="Y360" i="2" s="1"/>
  <c r="AA360" i="2" a="1"/>
  <c r="AA360" i="2" s="1"/>
  <c r="Z360" i="2" a="1"/>
  <c r="Z360" i="2" s="1"/>
  <c r="AB360" i="2" a="1"/>
  <c r="AB360" i="2" s="1"/>
  <c r="AC360" i="2" a="1"/>
  <c r="AC360" i="2" s="1"/>
  <c r="AE360" i="2" a="1"/>
  <c r="AE360" i="2" s="1"/>
  <c r="AH360" i="2" a="1"/>
  <c r="AH360" i="2" s="1"/>
  <c r="AF402" i="2" a="1"/>
  <c r="AF402" i="2" s="1"/>
  <c r="AG402" i="2" a="1"/>
  <c r="AG402" i="2" s="1"/>
  <c r="AH402" i="2" a="1"/>
  <c r="AH402" i="2" s="1"/>
  <c r="X402" i="2" a="1"/>
  <c r="X402" i="2" s="1"/>
  <c r="AJ402" i="2" a="1"/>
  <c r="AJ402" i="2" s="1"/>
  <c r="AK402" i="2" s="1" a="1"/>
  <c r="AK402" i="2" s="1"/>
  <c r="Y402" i="2" a="1"/>
  <c r="Y402" i="2" s="1"/>
  <c r="Z402" i="2" a="1"/>
  <c r="Z402" i="2" s="1"/>
  <c r="AA402" i="2" a="1"/>
  <c r="AA402" i="2" s="1"/>
  <c r="AB402" i="2" a="1"/>
  <c r="AB402" i="2" s="1"/>
  <c r="AC402" i="2" a="1"/>
  <c r="AC402" i="2" s="1"/>
  <c r="W402" i="2" a="1"/>
  <c r="W402" i="2" s="1"/>
  <c r="AD402" i="2" a="1"/>
  <c r="AD402" i="2" s="1"/>
  <c r="X335" i="2" a="1"/>
  <c r="X335" i="2" s="1"/>
  <c r="AH335" i="2" a="1"/>
  <c r="AH335" i="2" s="1"/>
  <c r="AJ335" i="2" a="1"/>
  <c r="AJ335" i="2" s="1"/>
  <c r="AK335" i="2" s="1" a="1"/>
  <c r="AK335" i="2" s="1"/>
  <c r="Y335" i="2" a="1"/>
  <c r="Y335" i="2" s="1"/>
  <c r="Z335" i="2" a="1"/>
  <c r="Z335" i="2" s="1"/>
  <c r="AI335" i="2" s="1"/>
  <c r="AA335" i="2" a="1"/>
  <c r="AA335" i="2" s="1"/>
  <c r="AB335" i="2" a="1"/>
  <c r="AB335" i="2" s="1"/>
  <c r="AC335" i="2" a="1"/>
  <c r="AC335" i="2" s="1"/>
  <c r="AD335" i="2" a="1"/>
  <c r="AD335" i="2" s="1"/>
  <c r="AE335" i="2" a="1"/>
  <c r="AE335" i="2" s="1"/>
  <c r="AF335" i="2" a="1"/>
  <c r="AF335" i="2" s="1"/>
  <c r="W335" i="2" a="1"/>
  <c r="W335" i="2" s="1"/>
  <c r="AG335" i="2" a="1"/>
  <c r="AG335" i="2" s="1"/>
  <c r="AC349" i="2" a="1"/>
  <c r="AC349" i="2" s="1"/>
  <c r="AD349" i="2" a="1"/>
  <c r="AD349" i="2" s="1"/>
  <c r="AE349" i="2" a="1"/>
  <c r="AE349" i="2" s="1"/>
  <c r="AF349" i="2" a="1"/>
  <c r="AF349" i="2" s="1"/>
  <c r="W349" i="2" a="1"/>
  <c r="W349" i="2" s="1"/>
  <c r="AG349" i="2" a="1"/>
  <c r="AG349" i="2" s="1"/>
  <c r="X349" i="2" a="1"/>
  <c r="X349" i="2" s="1"/>
  <c r="AH349" i="2" a="1"/>
  <c r="AH349" i="2" s="1"/>
  <c r="AJ349" i="2" a="1"/>
  <c r="AJ349" i="2" s="1"/>
  <c r="AK349" i="2" s="1" a="1"/>
  <c r="AK349" i="2" s="1"/>
  <c r="Y349" i="2" a="1"/>
  <c r="Y349" i="2" s="1"/>
  <c r="Z349" i="2" a="1"/>
  <c r="Z349" i="2" s="1"/>
  <c r="AA349" i="2" a="1"/>
  <c r="AA349" i="2" s="1"/>
  <c r="AB349" i="2" a="1"/>
  <c r="AB349" i="2" s="1"/>
  <c r="W363" i="2" a="1"/>
  <c r="W363" i="2" s="1"/>
  <c r="AF363" i="2" a="1"/>
  <c r="AF363" i="2" s="1"/>
  <c r="Y363" i="2" a="1"/>
  <c r="Y363" i="2" s="1"/>
  <c r="AH363" i="2" a="1"/>
  <c r="AH363" i="2" s="1"/>
  <c r="AB363" i="2" a="1"/>
  <c r="AB363" i="2" s="1"/>
  <c r="X363" i="2" a="1"/>
  <c r="X363" i="2" s="1"/>
  <c r="Z363" i="2" a="1"/>
  <c r="Z363" i="2" s="1"/>
  <c r="AA363" i="2" a="1"/>
  <c r="AA363" i="2" s="1"/>
  <c r="AC363" i="2" a="1"/>
  <c r="AC363" i="2" s="1"/>
  <c r="AD363" i="2" a="1"/>
  <c r="AD363" i="2" s="1"/>
  <c r="AE363" i="2" a="1"/>
  <c r="AE363" i="2" s="1"/>
  <c r="AG363" i="2" a="1"/>
  <c r="AG363" i="2" s="1"/>
  <c r="AJ363" i="2" a="1"/>
  <c r="AJ363" i="2" s="1"/>
  <c r="AK363" i="2" s="1" a="1"/>
  <c r="AK363" i="2" s="1"/>
  <c r="W378" i="2" a="1"/>
  <c r="W378" i="2" s="1"/>
  <c r="AG378" i="2" a="1"/>
  <c r="AG378" i="2" s="1"/>
  <c r="AJ378" i="2" a="1"/>
  <c r="AJ378" i="2" s="1"/>
  <c r="AK378" i="2" s="1" a="1"/>
  <c r="AK378" i="2" s="1"/>
  <c r="AA378" i="2" a="1"/>
  <c r="AA378" i="2" s="1"/>
  <c r="AB378" i="2" a="1"/>
  <c r="AB378" i="2" s="1"/>
  <c r="AC378" i="2" a="1"/>
  <c r="AC378" i="2" s="1"/>
  <c r="AD378" i="2" a="1"/>
  <c r="AD378" i="2" s="1"/>
  <c r="AE378" i="2" a="1"/>
  <c r="AE378" i="2" s="1"/>
  <c r="AI378" i="2" s="1"/>
  <c r="AF378" i="2" a="1"/>
  <c r="AF378" i="2" s="1"/>
  <c r="AH378" i="2" a="1"/>
  <c r="AH378" i="2" s="1"/>
  <c r="X378" i="2" a="1"/>
  <c r="X378" i="2" s="1"/>
  <c r="Y378" i="2" a="1"/>
  <c r="Y378" i="2" s="1"/>
  <c r="Z378" i="2" a="1"/>
  <c r="Z378" i="2" s="1"/>
  <c r="Z391" i="2" a="1"/>
  <c r="Z391" i="2" s="1"/>
  <c r="AA391" i="2" a="1"/>
  <c r="AA391" i="2" s="1"/>
  <c r="AB391" i="2" a="1"/>
  <c r="AB391" i="2" s="1"/>
  <c r="AC391" i="2" a="1"/>
  <c r="AC391" i="2" s="1"/>
  <c r="AD391" i="2" a="1"/>
  <c r="AD391" i="2" s="1"/>
  <c r="AE391" i="2" a="1"/>
  <c r="AE391" i="2" s="1"/>
  <c r="AF391" i="2" a="1"/>
  <c r="AF391" i="2" s="1"/>
  <c r="AG391" i="2" a="1"/>
  <c r="AG391" i="2" s="1"/>
  <c r="AH391" i="2" a="1"/>
  <c r="AH391" i="2" s="1"/>
  <c r="W391" i="2" a="1"/>
  <c r="W391" i="2" s="1"/>
  <c r="X391" i="2" a="1"/>
  <c r="X391" i="2" s="1"/>
  <c r="Y391" i="2" a="1"/>
  <c r="Y391" i="2" s="1"/>
  <c r="AJ391" i="2" a="1"/>
  <c r="AJ391" i="2" s="1"/>
  <c r="AK391" i="2" s="1" a="1"/>
  <c r="AK391" i="2" s="1"/>
  <c r="Y404" i="2" a="1"/>
  <c r="Y404" i="2" s="1"/>
  <c r="AA404" i="2" a="1"/>
  <c r="AA404" i="2" s="1"/>
  <c r="AC404" i="2" a="1"/>
  <c r="AC404" i="2" s="1"/>
  <c r="AD404" i="2" a="1"/>
  <c r="AD404" i="2" s="1"/>
  <c r="AI404" i="2" s="1"/>
  <c r="AE404" i="2" a="1"/>
  <c r="AE404" i="2" s="1"/>
  <c r="AF404" i="2" a="1"/>
  <c r="AF404" i="2" s="1"/>
  <c r="AG404" i="2" a="1"/>
  <c r="AG404" i="2" s="1"/>
  <c r="AH404" i="2" a="1"/>
  <c r="AH404" i="2" s="1"/>
  <c r="AJ404" i="2" a="1"/>
  <c r="AJ404" i="2" s="1"/>
  <c r="AK404" i="2" s="1" a="1"/>
  <c r="AK404" i="2" s="1"/>
  <c r="X404" i="2" a="1"/>
  <c r="X404" i="2" s="1"/>
  <c r="Z404" i="2" a="1"/>
  <c r="Z404" i="2" s="1"/>
  <c r="AB404" i="2" a="1"/>
  <c r="AB404" i="2" s="1"/>
  <c r="AC417" i="2" a="1"/>
  <c r="AC417" i="2" s="1"/>
  <c r="X417" i="2" a="1"/>
  <c r="X417" i="2" s="1"/>
  <c r="AH417" i="2" a="1"/>
  <c r="AH417" i="2" s="1"/>
  <c r="Y417" i="2" a="1"/>
  <c r="Y417" i="2" s="1"/>
  <c r="Z417" i="2" a="1"/>
  <c r="Z417" i="2" s="1"/>
  <c r="AA417" i="2" a="1"/>
  <c r="AA417" i="2" s="1"/>
  <c r="AB417" i="2" a="1"/>
  <c r="AB417" i="2" s="1"/>
  <c r="AD417" i="2" a="1"/>
  <c r="AD417" i="2" s="1"/>
  <c r="AE417" i="2" a="1"/>
  <c r="AE417" i="2" s="1"/>
  <c r="AF417" i="2" a="1"/>
  <c r="AF417" i="2" s="1"/>
  <c r="AG417" i="2" a="1"/>
  <c r="AG417" i="2" s="1"/>
  <c r="AJ417" i="2" a="1"/>
  <c r="AJ417" i="2" s="1"/>
  <c r="AK417" i="2" s="1" a="1"/>
  <c r="AK417" i="2" s="1"/>
  <c r="W417" i="2" a="1"/>
  <c r="W417" i="2" s="1"/>
  <c r="AB430" i="2" a="1"/>
  <c r="AB430" i="2" s="1"/>
  <c r="AA430" i="2" a="1"/>
  <c r="AA430" i="2" s="1"/>
  <c r="AC430" i="2" a="1"/>
  <c r="AC430" i="2" s="1"/>
  <c r="AD430" i="2" a="1"/>
  <c r="AD430" i="2" s="1"/>
  <c r="AE430" i="2" a="1"/>
  <c r="AE430" i="2" s="1"/>
  <c r="AF430" i="2" a="1"/>
  <c r="AF430" i="2" s="1"/>
  <c r="AG430" i="2" a="1"/>
  <c r="AG430" i="2" s="1"/>
  <c r="AH430" i="2" a="1"/>
  <c r="AH430" i="2" s="1"/>
  <c r="W430" i="2" a="1"/>
  <c r="W430" i="2" s="1"/>
  <c r="AJ430" i="2" a="1"/>
  <c r="AJ430" i="2" s="1"/>
  <c r="AK430" i="2" s="1" a="1"/>
  <c r="AK430" i="2" s="1"/>
  <c r="X430" i="2" a="1"/>
  <c r="X430" i="2" s="1"/>
  <c r="Y430" i="2" a="1"/>
  <c r="Y430" i="2" s="1"/>
  <c r="AD445" i="2" a="1"/>
  <c r="AD445" i="2" s="1"/>
  <c r="AE445" i="2" a="1"/>
  <c r="AE445" i="2" s="1"/>
  <c r="AF445" i="2" a="1"/>
  <c r="AF445" i="2" s="1"/>
  <c r="W445" i="2" a="1"/>
  <c r="W445" i="2" s="1"/>
  <c r="X445" i="2" a="1"/>
  <c r="X445" i="2" s="1"/>
  <c r="AH445" i="2" a="1"/>
  <c r="AH445" i="2" s="1"/>
  <c r="Y445" i="2" a="1"/>
  <c r="Y445" i="2" s="1"/>
  <c r="Z445" i="2" a="1"/>
  <c r="Z445" i="2" s="1"/>
  <c r="AJ445" i="2" a="1"/>
  <c r="AJ445" i="2" s="1"/>
  <c r="AK445" i="2" s="1" a="1"/>
  <c r="AK445" i="2" s="1"/>
  <c r="AA445" i="2" a="1"/>
  <c r="AA445" i="2" s="1"/>
  <c r="AB445" i="2" a="1"/>
  <c r="AB445" i="2" s="1"/>
  <c r="AA460" i="2" a="1"/>
  <c r="AA460" i="2" s="1"/>
  <c r="AD460" i="2" a="1"/>
  <c r="AD460" i="2" s="1"/>
  <c r="AE460" i="2" a="1"/>
  <c r="AE460" i="2" s="1"/>
  <c r="X476" i="2" a="1"/>
  <c r="X476" i="2" s="1"/>
  <c r="AI476" i="2" s="1"/>
  <c r="AC473" i="2" a="1"/>
  <c r="AC473" i="2" s="1"/>
  <c r="AC471" i="2" a="1"/>
  <c r="AC471" i="2" s="1"/>
  <c r="AE470" i="2" a="1"/>
  <c r="AE470" i="2" s="1"/>
  <c r="AB468" i="2" a="1"/>
  <c r="AB468" i="2" s="1"/>
  <c r="AF466" i="2" a="1"/>
  <c r="AF466" i="2" s="1"/>
  <c r="AJ465" i="2" a="1"/>
  <c r="AJ465" i="2" s="1"/>
  <c r="AK465" i="2" s="1" a="1"/>
  <c r="AK465" i="2" s="1"/>
  <c r="X465" i="2" a="1"/>
  <c r="X465" i="2" s="1"/>
  <c r="AA464" i="2" a="1"/>
  <c r="AA464" i="2" s="1"/>
  <c r="AC463" i="2" a="1"/>
  <c r="AC463" i="2" s="1"/>
  <c r="AJ461" i="2" a="1"/>
  <c r="AJ461" i="2" s="1"/>
  <c r="AK461" i="2" s="1" a="1"/>
  <c r="AK461" i="2" s="1"/>
  <c r="X460" i="2" a="1"/>
  <c r="X460" i="2" s="1"/>
  <c r="W459" i="2" a="1"/>
  <c r="W459" i="2" s="1"/>
  <c r="AH456" i="2" a="1"/>
  <c r="AH456" i="2" s="1"/>
  <c r="AF455" i="2" a="1"/>
  <c r="AF455" i="2" s="1"/>
  <c r="X454" i="2" a="1"/>
  <c r="X454" i="2" s="1"/>
  <c r="AE416" i="2" a="1"/>
  <c r="AE416" i="2" s="1"/>
  <c r="W339" i="2" a="1"/>
  <c r="W339" i="2" s="1"/>
  <c r="AH339" i="2" a="1"/>
  <c r="AH339" i="2" s="1"/>
  <c r="X339" i="2" a="1"/>
  <c r="X339" i="2" s="1"/>
  <c r="AJ339" i="2" a="1"/>
  <c r="AJ339" i="2" s="1"/>
  <c r="AK339" i="2" s="1" a="1"/>
  <c r="AK339" i="2" s="1"/>
  <c r="Y339" i="2" a="1"/>
  <c r="Y339" i="2" s="1"/>
  <c r="Z339" i="2" a="1"/>
  <c r="Z339" i="2" s="1"/>
  <c r="AA339" i="2" a="1"/>
  <c r="AA339" i="2" s="1"/>
  <c r="AB339" i="2" a="1"/>
  <c r="AB339" i="2" s="1"/>
  <c r="AC339" i="2" a="1"/>
  <c r="AC339" i="2" s="1"/>
  <c r="AD339" i="2" a="1"/>
  <c r="AD339" i="2" s="1"/>
  <c r="AI339" i="2" s="1"/>
  <c r="AE339" i="2" a="1"/>
  <c r="AE339" i="2" s="1"/>
  <c r="AF339" i="2" a="1"/>
  <c r="AF339" i="2" s="1"/>
  <c r="AG339" i="2" a="1"/>
  <c r="AG339" i="2" s="1"/>
  <c r="AA368" i="2" a="1"/>
  <c r="AA368" i="2" s="1"/>
  <c r="AG368" i="2" a="1"/>
  <c r="AG368" i="2" s="1"/>
  <c r="AJ368" i="2" a="1"/>
  <c r="AJ368" i="2" s="1"/>
  <c r="AK368" i="2" s="1" a="1"/>
  <c r="AK368" i="2" s="1"/>
  <c r="AF368" i="2" a="1"/>
  <c r="AF368" i="2" s="1"/>
  <c r="AH368" i="2" a="1"/>
  <c r="AH368" i="2" s="1"/>
  <c r="W368" i="2" a="1"/>
  <c r="W368" i="2" s="1"/>
  <c r="X368" i="2" a="1"/>
  <c r="X368" i="2" s="1"/>
  <c r="Y368" i="2" a="1"/>
  <c r="Y368" i="2" s="1"/>
  <c r="Z368" i="2" a="1"/>
  <c r="Z368" i="2" s="1"/>
  <c r="AB368" i="2" a="1"/>
  <c r="AB368" i="2" s="1"/>
  <c r="AC368" i="2" a="1"/>
  <c r="AC368" i="2" s="1"/>
  <c r="AD368" i="2" a="1"/>
  <c r="AD368" i="2" s="1"/>
  <c r="AE368" i="2" a="1"/>
  <c r="AE368" i="2" s="1"/>
  <c r="AF449" i="2" a="1"/>
  <c r="AF449" i="2" s="1"/>
  <c r="W449" i="2" a="1"/>
  <c r="W449" i="2" s="1"/>
  <c r="AG449" i="2" a="1"/>
  <c r="AG449" i="2" s="1"/>
  <c r="X449" i="2" a="1"/>
  <c r="X449" i="2" s="1"/>
  <c r="AH449" i="2" a="1"/>
  <c r="AH449" i="2" s="1"/>
  <c r="Y449" i="2" a="1"/>
  <c r="Y449" i="2" s="1"/>
  <c r="AJ449" i="2" a="1"/>
  <c r="AJ449" i="2" s="1"/>
  <c r="AK449" i="2" s="1" a="1"/>
  <c r="AK449" i="2" s="1"/>
  <c r="Z449" i="2" a="1"/>
  <c r="Z449" i="2" s="1"/>
  <c r="AA449" i="2" a="1"/>
  <c r="AA449" i="2" s="1"/>
  <c r="AB449" i="2" a="1"/>
  <c r="AB449" i="2" s="1"/>
  <c r="AC449" i="2" a="1"/>
  <c r="AC449" i="2" s="1"/>
  <c r="AD449" i="2" a="1"/>
  <c r="AD449" i="2" s="1"/>
  <c r="AJ328" i="2" a="1"/>
  <c r="AJ328" i="2" s="1"/>
  <c r="AK328" i="2" s="1" a="1"/>
  <c r="AK328" i="2" s="1"/>
  <c r="W328" i="2" a="1"/>
  <c r="W328" i="2" s="1"/>
  <c r="X328" i="2" a="1"/>
  <c r="X328" i="2" s="1"/>
  <c r="Y328" i="2" a="1"/>
  <c r="Y328" i="2" s="1"/>
  <c r="Z328" i="2" a="1"/>
  <c r="Z328" i="2" s="1"/>
  <c r="AA328" i="2" a="1"/>
  <c r="AA328" i="2" s="1"/>
  <c r="AB328" i="2" a="1"/>
  <c r="AB328" i="2" s="1"/>
  <c r="AC328" i="2" a="1"/>
  <c r="AC328" i="2" s="1"/>
  <c r="AD328" i="2" a="1"/>
  <c r="AD328" i="2" s="1"/>
  <c r="AE328" i="2" a="1"/>
  <c r="AE328" i="2" s="1"/>
  <c r="AF328" i="2" a="1"/>
  <c r="AF328" i="2" s="1"/>
  <c r="AG328" i="2" a="1"/>
  <c r="AG328" i="2" s="1"/>
  <c r="AH328" i="2" a="1"/>
  <c r="AH328" i="2" s="1"/>
  <c r="AF355" i="2" a="1"/>
  <c r="AF355" i="2" s="1"/>
  <c r="W355" i="2" a="1"/>
  <c r="W355" i="2" s="1"/>
  <c r="AH355" i="2" a="1"/>
  <c r="AH355" i="2" s="1"/>
  <c r="AJ355" i="2" a="1"/>
  <c r="AJ355" i="2" s="1"/>
  <c r="AK355" i="2" s="1" a="1"/>
  <c r="AK355" i="2" s="1"/>
  <c r="X355" i="2" a="1"/>
  <c r="X355" i="2" s="1"/>
  <c r="Y355" i="2" a="1"/>
  <c r="Y355" i="2" s="1"/>
  <c r="Z355" i="2" a="1"/>
  <c r="Z355" i="2" s="1"/>
  <c r="AA355" i="2" a="1"/>
  <c r="AA355" i="2" s="1"/>
  <c r="AB355" i="2" a="1"/>
  <c r="AB355" i="2" s="1"/>
  <c r="AD355" i="2" a="1"/>
  <c r="AD355" i="2" s="1"/>
  <c r="AE355" i="2" a="1"/>
  <c r="AE355" i="2" s="1"/>
  <c r="AG355" i="2" a="1"/>
  <c r="AG355" i="2" s="1"/>
  <c r="AC355" i="2" a="1"/>
  <c r="AC355" i="2" s="1"/>
  <c r="Z396" i="2" a="1"/>
  <c r="Z396" i="2" s="1"/>
  <c r="AB396" i="2" a="1"/>
  <c r="AB396" i="2" s="1"/>
  <c r="AC396" i="2" a="1"/>
  <c r="AC396" i="2" s="1"/>
  <c r="AD396" i="2" a="1"/>
  <c r="AD396" i="2" s="1"/>
  <c r="AE396" i="2" a="1"/>
  <c r="AE396" i="2" s="1"/>
  <c r="AF396" i="2" a="1"/>
  <c r="AF396" i="2" s="1"/>
  <c r="AG396" i="2" a="1"/>
  <c r="AG396" i="2" s="1"/>
  <c r="AH396" i="2" a="1"/>
  <c r="AH396" i="2" s="1"/>
  <c r="W396" i="2" a="1"/>
  <c r="W396" i="2" s="1"/>
  <c r="AJ396" i="2" a="1"/>
  <c r="AJ396" i="2" s="1"/>
  <c r="AK396" i="2" s="1" a="1"/>
  <c r="AK396" i="2" s="1"/>
  <c r="X396" i="2" a="1"/>
  <c r="X396" i="2" s="1"/>
  <c r="Y396" i="2" a="1"/>
  <c r="Y396" i="2" s="1"/>
  <c r="AA396" i="2" a="1"/>
  <c r="AA396" i="2" s="1"/>
  <c r="Y409" i="2" a="1"/>
  <c r="Y409" i="2" s="1"/>
  <c r="AA409" i="2" a="1"/>
  <c r="AA409" i="2" s="1"/>
  <c r="AC409" i="2" a="1"/>
  <c r="AC409" i="2" s="1"/>
  <c r="AI409" i="2" s="1"/>
  <c r="AD409" i="2" a="1"/>
  <c r="AD409" i="2" s="1"/>
  <c r="AE409" i="2" a="1"/>
  <c r="AE409" i="2" s="1"/>
  <c r="AF409" i="2" a="1"/>
  <c r="AF409" i="2" s="1"/>
  <c r="W409" i="2" a="1"/>
  <c r="W409" i="2" s="1"/>
  <c r="AG409" i="2" a="1"/>
  <c r="AG409" i="2" s="1"/>
  <c r="Z409" i="2" a="1"/>
  <c r="Z409" i="2" s="1"/>
  <c r="AB409" i="2" a="1"/>
  <c r="AB409" i="2" s="1"/>
  <c r="AH409" i="2" a="1"/>
  <c r="AH409" i="2" s="1"/>
  <c r="AJ409" i="2" a="1"/>
  <c r="AJ409" i="2" s="1"/>
  <c r="AK409" i="2" s="1" a="1"/>
  <c r="AK409" i="2" s="1"/>
  <c r="AC423" i="2" a="1"/>
  <c r="AC423" i="2" s="1"/>
  <c r="W423" i="2" a="1"/>
  <c r="W423" i="2" s="1"/>
  <c r="AJ423" i="2" a="1"/>
  <c r="AJ423" i="2" s="1"/>
  <c r="AK423" i="2" s="1" a="1"/>
  <c r="AK423" i="2" s="1"/>
  <c r="X423" i="2" a="1"/>
  <c r="X423" i="2" s="1"/>
  <c r="Y423" i="2" a="1"/>
  <c r="Y423" i="2" s="1"/>
  <c r="Z423" i="2" a="1"/>
  <c r="Z423" i="2" s="1"/>
  <c r="AA423" i="2" a="1"/>
  <c r="AA423" i="2" s="1"/>
  <c r="AB423" i="2" a="1"/>
  <c r="AB423" i="2" s="1"/>
  <c r="AD423" i="2" a="1"/>
  <c r="AD423" i="2" s="1"/>
  <c r="AE423" i="2" a="1"/>
  <c r="AE423" i="2" s="1"/>
  <c r="AF423" i="2" a="1"/>
  <c r="AF423" i="2" s="1"/>
  <c r="AG423" i="2" a="1"/>
  <c r="AG423" i="2" s="1"/>
  <c r="AH423" i="2" a="1"/>
  <c r="AH423" i="2" s="1"/>
  <c r="Z436" i="2" a="1"/>
  <c r="Z436" i="2" s="1"/>
  <c r="AA436" i="2" a="1"/>
  <c r="AA436" i="2" s="1"/>
  <c r="AB436" i="2" a="1"/>
  <c r="AB436" i="2" s="1"/>
  <c r="AI436" i="2" s="1"/>
  <c r="AC436" i="2" a="1"/>
  <c r="AC436" i="2" s="1"/>
  <c r="AE436" i="2" a="1"/>
  <c r="AE436" i="2" s="1"/>
  <c r="AF436" i="2" a="1"/>
  <c r="AF436" i="2" s="1"/>
  <c r="AG436" i="2" a="1"/>
  <c r="AG436" i="2" s="1"/>
  <c r="W436" i="2" a="1"/>
  <c r="W436" i="2" s="1"/>
  <c r="X436" i="2" a="1"/>
  <c r="X436" i="2" s="1"/>
  <c r="AH436" i="2" a="1"/>
  <c r="AH436" i="2" s="1"/>
  <c r="Y436" i="2" a="1"/>
  <c r="Y436" i="2" s="1"/>
  <c r="AJ436" i="2" a="1"/>
  <c r="AJ436" i="2" s="1"/>
  <c r="AK436" i="2" s="1" a="1"/>
  <c r="AK436" i="2" s="1"/>
  <c r="X451" i="2" a="1"/>
  <c r="X451" i="2" s="1"/>
  <c r="AH451" i="2" a="1"/>
  <c r="AH451" i="2" s="1"/>
  <c r="Z451" i="2" a="1"/>
  <c r="Z451" i="2" s="1"/>
  <c r="AA451" i="2" a="1"/>
  <c r="AA451" i="2" s="1"/>
  <c r="AC451" i="2" a="1"/>
  <c r="AC451" i="2" s="1"/>
  <c r="AD451" i="2" a="1"/>
  <c r="AD451" i="2" s="1"/>
  <c r="AF451" i="2" a="1"/>
  <c r="AF451" i="2" s="1"/>
  <c r="X472" i="2" a="1"/>
  <c r="X472" i="2" s="1"/>
  <c r="AI472" i="2" s="1"/>
  <c r="Z468" i="2" a="1"/>
  <c r="Z468" i="2" s="1"/>
  <c r="AD467" i="2" a="1"/>
  <c r="AD467" i="2" s="1"/>
  <c r="AE466" i="2" a="1"/>
  <c r="AE466" i="2" s="1"/>
  <c r="Z464" i="2" a="1"/>
  <c r="Z464" i="2" s="1"/>
  <c r="AJ460" i="2" a="1"/>
  <c r="AJ460" i="2" s="1"/>
  <c r="AK460" i="2" s="1" a="1"/>
  <c r="AK460" i="2" s="1"/>
  <c r="W460" i="2" a="1"/>
  <c r="W460" i="2" s="1"/>
  <c r="AJ458" i="2" a="1"/>
  <c r="AJ458" i="2" s="1"/>
  <c r="AK458" i="2" s="1" a="1"/>
  <c r="AK458" i="2" s="1"/>
  <c r="AE455" i="2" a="1"/>
  <c r="AE455" i="2" s="1"/>
  <c r="AE451" i="2" a="1"/>
  <c r="AE451" i="2" s="1"/>
  <c r="AD442" i="2" a="1"/>
  <c r="AD442" i="2" s="1"/>
  <c r="W437" i="2" a="1"/>
  <c r="W437" i="2" s="1"/>
  <c r="W416" i="2" a="1"/>
  <c r="W416" i="2" s="1"/>
  <c r="AB342" i="2" a="1"/>
  <c r="AB342" i="2" s="1"/>
  <c r="AC342" i="2" a="1"/>
  <c r="AC342" i="2" s="1"/>
  <c r="AD342" i="2" a="1"/>
  <c r="AD342" i="2" s="1"/>
  <c r="AE342" i="2" a="1"/>
  <c r="AE342" i="2" s="1"/>
  <c r="AF342" i="2" a="1"/>
  <c r="AF342" i="2" s="1"/>
  <c r="AG342" i="2" a="1"/>
  <c r="AG342" i="2" s="1"/>
  <c r="AH342" i="2" a="1"/>
  <c r="AH342" i="2" s="1"/>
  <c r="W342" i="2" a="1"/>
  <c r="W342" i="2" s="1"/>
  <c r="AJ342" i="2" a="1"/>
  <c r="AJ342" i="2" s="1"/>
  <c r="AK342" i="2" s="1" a="1"/>
  <c r="AK342" i="2" s="1"/>
  <c r="X342" i="2" a="1"/>
  <c r="X342" i="2" s="1"/>
  <c r="Y342" i="2" a="1"/>
  <c r="Y342" i="2" s="1"/>
  <c r="Z342" i="2" a="1"/>
  <c r="Z342" i="2" s="1"/>
  <c r="AA342" i="2" a="1"/>
  <c r="AA342" i="2" s="1"/>
  <c r="AF370" i="2" a="1"/>
  <c r="AF370" i="2" s="1"/>
  <c r="Y370" i="2" a="1"/>
  <c r="Y370" i="2" s="1"/>
  <c r="AA370" i="2" a="1"/>
  <c r="AA370" i="2" s="1"/>
  <c r="AG370" i="2" a="1"/>
  <c r="AG370" i="2" s="1"/>
  <c r="AH370" i="2" a="1"/>
  <c r="AH370" i="2" s="1"/>
  <c r="AJ370" i="2" a="1"/>
  <c r="AJ370" i="2" s="1"/>
  <c r="AK370" i="2" s="1" a="1"/>
  <c r="AK370" i="2" s="1"/>
  <c r="W370" i="2" a="1"/>
  <c r="W370" i="2" s="1"/>
  <c r="X370" i="2" a="1"/>
  <c r="X370" i="2" s="1"/>
  <c r="Z370" i="2" a="1"/>
  <c r="Z370" i="2" s="1"/>
  <c r="AB370" i="2" a="1"/>
  <c r="AB370" i="2" s="1"/>
  <c r="AC370" i="2" a="1"/>
  <c r="AC370" i="2" s="1"/>
  <c r="AD370" i="2" a="1"/>
  <c r="AD370" i="2" s="1"/>
  <c r="AE370" i="2" a="1"/>
  <c r="AE370" i="2" s="1"/>
  <c r="X397" i="2" a="1"/>
  <c r="X397" i="2" s="1"/>
  <c r="AH397" i="2" a="1"/>
  <c r="AH397" i="2" s="1"/>
  <c r="Z397" i="2" a="1"/>
  <c r="Z397" i="2" s="1"/>
  <c r="AA397" i="2" a="1"/>
  <c r="AA397" i="2" s="1"/>
  <c r="AB397" i="2" a="1"/>
  <c r="AB397" i="2" s="1"/>
  <c r="AC397" i="2" a="1"/>
  <c r="AC397" i="2" s="1"/>
  <c r="AD397" i="2" a="1"/>
  <c r="AD397" i="2" s="1"/>
  <c r="AE397" i="2" a="1"/>
  <c r="AE397" i="2" s="1"/>
  <c r="Y397" i="2" a="1"/>
  <c r="Y397" i="2" s="1"/>
  <c r="AF397" i="2" a="1"/>
  <c r="AF397" i="2" s="1"/>
  <c r="AG397" i="2" a="1"/>
  <c r="AG397" i="2" s="1"/>
  <c r="AJ397" i="2" a="1"/>
  <c r="AJ397" i="2" s="1"/>
  <c r="AK397" i="2" s="1" a="1"/>
  <c r="AK397" i="2" s="1"/>
  <c r="AB424" i="2" a="1"/>
  <c r="AB424" i="2" s="1"/>
  <c r="AG424" i="2" a="1"/>
  <c r="AG424" i="2" s="1"/>
  <c r="Y424" i="2" a="1"/>
  <c r="Y424" i="2" s="1"/>
  <c r="Z424" i="2" a="1"/>
  <c r="Z424" i="2" s="1"/>
  <c r="AA424" i="2" a="1"/>
  <c r="AA424" i="2" s="1"/>
  <c r="AC424" i="2" a="1"/>
  <c r="AC424" i="2" s="1"/>
  <c r="AD424" i="2" a="1"/>
  <c r="AD424" i="2" s="1"/>
  <c r="AE424" i="2" a="1"/>
  <c r="AE424" i="2" s="1"/>
  <c r="AF424" i="2" a="1"/>
  <c r="AF424" i="2" s="1"/>
  <c r="AH424" i="2" a="1"/>
  <c r="AH424" i="2" s="1"/>
  <c r="W424" i="2" a="1"/>
  <c r="W424" i="2" s="1"/>
  <c r="AC452" i="2" a="1"/>
  <c r="AC452" i="2" s="1"/>
  <c r="AE452" i="2" a="1"/>
  <c r="AE452" i="2" s="1"/>
  <c r="X452" i="2" a="1"/>
  <c r="X452" i="2" s="1"/>
  <c r="AG452" i="2" a="1"/>
  <c r="AG452" i="2" s="1"/>
  <c r="Y452" i="2" a="1"/>
  <c r="Y452" i="2" s="1"/>
  <c r="AH452" i="2" a="1"/>
  <c r="AH452" i="2" s="1"/>
  <c r="AA452" i="2" a="1"/>
  <c r="AA452" i="2" s="1"/>
  <c r="Z357" i="2" a="1"/>
  <c r="Z357" i="2" s="1"/>
  <c r="AB357" i="2" a="1"/>
  <c r="AB357" i="2" s="1"/>
  <c r="AC357" i="2" a="1"/>
  <c r="AC357" i="2" s="1"/>
  <c r="AG357" i="2" a="1"/>
  <c r="AG357" i="2" s="1"/>
  <c r="W357" i="2" a="1"/>
  <c r="W357" i="2" s="1"/>
  <c r="AH357" i="2" a="1"/>
  <c r="AH357" i="2" s="1"/>
  <c r="AJ357" i="2" a="1"/>
  <c r="AJ357" i="2" s="1"/>
  <c r="AK357" i="2" s="1" a="1"/>
  <c r="AK357" i="2" s="1"/>
  <c r="X357" i="2" a="1"/>
  <c r="X357" i="2" s="1"/>
  <c r="Y357" i="2" a="1"/>
  <c r="Y357" i="2" s="1"/>
  <c r="AA357" i="2" a="1"/>
  <c r="AA357" i="2" s="1"/>
  <c r="AD357" i="2" a="1"/>
  <c r="AD357" i="2" s="1"/>
  <c r="AE357" i="2" a="1"/>
  <c r="AE357" i="2" s="1"/>
  <c r="AF357" i="2" a="1"/>
  <c r="AF357" i="2" s="1"/>
  <c r="W371" i="2" a="1"/>
  <c r="W371" i="2" s="1"/>
  <c r="AF371" i="2" a="1"/>
  <c r="AF371" i="2" s="1"/>
  <c r="X371" i="2" a="1"/>
  <c r="X371" i="2" s="1"/>
  <c r="AG371" i="2" a="1"/>
  <c r="AG371" i="2" s="1"/>
  <c r="AE371" i="2" a="1"/>
  <c r="AE371" i="2" s="1"/>
  <c r="AH371" i="2" a="1"/>
  <c r="AH371" i="2" s="1"/>
  <c r="AJ371" i="2" a="1"/>
  <c r="AJ371" i="2" s="1"/>
  <c r="AK371" i="2" s="1" a="1"/>
  <c r="AK371" i="2" s="1"/>
  <c r="Y371" i="2" a="1"/>
  <c r="Y371" i="2" s="1"/>
  <c r="Z371" i="2" a="1"/>
  <c r="Z371" i="2" s="1"/>
  <c r="AA371" i="2" a="1"/>
  <c r="AA371" i="2" s="1"/>
  <c r="AB371" i="2" a="1"/>
  <c r="AB371" i="2" s="1"/>
  <c r="AC371" i="2" a="1"/>
  <c r="AC371" i="2" s="1"/>
  <c r="AD371" i="2" a="1"/>
  <c r="AD371" i="2" s="1"/>
  <c r="W411" i="2" a="1"/>
  <c r="W411" i="2" s="1"/>
  <c r="AH411" i="2" a="1"/>
  <c r="AH411" i="2" s="1"/>
  <c r="X411" i="2" a="1"/>
  <c r="X411" i="2" s="1"/>
  <c r="AI411" i="2" s="1"/>
  <c r="Y411" i="2" a="1"/>
  <c r="Y411" i="2" s="1"/>
  <c r="AA411" i="2" a="1"/>
  <c r="AA411" i="2" s="1"/>
  <c r="AB411" i="2" a="1"/>
  <c r="AB411" i="2" s="1"/>
  <c r="AC411" i="2" a="1"/>
  <c r="AC411" i="2" s="1"/>
  <c r="AD411" i="2" a="1"/>
  <c r="AD411" i="2" s="1"/>
  <c r="AE411" i="2" a="1"/>
  <c r="AE411" i="2" s="1"/>
  <c r="AF411" i="2" a="1"/>
  <c r="AF411" i="2" s="1"/>
  <c r="Z411" i="2" a="1"/>
  <c r="Z411" i="2" s="1"/>
  <c r="AG411" i="2" a="1"/>
  <c r="AG411" i="2" s="1"/>
  <c r="AJ411" i="2" a="1"/>
  <c r="AJ411" i="2" s="1"/>
  <c r="AK411" i="2" s="1" a="1"/>
  <c r="AK411" i="2" s="1"/>
  <c r="AB438" i="2" a="1"/>
  <c r="AB438" i="2" s="1"/>
  <c r="AC438" i="2" a="1"/>
  <c r="AC438" i="2" s="1"/>
  <c r="AD438" i="2" a="1"/>
  <c r="AD438" i="2" s="1"/>
  <c r="AF438" i="2" a="1"/>
  <c r="AF438" i="2" s="1"/>
  <c r="W438" i="2" a="1"/>
  <c r="W438" i="2" s="1"/>
  <c r="AG438" i="2" a="1"/>
  <c r="AG438" i="2" s="1"/>
  <c r="X438" i="2" a="1"/>
  <c r="X438" i="2" s="1"/>
  <c r="AH438" i="2" a="1"/>
  <c r="AH438" i="2" s="1"/>
  <c r="Y438" i="2" a="1"/>
  <c r="Y438" i="2" s="1"/>
  <c r="Z438" i="2" a="1"/>
  <c r="Z438" i="2" s="1"/>
  <c r="AJ438" i="2" a="1"/>
  <c r="AJ438" i="2" s="1"/>
  <c r="AK438" i="2" s="1" a="1"/>
  <c r="AK438" i="2" s="1"/>
  <c r="AA438" i="2" a="1"/>
  <c r="AA438" i="2" s="1"/>
  <c r="X453" i="2" a="1"/>
  <c r="X453" i="2" s="1"/>
  <c r="AH453" i="2" a="1"/>
  <c r="AH453" i="2" s="1"/>
  <c r="AJ453" i="2" a="1"/>
  <c r="AJ453" i="2" s="1"/>
  <c r="AK453" i="2" s="1" a="1"/>
  <c r="AK453" i="2" s="1"/>
  <c r="Z453" i="2" a="1"/>
  <c r="Z453" i="2" s="1"/>
  <c r="AA453" i="2" a="1"/>
  <c r="AA453" i="2" s="1"/>
  <c r="AC453" i="2" a="1"/>
  <c r="AC453" i="2" s="1"/>
  <c r="AD453" i="2" a="1"/>
  <c r="AD453" i="2" s="1"/>
  <c r="AE453" i="2" a="1"/>
  <c r="AE453" i="2" s="1"/>
  <c r="W469" i="2" a="1"/>
  <c r="W469" i="2" s="1"/>
  <c r="AI469" i="2" s="1"/>
  <c r="AG469" i="2" a="1"/>
  <c r="AG469" i="2" s="1"/>
  <c r="AH358" i="2" a="1"/>
  <c r="AH358" i="2" s="1"/>
  <c r="X358" i="2" a="1"/>
  <c r="X358" i="2" s="1"/>
  <c r="Z358" i="2" a="1"/>
  <c r="Z358" i="2" s="1"/>
  <c r="AB358" i="2" a="1"/>
  <c r="AB358" i="2" s="1"/>
  <c r="AD358" i="2" a="1"/>
  <c r="AD358" i="2" s="1"/>
  <c r="W358" i="2" a="1"/>
  <c r="W358" i="2" s="1"/>
  <c r="Y358" i="2" a="1"/>
  <c r="Y358" i="2" s="1"/>
  <c r="AA358" i="2" a="1"/>
  <c r="AA358" i="2" s="1"/>
  <c r="AC358" i="2" a="1"/>
  <c r="AC358" i="2" s="1"/>
  <c r="AE358" i="2" a="1"/>
  <c r="AE358" i="2" s="1"/>
  <c r="AF358" i="2" a="1"/>
  <c r="AF358" i="2" s="1"/>
  <c r="AG358" i="2" a="1"/>
  <c r="AG358" i="2" s="1"/>
  <c r="AJ358" i="2" a="1"/>
  <c r="AJ358" i="2" s="1"/>
  <c r="AK358" i="2" s="1" a="1"/>
  <c r="AK358" i="2" s="1"/>
  <c r="AJ386" i="2" a="1"/>
  <c r="AJ386" i="2" s="1"/>
  <c r="AK386" i="2" s="1" a="1"/>
  <c r="AK386" i="2" s="1"/>
  <c r="AA386" i="2" a="1"/>
  <c r="AA386" i="2" s="1"/>
  <c r="AB386" i="2" a="1"/>
  <c r="AB386" i="2" s="1"/>
  <c r="AC386" i="2" a="1"/>
  <c r="AC386" i="2" s="1"/>
  <c r="AD386" i="2" a="1"/>
  <c r="AD386" i="2" s="1"/>
  <c r="AE386" i="2" a="1"/>
  <c r="AE386" i="2" s="1"/>
  <c r="AF386" i="2" a="1"/>
  <c r="AF386" i="2" s="1"/>
  <c r="AG386" i="2" a="1"/>
  <c r="AG386" i="2" s="1"/>
  <c r="AH386" i="2" a="1"/>
  <c r="AH386" i="2" s="1"/>
  <c r="W386" i="2" a="1"/>
  <c r="W386" i="2" s="1"/>
  <c r="X386" i="2" a="1"/>
  <c r="X386" i="2" s="1"/>
  <c r="Y386" i="2" a="1"/>
  <c r="Y386" i="2" s="1"/>
  <c r="Z386" i="2" a="1"/>
  <c r="Z386" i="2" s="1"/>
  <c r="W412" i="2" a="1"/>
  <c r="W412" i="2" s="1"/>
  <c r="AA412" i="2" a="1"/>
  <c r="AA412" i="2" s="1"/>
  <c r="AB412" i="2" a="1"/>
  <c r="AB412" i="2" s="1"/>
  <c r="AC412" i="2" a="1"/>
  <c r="AC412" i="2" s="1"/>
  <c r="Z412" i="2" a="1"/>
  <c r="Z412" i="2" s="1"/>
  <c r="AD412" i="2" a="1"/>
  <c r="AD412" i="2" s="1"/>
  <c r="AE412" i="2" a="1"/>
  <c r="AE412" i="2" s="1"/>
  <c r="AF412" i="2" a="1"/>
  <c r="AF412" i="2" s="1"/>
  <c r="AG412" i="2" a="1"/>
  <c r="AG412" i="2" s="1"/>
  <c r="AJ412" i="2" a="1"/>
  <c r="AJ412" i="2" s="1"/>
  <c r="AK412" i="2" s="1" a="1"/>
  <c r="AK412" i="2" s="1"/>
  <c r="X412" i="2" a="1"/>
  <c r="X412" i="2" s="1"/>
  <c r="AJ439" i="2" a="1"/>
  <c r="AJ439" i="2" s="1"/>
  <c r="AK439" i="2" s="1" a="1"/>
  <c r="AK439" i="2" s="1"/>
  <c r="Y439" i="2" a="1"/>
  <c r="Y439" i="2" s="1"/>
  <c r="Z439" i="2" a="1"/>
  <c r="Z439" i="2" s="1"/>
  <c r="AA439" i="2" a="1"/>
  <c r="AA439" i="2" s="1"/>
  <c r="AB439" i="2" a="1"/>
  <c r="AB439" i="2" s="1"/>
  <c r="AC439" i="2" a="1"/>
  <c r="AC439" i="2" s="1"/>
  <c r="AD439" i="2" a="1"/>
  <c r="AD439" i="2" s="1"/>
  <c r="AE439" i="2" a="1"/>
  <c r="AE439" i="2" s="1"/>
  <c r="AF439" i="2" a="1"/>
  <c r="AF439" i="2" s="1"/>
  <c r="W439" i="2" a="1"/>
  <c r="W439" i="2" s="1"/>
  <c r="AG439" i="2" a="1"/>
  <c r="AG439" i="2" s="1"/>
  <c r="AH439" i="2" a="1"/>
  <c r="AH439" i="2" s="1"/>
  <c r="AD464" i="2" a="1"/>
  <c r="AD464" i="2" s="1"/>
  <c r="AB364" i="2" a="1"/>
  <c r="AB364" i="2" s="1"/>
  <c r="AG364" i="2" a="1"/>
  <c r="AG364" i="2" s="1"/>
  <c r="X364" i="2" a="1"/>
  <c r="X364" i="2" s="1"/>
  <c r="AH364" i="2" a="1"/>
  <c r="AH364" i="2" s="1"/>
  <c r="Y364" i="2" a="1"/>
  <c r="Y364" i="2" s="1"/>
  <c r="Z364" i="2" a="1"/>
  <c r="Z364" i="2" s="1"/>
  <c r="AA364" i="2" a="1"/>
  <c r="AA364" i="2" s="1"/>
  <c r="AC364" i="2" a="1"/>
  <c r="AC364" i="2" s="1"/>
  <c r="AD364" i="2" a="1"/>
  <c r="AD364" i="2" s="1"/>
  <c r="AE364" i="2" a="1"/>
  <c r="AE364" i="2" s="1"/>
  <c r="AF364" i="2" a="1"/>
  <c r="AF364" i="2" s="1"/>
  <c r="AJ364" i="2" a="1"/>
  <c r="AJ364" i="2" s="1"/>
  <c r="AK364" i="2" s="1" a="1"/>
  <c r="AK364" i="2" s="1"/>
  <c r="W364" i="2" a="1"/>
  <c r="W364" i="2" s="1"/>
  <c r="W392" i="2" a="1"/>
  <c r="W392" i="2" s="1"/>
  <c r="AH392" i="2" a="1"/>
  <c r="AH392" i="2" s="1"/>
  <c r="X392" i="2" a="1"/>
  <c r="X392" i="2" s="1"/>
  <c r="Z392" i="2" a="1"/>
  <c r="Z392" i="2" s="1"/>
  <c r="AA392" i="2" a="1"/>
  <c r="AA392" i="2" s="1"/>
  <c r="AB392" i="2" a="1"/>
  <c r="AB392" i="2" s="1"/>
  <c r="AC392" i="2" a="1"/>
  <c r="AC392" i="2" s="1"/>
  <c r="AD392" i="2" a="1"/>
  <c r="AD392" i="2" s="1"/>
  <c r="AE392" i="2" a="1"/>
  <c r="AE392" i="2" s="1"/>
  <c r="AF392" i="2" a="1"/>
  <c r="AF392" i="2" s="1"/>
  <c r="Y392" i="2" a="1"/>
  <c r="Y392" i="2" s="1"/>
  <c r="AJ392" i="2" a="1"/>
  <c r="AJ392" i="2" s="1"/>
  <c r="AK392" i="2" s="1" a="1"/>
  <c r="AK392" i="2" s="1"/>
  <c r="X405" i="2" a="1"/>
  <c r="X405" i="2" s="1"/>
  <c r="AH405" i="2" a="1"/>
  <c r="AH405" i="2" s="1"/>
  <c r="Z405" i="2" a="1"/>
  <c r="Z405" i="2" s="1"/>
  <c r="AB405" i="2" a="1"/>
  <c r="AB405" i="2" s="1"/>
  <c r="AC405" i="2" a="1"/>
  <c r="AC405" i="2" s="1"/>
  <c r="AD405" i="2" a="1"/>
  <c r="AD405" i="2" s="1"/>
  <c r="AE405" i="2" a="1"/>
  <c r="AE405" i="2" s="1"/>
  <c r="AJ405" i="2" a="1"/>
  <c r="AJ405" i="2" s="1"/>
  <c r="AK405" i="2" s="1" a="1"/>
  <c r="AK405" i="2" s="1"/>
  <c r="W405" i="2" a="1"/>
  <c r="W405" i="2" s="1"/>
  <c r="Y405" i="2" a="1"/>
  <c r="Y405" i="2" s="1"/>
  <c r="AA405" i="2" a="1"/>
  <c r="AA405" i="2" s="1"/>
  <c r="AF405" i="2" a="1"/>
  <c r="AF405" i="2" s="1"/>
  <c r="Z418" i="2" a="1"/>
  <c r="Z418" i="2" s="1"/>
  <c r="AF418" i="2" a="1"/>
  <c r="AF418" i="2" s="1"/>
  <c r="Y418" i="2" a="1"/>
  <c r="Y418" i="2" s="1"/>
  <c r="AA418" i="2" a="1"/>
  <c r="AA418" i="2" s="1"/>
  <c r="AB418" i="2" a="1"/>
  <c r="AB418" i="2" s="1"/>
  <c r="AD418" i="2" a="1"/>
  <c r="AD418" i="2" s="1"/>
  <c r="AE418" i="2" a="1"/>
  <c r="AE418" i="2" s="1"/>
  <c r="AG418" i="2" a="1"/>
  <c r="AG418" i="2" s="1"/>
  <c r="W418" i="2" a="1"/>
  <c r="W418" i="2" s="1"/>
  <c r="AH418" i="2" a="1"/>
  <c r="AH418" i="2" s="1"/>
  <c r="AJ418" i="2" a="1"/>
  <c r="AJ418" i="2" s="1"/>
  <c r="AK418" i="2" s="1" a="1"/>
  <c r="AK418" i="2" s="1"/>
  <c r="Y431" i="2" a="1"/>
  <c r="Y431" i="2" s="1"/>
  <c r="AJ431" i="2" a="1"/>
  <c r="AJ431" i="2" s="1"/>
  <c r="AK431" i="2" s="1" a="1"/>
  <c r="AK431" i="2" s="1"/>
  <c r="Z431" i="2" a="1"/>
  <c r="Z431" i="2" s="1"/>
  <c r="AA431" i="2" a="1"/>
  <c r="AA431" i="2" s="1"/>
  <c r="AB431" i="2" a="1"/>
  <c r="AB431" i="2" s="1"/>
  <c r="AC431" i="2" a="1"/>
  <c r="AC431" i="2" s="1"/>
  <c r="AD431" i="2" a="1"/>
  <c r="AD431" i="2" s="1"/>
  <c r="AE431" i="2" a="1"/>
  <c r="AE431" i="2" s="1"/>
  <c r="AF431" i="2" a="1"/>
  <c r="AF431" i="2" s="1"/>
  <c r="W431" i="2" a="1"/>
  <c r="W431" i="2" s="1"/>
  <c r="AG431" i="2" a="1"/>
  <c r="AG431" i="2" s="1"/>
  <c r="AG461" i="2" a="1"/>
  <c r="AG461" i="2" s="1"/>
  <c r="AA461" i="2" a="1"/>
  <c r="AA461" i="2" s="1"/>
  <c r="AB461" i="2" a="1"/>
  <c r="AB461" i="2" s="1"/>
  <c r="AG472" i="2" a="1"/>
  <c r="AG472" i="2" s="1"/>
  <c r="AJ469" i="2" a="1"/>
  <c r="AJ469" i="2" s="1"/>
  <c r="AK469" i="2" s="1" a="1"/>
  <c r="AK469" i="2" s="1"/>
  <c r="AA324" i="2" a="1"/>
  <c r="AA324" i="2" s="1"/>
  <c r="AB324" i="2" a="1"/>
  <c r="AB324" i="2" s="1"/>
  <c r="AC324" i="2" a="1"/>
  <c r="AC324" i="2" s="1"/>
  <c r="AD324" i="2" a="1"/>
  <c r="AD324" i="2" s="1"/>
  <c r="AE324" i="2" a="1"/>
  <c r="AE324" i="2" s="1"/>
  <c r="AF324" i="2" a="1"/>
  <c r="AF324" i="2" s="1"/>
  <c r="AG324" i="2" a="1"/>
  <c r="AG324" i="2" s="1"/>
  <c r="AH324" i="2" a="1"/>
  <c r="AH324" i="2" s="1"/>
  <c r="AJ324" i="2" a="1"/>
  <c r="AJ324" i="2" s="1"/>
  <c r="AK324" i="2" s="1" a="1"/>
  <c r="AK324" i="2" s="1"/>
  <c r="W324" i="2" a="1"/>
  <c r="W324" i="2" s="1"/>
  <c r="X324" i="2" a="1"/>
  <c r="X324" i="2" s="1"/>
  <c r="Y324" i="2" a="1"/>
  <c r="Y324" i="2" s="1"/>
  <c r="Z324" i="2" a="1"/>
  <c r="Z324" i="2" s="1"/>
  <c r="Z365" i="2" a="1"/>
  <c r="Z365" i="2" s="1"/>
  <c r="AE365" i="2" a="1"/>
  <c r="AE365" i="2" s="1"/>
  <c r="AC365" i="2" a="1"/>
  <c r="AC365" i="2" s="1"/>
  <c r="AD365" i="2" a="1"/>
  <c r="AD365" i="2" s="1"/>
  <c r="AF365" i="2" a="1"/>
  <c r="AF365" i="2" s="1"/>
  <c r="AG365" i="2" a="1"/>
  <c r="AG365" i="2" s="1"/>
  <c r="AH365" i="2" a="1"/>
  <c r="AH365" i="2" s="1"/>
  <c r="AJ365" i="2" a="1"/>
  <c r="AJ365" i="2" s="1"/>
  <c r="AK365" i="2" s="1" a="1"/>
  <c r="AK365" i="2" s="1"/>
  <c r="W365" i="2" a="1"/>
  <c r="W365" i="2" s="1"/>
  <c r="X365" i="2" a="1"/>
  <c r="X365" i="2" s="1"/>
  <c r="Y365" i="2" a="1"/>
  <c r="Y365" i="2" s="1"/>
  <c r="AA365" i="2" a="1"/>
  <c r="AA365" i="2" s="1"/>
  <c r="AB365" i="2" a="1"/>
  <c r="AB365" i="2" s="1"/>
  <c r="AF406" i="2" a="1"/>
  <c r="AF406" i="2" s="1"/>
  <c r="AH406" i="2" a="1"/>
  <c r="AH406" i="2" s="1"/>
  <c r="X406" i="2" a="1"/>
  <c r="X406" i="2" s="1"/>
  <c r="AJ406" i="2" a="1"/>
  <c r="AJ406" i="2" s="1"/>
  <c r="AK406" i="2" s="1" a="1"/>
  <c r="AK406" i="2" s="1"/>
  <c r="Y406" i="2" a="1"/>
  <c r="Y406" i="2" s="1"/>
  <c r="Z406" i="2" a="1"/>
  <c r="Z406" i="2" s="1"/>
  <c r="AA406" i="2" a="1"/>
  <c r="AA406" i="2" s="1"/>
  <c r="AB406" i="2" a="1"/>
  <c r="AB406" i="2" s="1"/>
  <c r="AC406" i="2" a="1"/>
  <c r="AC406" i="2" s="1"/>
  <c r="AD406" i="2" a="1"/>
  <c r="AD406" i="2" s="1"/>
  <c r="W406" i="2" a="1"/>
  <c r="W406" i="2" s="1"/>
  <c r="AE406" i="2" a="1"/>
  <c r="AE406" i="2" s="1"/>
  <c r="AG406" i="2" a="1"/>
  <c r="AG406" i="2" s="1"/>
  <c r="AE432" i="2" a="1"/>
  <c r="AE432" i="2" s="1"/>
  <c r="AF432" i="2" a="1"/>
  <c r="AF432" i="2" s="1"/>
  <c r="W432" i="2" a="1"/>
  <c r="W432" i="2" s="1"/>
  <c r="AG432" i="2" a="1"/>
  <c r="AG432" i="2" s="1"/>
  <c r="X432" i="2" a="1"/>
  <c r="X432" i="2" s="1"/>
  <c r="AH432" i="2" a="1"/>
  <c r="AH432" i="2" s="1"/>
  <c r="Z432" i="2" a="1"/>
  <c r="Z432" i="2" s="1"/>
  <c r="AA432" i="2" a="1"/>
  <c r="AA432" i="2" s="1"/>
  <c r="AB432" i="2" a="1"/>
  <c r="AB432" i="2" s="1"/>
  <c r="AC432" i="2" a="1"/>
  <c r="AC432" i="2" s="1"/>
  <c r="AB462" i="2" a="1"/>
  <c r="AB462" i="2" s="1"/>
  <c r="W462" i="2" a="1"/>
  <c r="W462" i="2" s="1"/>
  <c r="AF462" i="2" a="1"/>
  <c r="AF462" i="2" s="1"/>
  <c r="AF476" i="2" a="1"/>
  <c r="AF476" i="2" s="1"/>
  <c r="AB473" i="2" a="1"/>
  <c r="AB473" i="2" s="1"/>
  <c r="AB471" i="2" a="1"/>
  <c r="AB471" i="2" s="1"/>
  <c r="AD470" i="2" a="1"/>
  <c r="AD470" i="2" s="1"/>
  <c r="AH469" i="2" a="1"/>
  <c r="AH469" i="2" s="1"/>
  <c r="AH465" i="2" a="1"/>
  <c r="AH465" i="2" s="1"/>
  <c r="W465" i="2" a="1"/>
  <c r="W465" i="2" s="1"/>
  <c r="AB463" i="2" a="1"/>
  <c r="AB463" i="2" s="1"/>
  <c r="AE462" i="2" a="1"/>
  <c r="AE462" i="2" s="1"/>
  <c r="AH461" i="2" a="1"/>
  <c r="AH461" i="2" s="1"/>
  <c r="AH460" i="2" a="1"/>
  <c r="AH460" i="2" s="1"/>
  <c r="AH458" i="2" a="1"/>
  <c r="AH458" i="2" s="1"/>
  <c r="AD455" i="2" a="1"/>
  <c r="AD455" i="2" s="1"/>
  <c r="AB451" i="2" a="1"/>
  <c r="AB451" i="2" s="1"/>
  <c r="AF447" i="2" a="1"/>
  <c r="AF447" i="2" s="1"/>
  <c r="AD436" i="2" a="1"/>
  <c r="AD436" i="2" s="1"/>
  <c r="AB415" i="2" a="1"/>
  <c r="AB415" i="2" s="1"/>
  <c r="AG392" i="2" a="1"/>
  <c r="AG392" i="2" s="1"/>
  <c r="AJ468" i="2" a="1"/>
  <c r="AJ468" i="2" s="1"/>
  <c r="AK468" i="2" s="1" a="1"/>
  <c r="AK468" i="2" s="1"/>
  <c r="Y468" i="2" a="1"/>
  <c r="Y468" i="2" s="1"/>
  <c r="AC467" i="2" a="1"/>
  <c r="AC467" i="2" s="1"/>
  <c r="AD466" i="2" a="1"/>
  <c r="AD466" i="2" s="1"/>
  <c r="Y464" i="2" a="1"/>
  <c r="Y464" i="2" s="1"/>
  <c r="AD462" i="2" a="1"/>
  <c r="AD462" i="2" s="1"/>
  <c r="AH459" i="2" a="1"/>
  <c r="AH459" i="2" s="1"/>
  <c r="AJ457" i="2" a="1"/>
  <c r="AJ457" i="2" s="1"/>
  <c r="AK457" i="2" s="1" a="1"/>
  <c r="AK457" i="2" s="1"/>
  <c r="AF456" i="2" a="1"/>
  <c r="AF456" i="2" s="1"/>
  <c r="AB455" i="2" a="1"/>
  <c r="AB455" i="2" s="1"/>
  <c r="AG453" i="2" a="1"/>
  <c r="AG453" i="2" s="1"/>
  <c r="Y451" i="2" a="1"/>
  <c r="Y451" i="2" s="1"/>
  <c r="AJ441" i="2" a="1"/>
  <c r="AJ441" i="2" s="1"/>
  <c r="AK441" i="2" s="1" a="1"/>
  <c r="AK441" i="2" s="1"/>
  <c r="Z430" i="2" a="1"/>
  <c r="Z430" i="2" s="1"/>
  <c r="AF453" i="2" a="1"/>
  <c r="AF453" i="2" s="1"/>
  <c r="W451" i="2" a="1"/>
  <c r="W451" i="2" s="1"/>
  <c r="AI451" i="2" s="1"/>
  <c r="AC422" i="2" a="1"/>
  <c r="AC422" i="2" s="1"/>
  <c r="Y414" i="2" a="1"/>
  <c r="Y414" i="2" s="1"/>
  <c r="Y388" i="2" a="1"/>
  <c r="Y388" i="2" s="1"/>
  <c r="AH468" i="2" a="1"/>
  <c r="AH468" i="2" s="1"/>
  <c r="X468" i="2" a="1"/>
  <c r="X468" i="2" s="1"/>
  <c r="AB467" i="2" a="1"/>
  <c r="AB467" i="2" s="1"/>
  <c r="AH464" i="2" a="1"/>
  <c r="AH464" i="2" s="1"/>
  <c r="Y463" i="2" a="1"/>
  <c r="Y463" i="2" s="1"/>
  <c r="AC462" i="2" a="1"/>
  <c r="AC462" i="2" s="1"/>
  <c r="AF461" i="2" a="1"/>
  <c r="AF461" i="2" s="1"/>
  <c r="AF459" i="2" a="1"/>
  <c r="AF459" i="2" s="1"/>
  <c r="AF458" i="2" a="1"/>
  <c r="AF458" i="2" s="1"/>
  <c r="AE457" i="2" a="1"/>
  <c r="AE457" i="2" s="1"/>
  <c r="Z455" i="2" a="1"/>
  <c r="Z455" i="2" s="1"/>
  <c r="AB453" i="2" a="1"/>
  <c r="AB453" i="2" s="1"/>
  <c r="Y441" i="2" a="1"/>
  <c r="Y441" i="2" s="1"/>
  <c r="AF469" i="2" a="1"/>
  <c r="AF469" i="2" s="1"/>
  <c r="AH327" i="2" a="1"/>
  <c r="AH327" i="2" s="1"/>
  <c r="AJ327" i="2" a="1"/>
  <c r="AJ327" i="2" s="1"/>
  <c r="AK327" i="2" s="1" a="1"/>
  <c r="AK327" i="2" s="1"/>
  <c r="W327" i="2" a="1"/>
  <c r="W327" i="2" s="1"/>
  <c r="X327" i="2" a="1"/>
  <c r="X327" i="2" s="1"/>
  <c r="Y327" i="2" a="1"/>
  <c r="Y327" i="2" s="1"/>
  <c r="Z327" i="2" a="1"/>
  <c r="Z327" i="2" s="1"/>
  <c r="AA327" i="2" a="1"/>
  <c r="AA327" i="2" s="1"/>
  <c r="AB327" i="2" a="1"/>
  <c r="AB327" i="2" s="1"/>
  <c r="AC327" i="2" a="1"/>
  <c r="AC327" i="2" s="1"/>
  <c r="AD327" i="2" a="1"/>
  <c r="AD327" i="2" s="1"/>
  <c r="AE327" i="2" a="1"/>
  <c r="AE327" i="2" s="1"/>
  <c r="AF327" i="2" a="1"/>
  <c r="AF327" i="2" s="1"/>
  <c r="AG327" i="2" a="1"/>
  <c r="AG327" i="2" s="1"/>
  <c r="AE340" i="2" a="1"/>
  <c r="AE340" i="2" s="1"/>
  <c r="AF340" i="2" a="1"/>
  <c r="AF340" i="2" s="1"/>
  <c r="W340" i="2" a="1"/>
  <c r="W340" i="2" s="1"/>
  <c r="AG340" i="2" a="1"/>
  <c r="AG340" i="2" s="1"/>
  <c r="AH340" i="2" a="1"/>
  <c r="AH340" i="2" s="1"/>
  <c r="X340" i="2" a="1"/>
  <c r="X340" i="2" s="1"/>
  <c r="AJ340" i="2" a="1"/>
  <c r="AJ340" i="2" s="1"/>
  <c r="AK340" i="2" s="1" a="1"/>
  <c r="AK340" i="2" s="1"/>
  <c r="Y340" i="2" a="1"/>
  <c r="Y340" i="2" s="1"/>
  <c r="Z340" i="2" a="1"/>
  <c r="Z340" i="2" s="1"/>
  <c r="AA340" i="2" a="1"/>
  <c r="AA340" i="2" s="1"/>
  <c r="AB340" i="2" a="1"/>
  <c r="AB340" i="2" s="1"/>
  <c r="AC340" i="2" a="1"/>
  <c r="AC340" i="2" s="1"/>
  <c r="AD340" i="2" a="1"/>
  <c r="AD340" i="2" s="1"/>
  <c r="Y354" i="2" a="1"/>
  <c r="Y354" i="2" s="1"/>
  <c r="AJ354" i="2" a="1"/>
  <c r="AJ354" i="2" s="1"/>
  <c r="AK354" i="2" s="1" a="1"/>
  <c r="AK354" i="2" s="1"/>
  <c r="Z354" i="2" a="1"/>
  <c r="Z354" i="2" s="1"/>
  <c r="AA354" i="2" a="1"/>
  <c r="AA354" i="2" s="1"/>
  <c r="AB354" i="2" a="1"/>
  <c r="AB354" i="2" s="1"/>
  <c r="AC354" i="2" a="1"/>
  <c r="AC354" i="2" s="1"/>
  <c r="AD354" i="2" a="1"/>
  <c r="AD354" i="2" s="1"/>
  <c r="AE354" i="2" a="1"/>
  <c r="AE354" i="2" s="1"/>
  <c r="AF354" i="2" a="1"/>
  <c r="AF354" i="2" s="1"/>
  <c r="AG354" i="2" a="1"/>
  <c r="AG354" i="2" s="1"/>
  <c r="W354" i="2" a="1"/>
  <c r="W354" i="2" s="1"/>
  <c r="X354" i="2" a="1"/>
  <c r="X354" i="2" s="1"/>
  <c r="AH354" i="2" a="1"/>
  <c r="AH354" i="2" s="1"/>
  <c r="Z383" i="2" a="1"/>
  <c r="Z383" i="2" s="1"/>
  <c r="AJ383" i="2" a="1"/>
  <c r="AJ383" i="2" s="1"/>
  <c r="AK383" i="2" s="1" a="1"/>
  <c r="AK383" i="2" s="1"/>
  <c r="AB383" i="2" a="1"/>
  <c r="AB383" i="2" s="1"/>
  <c r="AC383" i="2" a="1"/>
  <c r="AC383" i="2" s="1"/>
  <c r="AD383" i="2" a="1"/>
  <c r="AD383" i="2" s="1"/>
  <c r="AI383" i="2" s="1"/>
  <c r="AE383" i="2" a="1"/>
  <c r="AE383" i="2" s="1"/>
  <c r="W383" i="2" a="1"/>
  <c r="W383" i="2" s="1"/>
  <c r="AF383" i="2" a="1"/>
  <c r="AF383" i="2" s="1"/>
  <c r="X383" i="2" a="1"/>
  <c r="X383" i="2" s="1"/>
  <c r="Y383" i="2" a="1"/>
  <c r="Y383" i="2" s="1"/>
  <c r="AA383" i="2" a="1"/>
  <c r="AA383" i="2" s="1"/>
  <c r="AG383" i="2" a="1"/>
  <c r="AG383" i="2" s="1"/>
  <c r="AH383" i="2" a="1"/>
  <c r="AH383" i="2" s="1"/>
  <c r="Y422" i="2" a="1"/>
  <c r="Y422" i="2" s="1"/>
  <c r="X422" i="2" a="1"/>
  <c r="X422" i="2" s="1"/>
  <c r="Z422" i="2" a="1"/>
  <c r="Z422" i="2" s="1"/>
  <c r="AA422" i="2" a="1"/>
  <c r="AA422" i="2" s="1"/>
  <c r="AB422" i="2" a="1"/>
  <c r="AB422" i="2" s="1"/>
  <c r="AD422" i="2" a="1"/>
  <c r="AD422" i="2" s="1"/>
  <c r="AE422" i="2" a="1"/>
  <c r="AE422" i="2" s="1"/>
  <c r="AF422" i="2" a="1"/>
  <c r="AF422" i="2" s="1"/>
  <c r="AG422" i="2" a="1"/>
  <c r="AG422" i="2" s="1"/>
  <c r="AH422" i="2" a="1"/>
  <c r="AH422" i="2" s="1"/>
  <c r="AJ422" i="2" a="1"/>
  <c r="AJ422" i="2" s="1"/>
  <c r="AK422" i="2" s="1" a="1"/>
  <c r="AK422" i="2" s="1"/>
  <c r="AD435" i="2" a="1"/>
  <c r="AD435" i="2" s="1"/>
  <c r="AE435" i="2" a="1"/>
  <c r="AE435" i="2" s="1"/>
  <c r="W435" i="2" a="1"/>
  <c r="W435" i="2" s="1"/>
  <c r="AF435" i="2" a="1"/>
  <c r="AF435" i="2" s="1"/>
  <c r="AG435" i="2" a="1"/>
  <c r="AG435" i="2" s="1"/>
  <c r="Y435" i="2" a="1"/>
  <c r="Y435" i="2" s="1"/>
  <c r="AH435" i="2" a="1"/>
  <c r="AH435" i="2" s="1"/>
  <c r="AJ435" i="2" a="1"/>
  <c r="AJ435" i="2" s="1"/>
  <c r="AK435" i="2" s="1" a="1"/>
  <c r="AK435" i="2" s="1"/>
  <c r="Z435" i="2" a="1"/>
  <c r="Z435" i="2" s="1"/>
  <c r="AA435" i="2" a="1"/>
  <c r="AA435" i="2" s="1"/>
  <c r="AB435" i="2" a="1"/>
  <c r="AB435" i="2" s="1"/>
  <c r="AC435" i="2" a="1"/>
  <c r="AC435" i="2" s="1"/>
  <c r="AA450" i="2" a="1"/>
  <c r="AA450" i="2" s="1"/>
  <c r="AC450" i="2" a="1"/>
  <c r="AC450" i="2" s="1"/>
  <c r="AE450" i="2" a="1"/>
  <c r="AE450" i="2" s="1"/>
  <c r="AF450" i="2" a="1"/>
  <c r="AF450" i="2" s="1"/>
  <c r="W450" i="2" a="1"/>
  <c r="W450" i="2" s="1"/>
  <c r="AG450" i="2" a="1"/>
  <c r="AG450" i="2" s="1"/>
  <c r="X450" i="2" a="1"/>
  <c r="X450" i="2" s="1"/>
  <c r="Z450" i="2" a="1"/>
  <c r="Z450" i="2" s="1"/>
  <c r="AJ450" i="2" a="1"/>
  <c r="AJ450" i="2" s="1"/>
  <c r="AK450" i="2" s="1" a="1"/>
  <c r="AK450" i="2" s="1"/>
  <c r="Z466" i="2" a="1"/>
  <c r="Z466" i="2" s="1"/>
  <c r="AJ466" i="2" a="1"/>
  <c r="AJ466" i="2" s="1"/>
  <c r="AK466" i="2" s="1" a="1"/>
  <c r="AK466" i="2" s="1"/>
  <c r="AJ473" i="2" a="1"/>
  <c r="AJ473" i="2" s="1"/>
  <c r="AK473" i="2" s="1" a="1"/>
  <c r="AK473" i="2" s="1"/>
  <c r="Z473" i="2" a="1"/>
  <c r="Z473" i="2" s="1"/>
  <c r="AF465" i="2" a="1"/>
  <c r="AF465" i="2" s="1"/>
  <c r="X463" i="2" a="1"/>
  <c r="X463" i="2" s="1"/>
  <c r="AF460" i="2" a="1"/>
  <c r="AF460" i="2" s="1"/>
  <c r="AE458" i="2" a="1"/>
  <c r="AE458" i="2" s="1"/>
  <c r="AD457" i="2" a="1"/>
  <c r="AD457" i="2" s="1"/>
  <c r="Y455" i="2" a="1"/>
  <c r="Y455" i="2" s="1"/>
  <c r="Y453" i="2" a="1"/>
  <c r="Y453" i="2" s="1"/>
  <c r="AD450" i="2" a="1"/>
  <c r="AD450" i="2" s="1"/>
  <c r="AG440" i="2" a="1"/>
  <c r="AG440" i="2" s="1"/>
  <c r="X435" i="2" a="1"/>
  <c r="X435" i="2" s="1"/>
  <c r="AH412" i="2" a="1"/>
  <c r="AH412" i="2" s="1"/>
  <c r="AB382" i="2" a="1"/>
  <c r="AB382" i="2" s="1"/>
  <c r="AC337" i="2" a="1"/>
  <c r="AC337" i="2" s="1"/>
  <c r="AD337" i="2" a="1"/>
  <c r="AD337" i="2" s="1"/>
  <c r="AE337" i="2" a="1"/>
  <c r="AE337" i="2" s="1"/>
  <c r="AF337" i="2" a="1"/>
  <c r="AF337" i="2" s="1"/>
  <c r="AG337" i="2" a="1"/>
  <c r="AG337" i="2" s="1"/>
  <c r="W337" i="2" a="1"/>
  <c r="W337" i="2" s="1"/>
  <c r="X337" i="2" a="1"/>
  <c r="X337" i="2" s="1"/>
  <c r="AH337" i="2" a="1"/>
  <c r="AH337" i="2" s="1"/>
  <c r="Y337" i="2" a="1"/>
  <c r="Y337" i="2" s="1"/>
  <c r="AJ337" i="2" a="1"/>
  <c r="AJ337" i="2" s="1"/>
  <c r="AK337" i="2" s="1" a="1"/>
  <c r="AK337" i="2" s="1"/>
  <c r="Z337" i="2" a="1"/>
  <c r="Z337" i="2" s="1"/>
  <c r="AA337" i="2" a="1"/>
  <c r="AA337" i="2" s="1"/>
  <c r="AB337" i="2" a="1"/>
  <c r="AB337" i="2" s="1"/>
  <c r="X366" i="2" a="1"/>
  <c r="X366" i="2" s="1"/>
  <c r="Z366" i="2" a="1"/>
  <c r="Z366" i="2" s="1"/>
  <c r="AB366" i="2" a="1"/>
  <c r="AB366" i="2" s="1"/>
  <c r="AD366" i="2" a="1"/>
  <c r="AD366" i="2" s="1"/>
  <c r="AE366" i="2" a="1"/>
  <c r="AE366" i="2" s="1"/>
  <c r="AF366" i="2" a="1"/>
  <c r="AF366" i="2" s="1"/>
  <c r="AG366" i="2" a="1"/>
  <c r="AG366" i="2" s="1"/>
  <c r="AH366" i="2" a="1"/>
  <c r="AH366" i="2" s="1"/>
  <c r="AJ366" i="2" a="1"/>
  <c r="AJ366" i="2" s="1"/>
  <c r="AK366" i="2" s="1" a="1"/>
  <c r="AK366" i="2" s="1"/>
  <c r="W366" i="2" a="1"/>
  <c r="W366" i="2" s="1"/>
  <c r="Y366" i="2" a="1"/>
  <c r="Y366" i="2" s="1"/>
  <c r="AA366" i="2" a="1"/>
  <c r="AA366" i="2" s="1"/>
  <c r="AC366" i="2" a="1"/>
  <c r="AC366" i="2" s="1"/>
  <c r="AA380" i="2" a="1"/>
  <c r="AA380" i="2" s="1"/>
  <c r="AB380" i="2" a="1"/>
  <c r="AB380" i="2" s="1"/>
  <c r="X380" i="2" a="1"/>
  <c r="X380" i="2" s="1"/>
  <c r="Y380" i="2" a="1"/>
  <c r="Y380" i="2" s="1"/>
  <c r="Z380" i="2" a="1"/>
  <c r="Z380" i="2" s="1"/>
  <c r="AC380" i="2" a="1"/>
  <c r="AC380" i="2" s="1"/>
  <c r="AD380" i="2" a="1"/>
  <c r="AD380" i="2" s="1"/>
  <c r="AE380" i="2" a="1"/>
  <c r="AE380" i="2" s="1"/>
  <c r="AF380" i="2" a="1"/>
  <c r="AF380" i="2" s="1"/>
  <c r="AG380" i="2" a="1"/>
  <c r="AG380" i="2" s="1"/>
  <c r="AH380" i="2" a="1"/>
  <c r="AH380" i="2" s="1"/>
  <c r="W380" i="2" a="1"/>
  <c r="W380" i="2" s="1"/>
  <c r="AJ380" i="2" a="1"/>
  <c r="AJ380" i="2" s="1"/>
  <c r="AK380" i="2" s="1" a="1"/>
  <c r="AK380" i="2" s="1"/>
  <c r="AB407" i="2" a="1"/>
  <c r="AB407" i="2" s="1"/>
  <c r="AC407" i="2" a="1"/>
  <c r="AC407" i="2" s="1"/>
  <c r="AD407" i="2" a="1"/>
  <c r="AD407" i="2" s="1"/>
  <c r="AE407" i="2" a="1"/>
  <c r="AE407" i="2" s="1"/>
  <c r="AG407" i="2" a="1"/>
  <c r="AG407" i="2" s="1"/>
  <c r="W407" i="2" a="1"/>
  <c r="W407" i="2" s="1"/>
  <c r="AH407" i="2" a="1"/>
  <c r="AH407" i="2" s="1"/>
  <c r="X407" i="2" a="1"/>
  <c r="X407" i="2" s="1"/>
  <c r="AJ407" i="2" a="1"/>
  <c r="AJ407" i="2" s="1"/>
  <c r="AK407" i="2" s="1" a="1"/>
  <c r="AK407" i="2" s="1"/>
  <c r="Y407" i="2" a="1"/>
  <c r="Y407" i="2" s="1"/>
  <c r="Z407" i="2" a="1"/>
  <c r="Z407" i="2" s="1"/>
  <c r="AF407" i="2" a="1"/>
  <c r="AF407" i="2" s="1"/>
  <c r="AH419" i="2" a="1"/>
  <c r="AH419" i="2" s="1"/>
  <c r="AB419" i="2" a="1"/>
  <c r="AB419" i="2" s="1"/>
  <c r="AJ419" i="2" a="1"/>
  <c r="AJ419" i="2" s="1"/>
  <c r="AK419" i="2" s="1" a="1"/>
  <c r="AK419" i="2" s="1"/>
  <c r="W419" i="2" a="1"/>
  <c r="W419" i="2" s="1"/>
  <c r="X419" i="2" a="1"/>
  <c r="X419" i="2" s="1"/>
  <c r="Y419" i="2" a="1"/>
  <c r="Y419" i="2" s="1"/>
  <c r="Z419" i="2" a="1"/>
  <c r="Z419" i="2" s="1"/>
  <c r="AA419" i="2" a="1"/>
  <c r="AA419" i="2" s="1"/>
  <c r="AC419" i="2" a="1"/>
  <c r="AC419" i="2" s="1"/>
  <c r="AD419" i="2" a="1"/>
  <c r="AD419" i="2" s="1"/>
  <c r="AE419" i="2" a="1"/>
  <c r="AE419" i="2" s="1"/>
  <c r="AF419" i="2" a="1"/>
  <c r="AF419" i="2" s="1"/>
  <c r="AG419" i="2" a="1"/>
  <c r="AG419" i="2" s="1"/>
  <c r="AC447" i="2" a="1"/>
  <c r="AC447" i="2" s="1"/>
  <c r="AD447" i="2" a="1"/>
  <c r="AD447" i="2" s="1"/>
  <c r="AE447" i="2" a="1"/>
  <c r="AE447" i="2" s="1"/>
  <c r="W447" i="2" a="1"/>
  <c r="W447" i="2" s="1"/>
  <c r="AG447" i="2" a="1"/>
  <c r="AG447" i="2" s="1"/>
  <c r="AH447" i="2" a="1"/>
  <c r="AH447" i="2" s="1"/>
  <c r="X447" i="2" a="1"/>
  <c r="X447" i="2" s="1"/>
  <c r="AJ447" i="2" a="1"/>
  <c r="AJ447" i="2" s="1"/>
  <c r="AK447" i="2" s="1" a="1"/>
  <c r="AK447" i="2" s="1"/>
  <c r="Y447" i="2" a="1"/>
  <c r="Y447" i="2" s="1"/>
  <c r="Z447" i="2" a="1"/>
  <c r="Z447" i="2" s="1"/>
  <c r="AA447" i="2" a="1"/>
  <c r="AA447" i="2" s="1"/>
  <c r="AG352" i="2" a="1"/>
  <c r="AG352" i="2" s="1"/>
  <c r="AH352" i="2" a="1"/>
  <c r="AH352" i="2" s="1"/>
  <c r="AJ352" i="2" a="1"/>
  <c r="AJ352" i="2" s="1"/>
  <c r="AK352" i="2" s="1" a="1"/>
  <c r="AK352" i="2" s="1"/>
  <c r="W352" i="2" a="1"/>
  <c r="W352" i="2" s="1"/>
  <c r="X352" i="2" a="1"/>
  <c r="X352" i="2" s="1"/>
  <c r="Y352" i="2" a="1"/>
  <c r="Y352" i="2" s="1"/>
  <c r="Z352" i="2" a="1"/>
  <c r="Z352" i="2" s="1"/>
  <c r="AA352" i="2" a="1"/>
  <c r="AA352" i="2" s="1"/>
  <c r="AB352" i="2" a="1"/>
  <c r="AB352" i="2" s="1"/>
  <c r="AC352" i="2" a="1"/>
  <c r="AC352" i="2" s="1"/>
  <c r="AD352" i="2" a="1"/>
  <c r="AD352" i="2" s="1"/>
  <c r="AE352" i="2" a="1"/>
  <c r="AE352" i="2" s="1"/>
  <c r="AF352" i="2" a="1"/>
  <c r="AF352" i="2" s="1"/>
  <c r="AA394" i="2" a="1"/>
  <c r="AA394" i="2" s="1"/>
  <c r="AB394" i="2" a="1"/>
  <c r="AB394" i="2" s="1"/>
  <c r="AD394" i="2" a="1"/>
  <c r="AD394" i="2" s="1"/>
  <c r="AE394" i="2" a="1"/>
  <c r="AE394" i="2" s="1"/>
  <c r="AF394" i="2" a="1"/>
  <c r="AF394" i="2" s="1"/>
  <c r="AG394" i="2" a="1"/>
  <c r="AG394" i="2" s="1"/>
  <c r="AH394" i="2" a="1"/>
  <c r="AH394" i="2" s="1"/>
  <c r="W394" i="2" a="1"/>
  <c r="W394" i="2" s="1"/>
  <c r="AJ394" i="2" a="1"/>
  <c r="AJ394" i="2" s="1"/>
  <c r="AK394" i="2" s="1" a="1"/>
  <c r="AK394" i="2" s="1"/>
  <c r="X394" i="2" a="1"/>
  <c r="X394" i="2" s="1"/>
  <c r="Y394" i="2" a="1"/>
  <c r="Y394" i="2" s="1"/>
  <c r="Z394" i="2" a="1"/>
  <c r="Z394" i="2" s="1"/>
  <c r="AC394" i="2" a="1"/>
  <c r="AC394" i="2" s="1"/>
  <c r="Y448" i="2" a="1"/>
  <c r="Y448" i="2" s="1"/>
  <c r="AH448" i="2" a="1"/>
  <c r="AH448" i="2" s="1"/>
  <c r="AJ448" i="2" a="1"/>
  <c r="AJ448" i="2" s="1"/>
  <c r="AK448" i="2" s="1" a="1"/>
  <c r="AK448" i="2" s="1"/>
  <c r="Z448" i="2" a="1"/>
  <c r="Z448" i="2" s="1"/>
  <c r="AA448" i="2" a="1"/>
  <c r="AA448" i="2" s="1"/>
  <c r="AB448" i="2" a="1"/>
  <c r="AB448" i="2" s="1"/>
  <c r="AC448" i="2" a="1"/>
  <c r="AC448" i="2" s="1"/>
  <c r="AD448" i="2" a="1"/>
  <c r="AD448" i="2" s="1"/>
  <c r="AE448" i="2" a="1"/>
  <c r="AE448" i="2" s="1"/>
  <c r="AF448" i="2" a="1"/>
  <c r="AF448" i="2" s="1"/>
  <c r="W448" i="2" a="1"/>
  <c r="W448" i="2" s="1"/>
  <c r="X448" i="2" a="1"/>
  <c r="X448" i="2" s="1"/>
  <c r="AG448" i="2" a="1"/>
  <c r="AG448" i="2" s="1"/>
  <c r="AE469" i="2" a="1"/>
  <c r="AE469" i="2" s="1"/>
  <c r="AG468" i="2" a="1"/>
  <c r="AG468" i="2" s="1"/>
  <c r="W468" i="2" a="1"/>
  <c r="W468" i="2" s="1"/>
  <c r="AA467" i="2" a="1"/>
  <c r="AA467" i="2" s="1"/>
  <c r="AB466" i="2" a="1"/>
  <c r="AB466" i="2" s="1"/>
  <c r="AF464" i="2" a="1"/>
  <c r="AF464" i="2" s="1"/>
  <c r="AA462" i="2" a="1"/>
  <c r="AA462" i="2" s="1"/>
  <c r="AE461" i="2" a="1"/>
  <c r="AE461" i="2" s="1"/>
  <c r="AC457" i="2" a="1"/>
  <c r="AC457" i="2" s="1"/>
  <c r="X455" i="2" a="1"/>
  <c r="X455" i="2" s="1"/>
  <c r="AB450" i="2" a="1"/>
  <c r="AB450" i="2" s="1"/>
  <c r="AH434" i="2" a="1"/>
  <c r="AH434" i="2" s="1"/>
  <c r="AE428" i="2" a="1"/>
  <c r="AE428" i="2" s="1"/>
  <c r="W421" i="2" a="1"/>
  <c r="W421" i="2" s="1"/>
  <c r="Y412" i="2" a="1"/>
  <c r="Y412" i="2" s="1"/>
  <c r="AE377" i="2" a="1"/>
  <c r="AE377" i="2" s="1"/>
  <c r="AD469" i="2" a="1"/>
  <c r="AD469" i="2" s="1"/>
  <c r="Z467" i="2" a="1"/>
  <c r="Z467" i="2" s="1"/>
  <c r="AE465" i="2" a="1"/>
  <c r="AE465" i="2" s="1"/>
  <c r="AI465" i="2" s="1"/>
  <c r="AE464" i="2" a="1"/>
  <c r="AE464" i="2" s="1"/>
  <c r="AJ463" i="2" a="1"/>
  <c r="AJ463" i="2" s="1"/>
  <c r="AK463" i="2" s="1" a="1"/>
  <c r="AK463" i="2" s="1"/>
  <c r="W463" i="2" a="1"/>
  <c r="W463" i="2" s="1"/>
  <c r="AD461" i="2" a="1"/>
  <c r="AD461" i="2" s="1"/>
  <c r="AC460" i="2" a="1"/>
  <c r="AC460" i="2" s="1"/>
  <c r="AD459" i="2" a="1"/>
  <c r="AD459" i="2" s="1"/>
  <c r="AD458" i="2" a="1"/>
  <c r="AD458" i="2" s="1"/>
  <c r="AB457" i="2" a="1"/>
  <c r="AB457" i="2" s="1"/>
  <c r="W453" i="2" a="1"/>
  <c r="W453" i="2" s="1"/>
  <c r="AG445" i="2" a="1"/>
  <c r="AG445" i="2" s="1"/>
  <c r="X440" i="2" a="1"/>
  <c r="X440" i="2" s="1"/>
  <c r="AB434" i="2" a="1"/>
  <c r="AB434" i="2" s="1"/>
  <c r="Y428" i="2" a="1"/>
  <c r="Y428" i="2" s="1"/>
  <c r="AB420" i="2" a="1"/>
  <c r="AB420" i="2" s="1"/>
  <c r="AG410" i="2" a="1"/>
  <c r="AG410" i="2" s="1"/>
  <c r="AA325" i="2" a="1"/>
  <c r="AA325" i="2" s="1"/>
  <c r="AB325" i="2" a="1"/>
  <c r="AB325" i="2" s="1"/>
  <c r="AC325" i="2" a="1"/>
  <c r="AC325" i="2" s="1"/>
  <c r="AD325" i="2" a="1"/>
  <c r="AD325" i="2" s="1"/>
  <c r="AE325" i="2" a="1"/>
  <c r="AE325" i="2" s="1"/>
  <c r="AF325" i="2" a="1"/>
  <c r="AF325" i="2" s="1"/>
  <c r="AG325" i="2" a="1"/>
  <c r="AG325" i="2" s="1"/>
  <c r="AH325" i="2" a="1"/>
  <c r="AH325" i="2" s="1"/>
  <c r="W325" i="2" a="1"/>
  <c r="W325" i="2" s="1"/>
  <c r="AJ325" i="2" a="1"/>
  <c r="AJ325" i="2" s="1"/>
  <c r="AK325" i="2" s="1" a="1"/>
  <c r="AK325" i="2" s="1"/>
  <c r="X325" i="2" a="1"/>
  <c r="X325" i="2" s="1"/>
  <c r="Y325" i="2" a="1"/>
  <c r="Y325" i="2" s="1"/>
  <c r="Z325" i="2" a="1"/>
  <c r="Z325" i="2" s="1"/>
  <c r="AI325" i="2" s="1"/>
  <c r="X351" i="2" a="1"/>
  <c r="X351" i="2" s="1"/>
  <c r="AH351" i="2" a="1"/>
  <c r="AH351" i="2" s="1"/>
  <c r="Y351" i="2" a="1"/>
  <c r="Y351" i="2" s="1"/>
  <c r="AJ351" i="2" a="1"/>
  <c r="AJ351" i="2" s="1"/>
  <c r="AK351" i="2" s="1" a="1"/>
  <c r="AK351" i="2" s="1"/>
  <c r="Z351" i="2" a="1"/>
  <c r="Z351" i="2" s="1"/>
  <c r="AA351" i="2" a="1"/>
  <c r="AA351" i="2" s="1"/>
  <c r="AB351" i="2" a="1"/>
  <c r="AB351" i="2" s="1"/>
  <c r="AC351" i="2" a="1"/>
  <c r="AC351" i="2" s="1"/>
  <c r="AD351" i="2" a="1"/>
  <c r="AD351" i="2" s="1"/>
  <c r="AE351" i="2" a="1"/>
  <c r="AE351" i="2" s="1"/>
  <c r="AF351" i="2" a="1"/>
  <c r="AF351" i="2" s="1"/>
  <c r="W351" i="2" a="1"/>
  <c r="W351" i="2" s="1"/>
  <c r="AG351" i="2" a="1"/>
  <c r="AG351" i="2" s="1"/>
  <c r="AD393" i="2" a="1"/>
  <c r="AD393" i="2" s="1"/>
  <c r="AF393" i="2" a="1"/>
  <c r="AF393" i="2" s="1"/>
  <c r="W393" i="2" a="1"/>
  <c r="W393" i="2" s="1"/>
  <c r="AG393" i="2" a="1"/>
  <c r="AG393" i="2" s="1"/>
  <c r="AH393" i="2" a="1"/>
  <c r="AH393" i="2" s="1"/>
  <c r="X393" i="2" a="1"/>
  <c r="X393" i="2" s="1"/>
  <c r="AJ393" i="2" a="1"/>
  <c r="AJ393" i="2" s="1"/>
  <c r="AK393" i="2" s="1" a="1"/>
  <c r="AK393" i="2" s="1"/>
  <c r="Y393" i="2" a="1"/>
  <c r="Y393" i="2" s="1"/>
  <c r="Z393" i="2" a="1"/>
  <c r="Z393" i="2" s="1"/>
  <c r="AA393" i="2" a="1"/>
  <c r="AA393" i="2" s="1"/>
  <c r="AB393" i="2" a="1"/>
  <c r="AB393" i="2" s="1"/>
  <c r="AC393" i="2" a="1"/>
  <c r="AC393" i="2" s="1"/>
  <c r="AE393" i="2" a="1"/>
  <c r="AE393" i="2" s="1"/>
  <c r="AC469" i="2" a="1"/>
  <c r="AC469" i="2" s="1"/>
  <c r="AF468" i="2" a="1"/>
  <c r="AF468" i="2" s="1"/>
  <c r="Y467" i="2" a="1"/>
  <c r="Y467" i="2" s="1"/>
  <c r="AA466" i="2" a="1"/>
  <c r="AA466" i="2" s="1"/>
  <c r="AB465" i="2" a="1"/>
  <c r="AB465" i="2" s="1"/>
  <c r="AH463" i="2" a="1"/>
  <c r="AH463" i="2" s="1"/>
  <c r="Z462" i="2" a="1"/>
  <c r="Z462" i="2" s="1"/>
  <c r="AB458" i="2" a="1"/>
  <c r="AB458" i="2" s="1"/>
  <c r="Y456" i="2" a="1"/>
  <c r="Y456" i="2" s="1"/>
  <c r="AJ452" i="2" a="1"/>
  <c r="AJ452" i="2" s="1"/>
  <c r="AK452" i="2" s="1" a="1"/>
  <c r="AK452" i="2" s="1"/>
  <c r="Y450" i="2" a="1"/>
  <c r="Y450" i="2" s="1"/>
  <c r="AC445" i="2" a="1"/>
  <c r="AC445" i="2" s="1"/>
  <c r="W434" i="2" a="1"/>
  <c r="W434" i="2" s="1"/>
  <c r="AI434" i="2" s="1"/>
  <c r="AG427" i="2" a="1"/>
  <c r="AG427" i="2" s="1"/>
  <c r="X409" i="2" a="1"/>
  <c r="X409" i="2" s="1"/>
  <c r="AB361" i="2" a="1"/>
  <c r="AB361" i="2" s="1"/>
  <c r="AI330" i="2"/>
  <c r="AI477" i="2"/>
  <c r="AI475" i="2"/>
  <c r="AI452" i="2"/>
  <c r="AI467" i="2"/>
  <c r="AI474" i="2"/>
  <c r="AI429" i="2"/>
  <c r="AI376" i="2"/>
  <c r="AI379" i="2"/>
  <c r="R2" i="2"/>
  <c r="AN82" i="2"/>
  <c r="S82" i="2"/>
  <c r="T82" i="2" s="1"/>
  <c r="W82" i="2" s="1" a="1"/>
  <c r="W82" i="2" s="1"/>
  <c r="AN81" i="2"/>
  <c r="S81" i="2"/>
  <c r="T81" i="2" s="1"/>
  <c r="AN161" i="2"/>
  <c r="T161" i="2"/>
  <c r="AN160" i="2"/>
  <c r="T160" i="2"/>
  <c r="AN159" i="2"/>
  <c r="T159" i="2"/>
  <c r="AK159" i="2" s="1" a="1"/>
  <c r="AK159" i="2" s="1"/>
  <c r="AJ159" i="2" s="1"/>
  <c r="AN158" i="2"/>
  <c r="T158" i="2"/>
  <c r="AH158" i="2" s="1" a="1"/>
  <c r="AH158" i="2" s="1"/>
  <c r="AN157" i="2"/>
  <c r="T157" i="2"/>
  <c r="AN156" i="2"/>
  <c r="T156" i="2"/>
  <c r="X156" i="2" s="1" a="1"/>
  <c r="X156" i="2" s="1"/>
  <c r="AN155" i="2"/>
  <c r="T155" i="2"/>
  <c r="AN154" i="2"/>
  <c r="T154" i="2"/>
  <c r="AG154" i="2" s="1" a="1"/>
  <c r="AG154" i="2" s="1"/>
  <c r="AN153" i="2"/>
  <c r="T153" i="2"/>
  <c r="AN152" i="2"/>
  <c r="T152" i="2"/>
  <c r="AD152" i="2" s="1" a="1"/>
  <c r="AD152" i="2" s="1"/>
  <c r="AN151" i="2"/>
  <c r="T151" i="2"/>
  <c r="AH151" i="2" s="1" a="1"/>
  <c r="AH151" i="2" s="1"/>
  <c r="AN150" i="2"/>
  <c r="T150" i="2"/>
  <c r="Z150" i="2" s="1" a="1"/>
  <c r="Z150" i="2" s="1"/>
  <c r="AN149" i="2"/>
  <c r="T149" i="2"/>
  <c r="AH149" i="2" s="1" a="1"/>
  <c r="AH149" i="2" s="1"/>
  <c r="AN148" i="2"/>
  <c r="T148" i="2"/>
  <c r="AH148" i="2" s="1" a="1"/>
  <c r="AH148" i="2" s="1"/>
  <c r="AN147" i="2"/>
  <c r="T147" i="2"/>
  <c r="AC147" i="2" s="1" a="1"/>
  <c r="AC147" i="2" s="1"/>
  <c r="AN146" i="2"/>
  <c r="T146" i="2"/>
  <c r="AD146" i="2" s="1" a="1"/>
  <c r="AD146" i="2" s="1"/>
  <c r="AN145" i="2"/>
  <c r="T145" i="2"/>
  <c r="AN144" i="2"/>
  <c r="T144" i="2"/>
  <c r="AC144" i="2" s="1" a="1"/>
  <c r="AC144" i="2" s="1"/>
  <c r="AN143" i="2"/>
  <c r="T143" i="2"/>
  <c r="X143" i="2" s="1" a="1"/>
  <c r="X143" i="2" s="1"/>
  <c r="AN142" i="2"/>
  <c r="T142" i="2"/>
  <c r="AH142" i="2" s="1" a="1"/>
  <c r="AH142" i="2" s="1"/>
  <c r="AN141" i="2"/>
  <c r="T141" i="2"/>
  <c r="AH141" i="2" s="1" a="1"/>
  <c r="AH141" i="2" s="1"/>
  <c r="AN140" i="2"/>
  <c r="T140" i="2"/>
  <c r="AG140" i="2" s="1" a="1"/>
  <c r="AG140" i="2" s="1"/>
  <c r="AN139" i="2"/>
  <c r="T139" i="2"/>
  <c r="Y139" i="2" s="1" a="1"/>
  <c r="Y139" i="2" s="1"/>
  <c r="AN138" i="2"/>
  <c r="T138" i="2"/>
  <c r="AK138" i="2" s="1" a="1"/>
  <c r="AK138" i="2" s="1"/>
  <c r="AJ138" i="2" s="1"/>
  <c r="AN137" i="2"/>
  <c r="T137" i="2"/>
  <c r="Z137" i="2" s="1" a="1"/>
  <c r="Z137" i="2" s="1"/>
  <c r="AN136" i="2"/>
  <c r="T136" i="2"/>
  <c r="X136" i="2" s="1" a="1"/>
  <c r="X136" i="2" s="1"/>
  <c r="AN135" i="2"/>
  <c r="T135" i="2"/>
  <c r="AB135" i="2" s="1" a="1"/>
  <c r="AB135" i="2" s="1"/>
  <c r="AN134" i="2"/>
  <c r="T134" i="2"/>
  <c r="X134" i="2" s="1" a="1"/>
  <c r="X134" i="2" s="1"/>
  <c r="AN133" i="2"/>
  <c r="T133" i="2"/>
  <c r="AG133" i="2" s="1" a="1"/>
  <c r="AG133" i="2" s="1"/>
  <c r="AN132" i="2"/>
  <c r="T132" i="2"/>
  <c r="AH132" i="2" s="1" a="1"/>
  <c r="AH132" i="2" s="1"/>
  <c r="AN131" i="2"/>
  <c r="T131" i="2"/>
  <c r="Y131" i="2" s="1" a="1"/>
  <c r="Y131" i="2" s="1"/>
  <c r="AN80" i="2"/>
  <c r="S80" i="2"/>
  <c r="T80" i="2" s="1"/>
  <c r="AN79" i="2"/>
  <c r="S79" i="2"/>
  <c r="T79" i="2" s="1"/>
  <c r="AD79" i="2" s="1" a="1"/>
  <c r="AD79" i="2" s="1"/>
  <c r="AN78" i="2"/>
  <c r="S78" i="2"/>
  <c r="T78" i="2" s="1"/>
  <c r="AD78" i="2" s="1" a="1"/>
  <c r="AD78" i="2" s="1"/>
  <c r="AN77" i="2"/>
  <c r="S77" i="2"/>
  <c r="T77" i="2" s="1"/>
  <c r="AB77" i="2" s="1" a="1"/>
  <c r="AB77" i="2" s="1"/>
  <c r="AN76" i="2"/>
  <c r="S76" i="2"/>
  <c r="T76" i="2" s="1"/>
  <c r="AN75" i="2"/>
  <c r="S75" i="2"/>
  <c r="T75" i="2" s="1"/>
  <c r="AH75" i="2" s="1" a="1"/>
  <c r="AH75" i="2" s="1"/>
  <c r="AN74" i="2"/>
  <c r="S74" i="2"/>
  <c r="T74" i="2" s="1"/>
  <c r="AN73" i="2"/>
  <c r="S73" i="2"/>
  <c r="T73" i="2" s="1"/>
  <c r="W73" i="2" s="1" a="1"/>
  <c r="W73" i="2" s="1"/>
  <c r="AN72" i="2"/>
  <c r="S72" i="2"/>
  <c r="T72" i="2" s="1"/>
  <c r="AN71" i="2"/>
  <c r="S71" i="2"/>
  <c r="T71" i="2" s="1"/>
  <c r="AA71" i="2" s="1" a="1"/>
  <c r="AA71" i="2" s="1"/>
  <c r="AN70" i="2"/>
  <c r="S70" i="2"/>
  <c r="T70" i="2" s="1"/>
  <c r="Y70" i="2" s="1" a="1"/>
  <c r="Y70" i="2" s="1"/>
  <c r="AN69" i="2"/>
  <c r="S69" i="2"/>
  <c r="T69" i="2" s="1"/>
  <c r="AH69" i="2" s="1" a="1"/>
  <c r="AH69" i="2" s="1"/>
  <c r="AN68" i="2"/>
  <c r="S68" i="2"/>
  <c r="T68" i="2" s="1"/>
  <c r="AN67" i="2"/>
  <c r="S67" i="2"/>
  <c r="T67" i="2" s="1"/>
  <c r="AD67" i="2" s="1" a="1"/>
  <c r="AD67" i="2" s="1"/>
  <c r="AN66" i="2"/>
  <c r="S66" i="2"/>
  <c r="T66" i="2" s="1"/>
  <c r="AE66" i="2" s="1" a="1"/>
  <c r="AE66" i="2" s="1"/>
  <c r="AN65" i="2"/>
  <c r="S65" i="2"/>
  <c r="T65" i="2" s="1"/>
  <c r="Y65" i="2" s="1" a="1"/>
  <c r="Y65" i="2" s="1"/>
  <c r="AN64" i="2"/>
  <c r="S64" i="2"/>
  <c r="T64" i="2" s="1"/>
  <c r="AN63" i="2"/>
  <c r="S63" i="2"/>
  <c r="T63" i="2" s="1"/>
  <c r="W63" i="2" s="1" a="1"/>
  <c r="W63" i="2" s="1"/>
  <c r="AN62" i="2"/>
  <c r="S62" i="2"/>
  <c r="T62" i="2" s="1"/>
  <c r="AN61" i="2"/>
  <c r="S61" i="2"/>
  <c r="T61" i="2" s="1"/>
  <c r="AN60" i="2"/>
  <c r="S60" i="2"/>
  <c r="T60" i="2" s="1"/>
  <c r="AK60" i="2" s="1" a="1"/>
  <c r="AK60" i="2" s="1"/>
  <c r="AJ60" i="2" s="1"/>
  <c r="AN59" i="2"/>
  <c r="S59" i="2"/>
  <c r="T59" i="2" s="1"/>
  <c r="AA59" i="2" s="1" a="1"/>
  <c r="AA59" i="2" s="1"/>
  <c r="AN58" i="2"/>
  <c r="S58" i="2"/>
  <c r="T58" i="2" s="1"/>
  <c r="AN57" i="2"/>
  <c r="S57" i="2"/>
  <c r="T57" i="2" s="1"/>
  <c r="AA57" i="2" s="1" a="1"/>
  <c r="AA57" i="2" s="1"/>
  <c r="AN56" i="2"/>
  <c r="S56" i="2"/>
  <c r="T56" i="2" s="1"/>
  <c r="AN55" i="2"/>
  <c r="S55" i="2"/>
  <c r="T55" i="2" s="1"/>
  <c r="AN54" i="2"/>
  <c r="S54" i="2"/>
  <c r="T54" i="2" s="1"/>
  <c r="AN53" i="2"/>
  <c r="S53" i="2"/>
  <c r="T53" i="2" s="1"/>
  <c r="AK53" i="2" s="1" a="1"/>
  <c r="AK53" i="2" s="1"/>
  <c r="AJ53" i="2" s="1"/>
  <c r="AN52" i="2"/>
  <c r="S52" i="2"/>
  <c r="T52" i="2" s="1"/>
  <c r="AN51" i="2"/>
  <c r="S51" i="2"/>
  <c r="T51" i="2" s="1"/>
  <c r="Z51" i="2" s="1" a="1"/>
  <c r="Z51" i="2" s="1"/>
  <c r="AN50" i="2"/>
  <c r="S50" i="2"/>
  <c r="T50" i="2" s="1"/>
  <c r="AG50" i="2" s="1" a="1"/>
  <c r="AG50" i="2" s="1"/>
  <c r="AN49" i="2"/>
  <c r="S49" i="2"/>
  <c r="T49" i="2" s="1"/>
  <c r="AN48" i="2"/>
  <c r="S48" i="2"/>
  <c r="T48" i="2" s="1"/>
  <c r="W48" i="2" s="1" a="1"/>
  <c r="W48" i="2" s="1"/>
  <c r="AN47" i="2"/>
  <c r="S47" i="2"/>
  <c r="T47" i="2" s="1"/>
  <c r="AN46" i="2"/>
  <c r="S46" i="2"/>
  <c r="T46" i="2" s="1"/>
  <c r="AK46" i="2" s="1" a="1"/>
  <c r="AK46" i="2" s="1"/>
  <c r="AJ46" i="2" s="1"/>
  <c r="AN45" i="2"/>
  <c r="S45" i="2"/>
  <c r="T45" i="2" s="1"/>
  <c r="AH45" i="2" s="1" a="1"/>
  <c r="AH45" i="2" s="1"/>
  <c r="AN44" i="2"/>
  <c r="S44" i="2"/>
  <c r="T44" i="2" s="1"/>
  <c r="AN43" i="2"/>
  <c r="S43" i="2"/>
  <c r="T43" i="2" s="1"/>
  <c r="AB43" i="2" s="1" a="1"/>
  <c r="AB43" i="2" s="1"/>
  <c r="AN42" i="2"/>
  <c r="S42" i="2"/>
  <c r="T42" i="2" s="1"/>
  <c r="AN41" i="2"/>
  <c r="S41" i="2"/>
  <c r="T41" i="2" s="1"/>
  <c r="AG41" i="2" s="1" a="1"/>
  <c r="AG41" i="2" s="1"/>
  <c r="AN40" i="2"/>
  <c r="S40" i="2"/>
  <c r="T40" i="2" s="1"/>
  <c r="AE40" i="2" s="1" a="1"/>
  <c r="AE40" i="2" s="1"/>
  <c r="AN39" i="2"/>
  <c r="S39" i="2"/>
  <c r="T39" i="2" s="1"/>
  <c r="AN38" i="2"/>
  <c r="S38" i="2"/>
  <c r="T38" i="2" s="1"/>
  <c r="AN37" i="2"/>
  <c r="S37" i="2"/>
  <c r="T37" i="2" s="1"/>
  <c r="AE37" i="2" s="1" a="1"/>
  <c r="AE37" i="2" s="1"/>
  <c r="AN36" i="2"/>
  <c r="S36" i="2"/>
  <c r="T36" i="2" s="1"/>
  <c r="AN35" i="2"/>
  <c r="S35" i="2"/>
  <c r="T35" i="2" s="1"/>
  <c r="AD35" i="2" s="1" a="1"/>
  <c r="AD35" i="2" s="1"/>
  <c r="AN34" i="2"/>
  <c r="S34" i="2"/>
  <c r="T34" i="2" s="1"/>
  <c r="AN33" i="2"/>
  <c r="S33" i="2"/>
  <c r="T33" i="2" s="1"/>
  <c r="AN32" i="2"/>
  <c r="S32" i="2"/>
  <c r="T32" i="2" s="1"/>
  <c r="AE32" i="2" s="1" a="1"/>
  <c r="AE32" i="2" s="1"/>
  <c r="AN31" i="2"/>
  <c r="S31" i="2"/>
  <c r="T31" i="2" s="1"/>
  <c r="AN30" i="2"/>
  <c r="S30" i="2"/>
  <c r="T30" i="2" s="1"/>
  <c r="AH30" i="2" s="1" a="1"/>
  <c r="AH30" i="2" s="1"/>
  <c r="AN29" i="2"/>
  <c r="S29" i="2"/>
  <c r="T29" i="2" s="1"/>
  <c r="AA29" i="2" s="1" a="1"/>
  <c r="AA29" i="2" s="1"/>
  <c r="AN28" i="2"/>
  <c r="S28" i="2"/>
  <c r="T28" i="2" s="1"/>
  <c r="AB28" i="2" s="1" a="1"/>
  <c r="AB28" i="2" s="1"/>
  <c r="AN27" i="2"/>
  <c r="S27" i="2"/>
  <c r="T27" i="2" s="1"/>
  <c r="Y27" i="2" s="1" a="1"/>
  <c r="Y27" i="2" s="1"/>
  <c r="AN26" i="2"/>
  <c r="S26" i="2"/>
  <c r="T26" i="2" s="1"/>
  <c r="AN25" i="2"/>
  <c r="S25" i="2"/>
  <c r="T25" i="2" s="1"/>
  <c r="AE25" i="2" s="1" a="1"/>
  <c r="AE25" i="2" s="1"/>
  <c r="AN24" i="2"/>
  <c r="S24" i="2"/>
  <c r="T24" i="2" s="1"/>
  <c r="AF24" i="2" s="1" a="1"/>
  <c r="AF24" i="2" s="1"/>
  <c r="AN23" i="2"/>
  <c r="S23" i="2"/>
  <c r="T23" i="2" s="1"/>
  <c r="AG23" i="2" s="1" a="1"/>
  <c r="AG23" i="2" s="1"/>
  <c r="AN22" i="2"/>
  <c r="S22" i="2"/>
  <c r="T22" i="2" s="1"/>
  <c r="AN21" i="2"/>
  <c r="S21" i="2"/>
  <c r="T21" i="2" s="1"/>
  <c r="AD21" i="2" s="1" a="1"/>
  <c r="AD21" i="2" s="1"/>
  <c r="AN20" i="2"/>
  <c r="S20" i="2"/>
  <c r="T20" i="2" s="1"/>
  <c r="AN19" i="2"/>
  <c r="S19" i="2"/>
  <c r="T19" i="2" s="1"/>
  <c r="AA19" i="2" s="1" a="1"/>
  <c r="AA19" i="2" s="1"/>
  <c r="AN18" i="2"/>
  <c r="S18" i="2"/>
  <c r="T18" i="2" s="1"/>
  <c r="AK18" i="2" s="1" a="1"/>
  <c r="AK18" i="2" s="1"/>
  <c r="AJ18" i="2" s="1"/>
  <c r="AN17" i="2"/>
  <c r="S17" i="2"/>
  <c r="T17" i="2" s="1"/>
  <c r="AK17" i="2" s="1" a="1"/>
  <c r="AK17" i="2" s="1"/>
  <c r="AJ17" i="2" s="1"/>
  <c r="AN16" i="2"/>
  <c r="S16" i="2"/>
  <c r="T16" i="2" s="1"/>
  <c r="AN15" i="2"/>
  <c r="S15" i="2"/>
  <c r="T15" i="2" s="1"/>
  <c r="AA15" i="2" s="1" a="1"/>
  <c r="AA15" i="2" s="1"/>
  <c r="AN14" i="2"/>
  <c r="S14" i="2"/>
  <c r="T14" i="2" s="1"/>
  <c r="AG14" i="2" s="1" a="1"/>
  <c r="AG14" i="2" s="1"/>
  <c r="AN13" i="2"/>
  <c r="S13" i="2"/>
  <c r="T13" i="2" s="1"/>
  <c r="Z13" i="2" s="1" a="1"/>
  <c r="Z13" i="2" s="1"/>
  <c r="AN12" i="2"/>
  <c r="S12" i="2"/>
  <c r="T12" i="2" s="1"/>
  <c r="AN11" i="2"/>
  <c r="S11" i="2"/>
  <c r="T11" i="2" s="1"/>
  <c r="AK11" i="2" s="1" a="1"/>
  <c r="AK11" i="2" s="1"/>
  <c r="AJ11" i="2" s="1"/>
  <c r="AN10" i="2"/>
  <c r="S10" i="2"/>
  <c r="T10" i="2" s="1"/>
  <c r="AC10" i="2" s="1" a="1"/>
  <c r="AC10" i="2" s="1"/>
  <c r="AN9" i="2"/>
  <c r="S9" i="2"/>
  <c r="T9" i="2" s="1"/>
  <c r="AN8" i="2"/>
  <c r="S8" i="2"/>
  <c r="T8" i="2" s="1"/>
  <c r="AN7" i="2"/>
  <c r="S7" i="2"/>
  <c r="T7" i="2" s="1"/>
  <c r="AN6" i="2"/>
  <c r="S6" i="2"/>
  <c r="T6" i="2" s="1"/>
  <c r="AD6" i="2" s="1" a="1"/>
  <c r="AD6" i="2" s="1"/>
  <c r="AN5" i="2"/>
  <c r="S5" i="2"/>
  <c r="T5" i="2" s="1"/>
  <c r="AG5" i="2" s="1" a="1"/>
  <c r="AG5" i="2" s="1"/>
  <c r="AN4" i="2"/>
  <c r="S4" i="2"/>
  <c r="T4" i="2" s="1"/>
  <c r="AK4" i="2" s="1" a="1"/>
  <c r="AK4" i="2" s="1"/>
  <c r="AJ4" i="2" s="1"/>
  <c r="AN130" i="2"/>
  <c r="S130" i="2"/>
  <c r="T130" i="2" s="1"/>
  <c r="X130" i="2" s="1" a="1"/>
  <c r="X130" i="2" s="1"/>
  <c r="AN129" i="2"/>
  <c r="S129" i="2"/>
  <c r="T129" i="2" s="1"/>
  <c r="AD129" i="2" s="1" a="1"/>
  <c r="AD129" i="2" s="1"/>
  <c r="AN128" i="2"/>
  <c r="S128" i="2"/>
  <c r="T128" i="2" s="1"/>
  <c r="AN127" i="2"/>
  <c r="S127" i="2"/>
  <c r="T127" i="2" s="1"/>
  <c r="AN126" i="2"/>
  <c r="S126" i="2"/>
  <c r="T126" i="2" s="1"/>
  <c r="AN125" i="2"/>
  <c r="S125" i="2"/>
  <c r="T125" i="2" s="1"/>
  <c r="AN124" i="2"/>
  <c r="S124" i="2"/>
  <c r="T124" i="2" s="1"/>
  <c r="AN123" i="2"/>
  <c r="S123" i="2"/>
  <c r="T123" i="2" s="1"/>
  <c r="W123" i="2" s="1" a="1"/>
  <c r="W123" i="2" s="1"/>
  <c r="AN122" i="2"/>
  <c r="S122" i="2"/>
  <c r="T122" i="2" s="1"/>
  <c r="AN121" i="2"/>
  <c r="S121" i="2"/>
  <c r="T121" i="2" s="1"/>
  <c r="AN120" i="2"/>
  <c r="S120" i="2"/>
  <c r="T120" i="2" s="1"/>
  <c r="AA120" i="2" s="1" a="1"/>
  <c r="AA120" i="2" s="1"/>
  <c r="AN119" i="2"/>
  <c r="S119" i="2"/>
  <c r="T119" i="2" s="1"/>
  <c r="AN118" i="2"/>
  <c r="S118" i="2"/>
  <c r="T118" i="2" s="1"/>
  <c r="AE118" i="2" s="1" a="1"/>
  <c r="AE118" i="2" s="1"/>
  <c r="AN117" i="2"/>
  <c r="S117" i="2"/>
  <c r="T117" i="2" s="1"/>
  <c r="AC117" i="2" s="1" a="1"/>
  <c r="AC117" i="2" s="1"/>
  <c r="AN116" i="2"/>
  <c r="S116" i="2"/>
  <c r="T116" i="2" s="1"/>
  <c r="Y116" i="2" s="1" a="1"/>
  <c r="Y116" i="2" s="1"/>
  <c r="AN115" i="2"/>
  <c r="S115" i="2"/>
  <c r="T115" i="2" s="1"/>
  <c r="X115" i="2" s="1" a="1"/>
  <c r="X115" i="2" s="1"/>
  <c r="AN114" i="2"/>
  <c r="S114" i="2"/>
  <c r="T114" i="2" s="1"/>
  <c r="AA114" i="2" s="1" a="1"/>
  <c r="AA114" i="2" s="1"/>
  <c r="AN113" i="2"/>
  <c r="S113" i="2"/>
  <c r="T113" i="2" s="1"/>
  <c r="AN112" i="2"/>
  <c r="S112" i="2"/>
  <c r="T112" i="2" s="1"/>
  <c r="AN111" i="2"/>
  <c r="S111" i="2"/>
  <c r="T111" i="2" s="1"/>
  <c r="AN110" i="2"/>
  <c r="S110" i="2"/>
  <c r="T110" i="2" s="1"/>
  <c r="AN109" i="2"/>
  <c r="S109" i="2"/>
  <c r="T109" i="2" s="1"/>
  <c r="AE109" i="2" s="1" a="1"/>
  <c r="AE109" i="2" s="1"/>
  <c r="AN108" i="2"/>
  <c r="S108" i="2"/>
  <c r="T108" i="2" s="1"/>
  <c r="AH108" i="2" s="1" a="1"/>
  <c r="AH108" i="2" s="1"/>
  <c r="AN107" i="2"/>
  <c r="S107" i="2"/>
  <c r="T107" i="2" s="1"/>
  <c r="AH107" i="2" s="1" a="1"/>
  <c r="AH107" i="2" s="1"/>
  <c r="AN106" i="2"/>
  <c r="S106" i="2"/>
  <c r="T106" i="2" s="1"/>
  <c r="AN105" i="2"/>
  <c r="S105" i="2"/>
  <c r="T105" i="2" s="1"/>
  <c r="AB105" i="2" s="1" a="1"/>
  <c r="AB105" i="2" s="1"/>
  <c r="AN104" i="2"/>
  <c r="S104" i="2"/>
  <c r="T104" i="2" s="1"/>
  <c r="X104" i="2" s="1" a="1"/>
  <c r="X104" i="2" s="1"/>
  <c r="AN103" i="2"/>
  <c r="S103" i="2"/>
  <c r="T103" i="2" s="1"/>
  <c r="AE103" i="2" s="1" a="1"/>
  <c r="AE103" i="2" s="1"/>
  <c r="AN102" i="2"/>
  <c r="S102" i="2"/>
  <c r="T102" i="2" s="1"/>
  <c r="AN101" i="2"/>
  <c r="S101" i="2"/>
  <c r="T101" i="2" s="1"/>
  <c r="AF101" i="2" s="1" a="1"/>
  <c r="AF101" i="2" s="1"/>
  <c r="AN100" i="2"/>
  <c r="S100" i="2"/>
  <c r="T100" i="2" s="1"/>
  <c r="AN99" i="2"/>
  <c r="S99" i="2"/>
  <c r="T99" i="2" s="1"/>
  <c r="AG99" i="2" s="1" a="1"/>
  <c r="AG99" i="2" s="1"/>
  <c r="AN98" i="2"/>
  <c r="S98" i="2"/>
  <c r="T98" i="2" s="1"/>
  <c r="AN97" i="2"/>
  <c r="S97" i="2"/>
  <c r="T97" i="2" s="1"/>
  <c r="X97" i="2" s="1" a="1"/>
  <c r="X97" i="2" s="1"/>
  <c r="AN96" i="2"/>
  <c r="S96" i="2"/>
  <c r="T96" i="2" s="1"/>
  <c r="AD96" i="2" s="1" a="1"/>
  <c r="AD96" i="2" s="1"/>
  <c r="AN95" i="2"/>
  <c r="S95" i="2"/>
  <c r="T95" i="2" s="1"/>
  <c r="AN94" i="2"/>
  <c r="S94" i="2"/>
  <c r="T94" i="2" s="1"/>
  <c r="AF94" i="2" s="1" a="1"/>
  <c r="AF94" i="2" s="1"/>
  <c r="AN93" i="2"/>
  <c r="S93" i="2"/>
  <c r="T93" i="2" s="1"/>
  <c r="AD93" i="2" s="1" a="1"/>
  <c r="AD93" i="2" s="1"/>
  <c r="AN92" i="2"/>
  <c r="S92" i="2"/>
  <c r="T92" i="2" s="1"/>
  <c r="AN91" i="2"/>
  <c r="S91" i="2"/>
  <c r="T91" i="2" s="1"/>
  <c r="AB91" i="2" s="1" a="1"/>
  <c r="AB91" i="2" s="1"/>
  <c r="AN90" i="2"/>
  <c r="S90" i="2"/>
  <c r="T90" i="2" s="1"/>
  <c r="AN89" i="2"/>
  <c r="S89" i="2"/>
  <c r="T89" i="2" s="1"/>
  <c r="AN88" i="2"/>
  <c r="S88" i="2"/>
  <c r="T88" i="2" s="1"/>
  <c r="Z88" i="2" s="1" a="1"/>
  <c r="Z88" i="2" s="1"/>
  <c r="AN87" i="2"/>
  <c r="S87" i="2"/>
  <c r="T87" i="2" s="1"/>
  <c r="AF87" i="2" s="1" a="1"/>
  <c r="AF87" i="2" s="1"/>
  <c r="AN86" i="2"/>
  <c r="S86" i="2"/>
  <c r="T86" i="2" s="1"/>
  <c r="AN85" i="2"/>
  <c r="S85" i="2"/>
  <c r="T85" i="2" s="1"/>
  <c r="AN84" i="2"/>
  <c r="S84" i="2"/>
  <c r="T84" i="2" s="1"/>
  <c r="AN83" i="2"/>
  <c r="S83" i="2"/>
  <c r="T83" i="2" s="1"/>
  <c r="AD83" i="2" s="1" a="1"/>
  <c r="AD83" i="2" s="1"/>
  <c r="AJ319" i="2" a="1"/>
  <c r="AJ319" i="2" s="1"/>
  <c r="AK319" i="2" s="1" a="1"/>
  <c r="AK319" i="2" s="1"/>
  <c r="AH319" i="2" a="1"/>
  <c r="AH319" i="2" s="1"/>
  <c r="AG319" i="2" a="1"/>
  <c r="AG319" i="2" s="1"/>
  <c r="AF319" i="2" a="1"/>
  <c r="AF319" i="2" s="1"/>
  <c r="AE319" i="2" a="1"/>
  <c r="AE319" i="2" s="1"/>
  <c r="AD319" i="2" a="1"/>
  <c r="AD319" i="2" s="1"/>
  <c r="AC319" i="2" a="1"/>
  <c r="AC319" i="2" s="1"/>
  <c r="AB319" i="2" a="1"/>
  <c r="AB319" i="2" s="1"/>
  <c r="AA319" i="2" a="1"/>
  <c r="AA319" i="2" s="1"/>
  <c r="Z319" i="2" a="1"/>
  <c r="Z319" i="2" s="1"/>
  <c r="Y319" i="2" a="1"/>
  <c r="Y319" i="2" s="1"/>
  <c r="X319" i="2" a="1"/>
  <c r="X319" i="2" s="1"/>
  <c r="W319" i="2" a="1"/>
  <c r="W319" i="2" s="1"/>
  <c r="AJ318" i="2" a="1"/>
  <c r="AJ318" i="2" s="1"/>
  <c r="AK318" i="2" s="1" a="1"/>
  <c r="AK318" i="2" s="1"/>
  <c r="AH318" i="2" a="1"/>
  <c r="AH318" i="2" s="1"/>
  <c r="AG318" i="2" a="1"/>
  <c r="AG318" i="2" s="1"/>
  <c r="AF318" i="2" a="1"/>
  <c r="AF318" i="2" s="1"/>
  <c r="AE318" i="2" a="1"/>
  <c r="AE318" i="2" s="1"/>
  <c r="AD318" i="2" a="1"/>
  <c r="AD318" i="2" s="1"/>
  <c r="AC318" i="2" a="1"/>
  <c r="AC318" i="2" s="1"/>
  <c r="AB318" i="2" a="1"/>
  <c r="AB318" i="2" s="1"/>
  <c r="AA318" i="2" a="1"/>
  <c r="AA318" i="2" s="1"/>
  <c r="Z318" i="2" a="1"/>
  <c r="Z318" i="2" s="1"/>
  <c r="Y318" i="2" a="1"/>
  <c r="Y318" i="2" s="1"/>
  <c r="X318" i="2" a="1"/>
  <c r="X318" i="2" s="1"/>
  <c r="W318" i="2" a="1"/>
  <c r="W318" i="2" s="1"/>
  <c r="AJ317" i="2" a="1"/>
  <c r="AJ317" i="2" s="1"/>
  <c r="AK317" i="2" s="1" a="1"/>
  <c r="AK317" i="2" s="1"/>
  <c r="AH317" i="2" a="1"/>
  <c r="AH317" i="2" s="1"/>
  <c r="AG317" i="2" a="1"/>
  <c r="AG317" i="2" s="1"/>
  <c r="AF317" i="2" a="1"/>
  <c r="AF317" i="2" s="1"/>
  <c r="AE317" i="2" a="1"/>
  <c r="AE317" i="2" s="1"/>
  <c r="AD317" i="2" a="1"/>
  <c r="AD317" i="2" s="1"/>
  <c r="AC317" i="2" a="1"/>
  <c r="AC317" i="2" s="1"/>
  <c r="AB317" i="2" a="1"/>
  <c r="AB317" i="2" s="1"/>
  <c r="AA317" i="2" a="1"/>
  <c r="AA317" i="2" s="1"/>
  <c r="Z317" i="2" a="1"/>
  <c r="Z317" i="2" s="1"/>
  <c r="Y317" i="2" a="1"/>
  <c r="Y317" i="2" s="1"/>
  <c r="X317" i="2" a="1"/>
  <c r="X317" i="2" s="1"/>
  <c r="W317" i="2" a="1"/>
  <c r="W317" i="2" s="1"/>
  <c r="AJ316" i="2" a="1"/>
  <c r="AJ316" i="2" s="1"/>
  <c r="AK316" i="2" s="1" a="1"/>
  <c r="AK316" i="2" s="1"/>
  <c r="AH316" i="2" a="1"/>
  <c r="AH316" i="2" s="1"/>
  <c r="AG316" i="2" a="1"/>
  <c r="AG316" i="2" s="1"/>
  <c r="AF316" i="2" a="1"/>
  <c r="AF316" i="2" s="1"/>
  <c r="AE316" i="2" a="1"/>
  <c r="AE316" i="2" s="1"/>
  <c r="AD316" i="2" a="1"/>
  <c r="AD316" i="2" s="1"/>
  <c r="AC316" i="2" a="1"/>
  <c r="AC316" i="2" s="1"/>
  <c r="AB316" i="2" a="1"/>
  <c r="AB316" i="2" s="1"/>
  <c r="AA316" i="2" a="1"/>
  <c r="AA316" i="2" s="1"/>
  <c r="Z316" i="2" a="1"/>
  <c r="Z316" i="2" s="1"/>
  <c r="Y316" i="2" a="1"/>
  <c r="Y316" i="2" s="1"/>
  <c r="X316" i="2" a="1"/>
  <c r="X316" i="2" s="1"/>
  <c r="W316" i="2" a="1"/>
  <c r="W316" i="2" s="1"/>
  <c r="AH168" i="2" a="1"/>
  <c r="AH168" i="2" s="1"/>
  <c r="AG170" i="2" a="1"/>
  <c r="AG170" i="2" s="1"/>
  <c r="AH170" i="2" a="1"/>
  <c r="AH170" i="2" s="1"/>
  <c r="AH162" i="2" a="1"/>
  <c r="AH162" i="2" s="1"/>
  <c r="AI377" i="2" l="1"/>
  <c r="AI407" i="2"/>
  <c r="AI327" i="2"/>
  <c r="AI324" i="2"/>
  <c r="AI431" i="2"/>
  <c r="AI405" i="2"/>
  <c r="AI445" i="2"/>
  <c r="AI352" i="2"/>
  <c r="AI453" i="2"/>
  <c r="AI388" i="2"/>
  <c r="AI457" i="2"/>
  <c r="AI380" i="2"/>
  <c r="AI354" i="2"/>
  <c r="AI365" i="2"/>
  <c r="AI418" i="2"/>
  <c r="AI439" i="2"/>
  <c r="AI371" i="2"/>
  <c r="AI357" i="2"/>
  <c r="AI397" i="2"/>
  <c r="AI368" i="2"/>
  <c r="AI361" i="2"/>
  <c r="AI461" i="2"/>
  <c r="AI455" i="2"/>
  <c r="AI432" i="2"/>
  <c r="AI367" i="2"/>
  <c r="AI338" i="2"/>
  <c r="AI441" i="2"/>
  <c r="AI427" i="2"/>
  <c r="AI401" i="2"/>
  <c r="AI332" i="2"/>
  <c r="AI331" i="2"/>
  <c r="AI454" i="2"/>
  <c r="AI384" i="2"/>
  <c r="AI369" i="2"/>
  <c r="AI341" i="2"/>
  <c r="AI382" i="2"/>
  <c r="AI353" i="2"/>
  <c r="AI446" i="2"/>
  <c r="AI385" i="2"/>
  <c r="AI413" i="2"/>
  <c r="AI389" i="2"/>
  <c r="AI395" i="2"/>
  <c r="AI350" i="2"/>
  <c r="AI393" i="2"/>
  <c r="AI406" i="2"/>
  <c r="AI412" i="2"/>
  <c r="AI370" i="2"/>
  <c r="AI460" i="2"/>
  <c r="AI423" i="2"/>
  <c r="AI355" i="2"/>
  <c r="AI449" i="2"/>
  <c r="AI416" i="2"/>
  <c r="AI430" i="2"/>
  <c r="AI363" i="2"/>
  <c r="AI349" i="2"/>
  <c r="AI437" i="2"/>
  <c r="AI410" i="2"/>
  <c r="AI390" i="2"/>
  <c r="AI348" i="2"/>
  <c r="AI443" i="2"/>
  <c r="AI347" i="2"/>
  <c r="AI321" i="2"/>
  <c r="AI414" i="2"/>
  <c r="AI333" i="2"/>
  <c r="AI464" i="2"/>
  <c r="AI366" i="2"/>
  <c r="AI392" i="2"/>
  <c r="AI386" i="2"/>
  <c r="AI419" i="2"/>
  <c r="AI351" i="2"/>
  <c r="AI463" i="2"/>
  <c r="AI458" i="2"/>
  <c r="AI364" i="2"/>
  <c r="AI450" i="2"/>
  <c r="AI448" i="2"/>
  <c r="AI468" i="2"/>
  <c r="AI447" i="2"/>
  <c r="AI473" i="2"/>
  <c r="AI328" i="2"/>
  <c r="AI336" i="2"/>
  <c r="AI358" i="2"/>
  <c r="AI415" i="2"/>
  <c r="AI400" i="2"/>
  <c r="AI403" i="2"/>
  <c r="AI337" i="2"/>
  <c r="AI387" i="2"/>
  <c r="AI438" i="2"/>
  <c r="AI444" i="2"/>
  <c r="AI396" i="2"/>
  <c r="AI362" i="2"/>
  <c r="AI422" i="2"/>
  <c r="AI340" i="2"/>
  <c r="AI402" i="2"/>
  <c r="AI391" i="2"/>
  <c r="AI394" i="2"/>
  <c r="AI356" i="2"/>
  <c r="AI466" i="2"/>
  <c r="AI372" i="2"/>
  <c r="AI424" i="2"/>
  <c r="AI360" i="2"/>
  <c r="AI381" i="2"/>
  <c r="AI374" i="2"/>
  <c r="AI323" i="2"/>
  <c r="AI435" i="2"/>
  <c r="AI346" i="2"/>
  <c r="AI408" i="2"/>
  <c r="AI417" i="2"/>
  <c r="AI399" i="2"/>
  <c r="AI456" i="2"/>
  <c r="AI420" i="2"/>
  <c r="AI342" i="2"/>
  <c r="AI398" i="2"/>
  <c r="AI470" i="2"/>
  <c r="AI462" i="2"/>
  <c r="AF149" i="2" a="1"/>
  <c r="AF149" i="2" s="1"/>
  <c r="AG149" i="2" a="1"/>
  <c r="AG149" i="2" s="1"/>
  <c r="AK149" i="2" a="1"/>
  <c r="AK149" i="2" s="1"/>
  <c r="AJ149" i="2" s="1"/>
  <c r="AD149" i="2" a="1"/>
  <c r="AD149" i="2" s="1"/>
  <c r="S2" i="2"/>
  <c r="T2" i="2"/>
  <c r="Z139" i="2" a="1"/>
  <c r="Z139" i="2" s="1"/>
  <c r="AE139" i="2" a="1"/>
  <c r="AE139" i="2" s="1"/>
  <c r="Y120" i="2" a="1"/>
  <c r="Y120" i="2" s="1"/>
  <c r="AB139" i="2" a="1"/>
  <c r="AB139" i="2" s="1"/>
  <c r="AC146" i="2" a="1"/>
  <c r="AC146" i="2" s="1"/>
  <c r="AH133" i="2" a="1"/>
  <c r="AH133" i="2" s="1"/>
  <c r="AF146" i="2" a="1"/>
  <c r="AF146" i="2" s="1"/>
  <c r="AH120" i="2" a="1"/>
  <c r="AH120" i="2" s="1"/>
  <c r="AC139" i="2" a="1"/>
  <c r="AC139" i="2" s="1"/>
  <c r="AK103" i="2" a="1"/>
  <c r="AK103" i="2" s="1"/>
  <c r="AJ103" i="2" s="1"/>
  <c r="Y29" i="2" a="1"/>
  <c r="Y29" i="2" s="1"/>
  <c r="AB103" i="2" a="1"/>
  <c r="AB103" i="2" s="1"/>
  <c r="AB29" i="2" a="1"/>
  <c r="AB29" i="2" s="1"/>
  <c r="AG46" i="2" a="1"/>
  <c r="AG46" i="2" s="1"/>
  <c r="AK69" i="2" a="1"/>
  <c r="AK69" i="2" s="1"/>
  <c r="AJ69" i="2" s="1"/>
  <c r="AK108" i="2" a="1"/>
  <c r="AK108" i="2" s="1"/>
  <c r="AJ108" i="2" s="1"/>
  <c r="AB37" i="2" a="1"/>
  <c r="AB37" i="2" s="1"/>
  <c r="AC108" i="2" a="1"/>
  <c r="AC108" i="2" s="1"/>
  <c r="Z158" i="2" a="1"/>
  <c r="Z158" i="2" s="1"/>
  <c r="X27" i="2" a="1"/>
  <c r="X27" i="2" s="1"/>
  <c r="AF147" i="2" a="1"/>
  <c r="AF147" i="2" s="1"/>
  <c r="AD37" i="2" a="1"/>
  <c r="AD37" i="2" s="1"/>
  <c r="AH147" i="2" a="1"/>
  <c r="AH147" i="2" s="1"/>
  <c r="Z120" i="2" a="1"/>
  <c r="Z120" i="2" s="1"/>
  <c r="AG69" i="2" a="1"/>
  <c r="AG69" i="2" s="1"/>
  <c r="AK158" i="2" a="1"/>
  <c r="AK158" i="2" s="1"/>
  <c r="AJ158" i="2" s="1"/>
  <c r="W40" i="2" a="1"/>
  <c r="W40" i="2" s="1"/>
  <c r="AF40" i="2" a="1"/>
  <c r="AF40" i="2" s="1"/>
  <c r="AC152" i="2" a="1"/>
  <c r="AC152" i="2" s="1"/>
  <c r="AF103" i="2" a="1"/>
  <c r="AF103" i="2" s="1"/>
  <c r="AK147" i="2" a="1"/>
  <c r="AK147" i="2" s="1"/>
  <c r="AJ147" i="2" s="1"/>
  <c r="AB146" i="2" a="1"/>
  <c r="AB146" i="2" s="1"/>
  <c r="AF56" i="2" a="1"/>
  <c r="AF56" i="2" s="1"/>
  <c r="Y56" i="2" a="1"/>
  <c r="Y56" i="2" s="1"/>
  <c r="AH56" i="2" a="1"/>
  <c r="AH56" i="2" s="1"/>
  <c r="AG56" i="2" a="1"/>
  <c r="AG56" i="2" s="1"/>
  <c r="AC56" i="2" a="1"/>
  <c r="AC56" i="2" s="1"/>
  <c r="Z56" i="2" a="1"/>
  <c r="Z56" i="2" s="1"/>
  <c r="AK150" i="2" a="1"/>
  <c r="AK150" i="2" s="1"/>
  <c r="AJ150" i="2" s="1"/>
  <c r="AD103" i="2" a="1"/>
  <c r="AD103" i="2" s="1"/>
  <c r="AD108" i="2" a="1"/>
  <c r="AD108" i="2" s="1"/>
  <c r="AE149" i="2" a="1"/>
  <c r="AE149" i="2" s="1"/>
  <c r="W158" i="2" a="1"/>
  <c r="W158" i="2" s="1"/>
  <c r="Y141" i="2" a="1"/>
  <c r="Y141" i="2" s="1"/>
  <c r="AD144" i="2" a="1"/>
  <c r="AD144" i="2" s="1"/>
  <c r="X150" i="2" a="1"/>
  <c r="X150" i="2" s="1"/>
  <c r="AC156" i="2" a="1"/>
  <c r="AC156" i="2" s="1"/>
  <c r="AK151" i="2" a="1"/>
  <c r="AK151" i="2" s="1"/>
  <c r="AJ151" i="2" s="1"/>
  <c r="AD60" i="2" a="1"/>
  <c r="AD60" i="2" s="1"/>
  <c r="W87" i="2" a="1"/>
  <c r="W87" i="2" s="1"/>
  <c r="X50" i="2" a="1"/>
  <c r="X50" i="2" s="1"/>
  <c r="W133" i="2" a="1"/>
  <c r="W133" i="2" s="1"/>
  <c r="AA141" i="2" a="1"/>
  <c r="AA141" i="2" s="1"/>
  <c r="W149" i="2" a="1"/>
  <c r="W149" i="2" s="1"/>
  <c r="AA150" i="2" a="1"/>
  <c r="AA150" i="2" s="1"/>
  <c r="AE152" i="2" a="1"/>
  <c r="AE152" i="2" s="1"/>
  <c r="AE156" i="2" a="1"/>
  <c r="AE156" i="2" s="1"/>
  <c r="AD91" i="2" a="1"/>
  <c r="AD91" i="2" s="1"/>
  <c r="AB156" i="2" a="1"/>
  <c r="AB156" i="2" s="1"/>
  <c r="AD156" i="2" a="1"/>
  <c r="AD156" i="2" s="1"/>
  <c r="Y50" i="2" a="1"/>
  <c r="Y50" i="2" s="1"/>
  <c r="X133" i="2" a="1"/>
  <c r="X133" i="2" s="1"/>
  <c r="AB141" i="2" a="1"/>
  <c r="AB141" i="2" s="1"/>
  <c r="X149" i="2" a="1"/>
  <c r="X149" i="2" s="1"/>
  <c r="AB150" i="2" a="1"/>
  <c r="AB150" i="2" s="1"/>
  <c r="AF152" i="2" a="1"/>
  <c r="AF152" i="2" s="1"/>
  <c r="AF156" i="2" a="1"/>
  <c r="AF156" i="2" s="1"/>
  <c r="AC91" i="2" a="1"/>
  <c r="AC91" i="2" s="1"/>
  <c r="AE43" i="2" a="1"/>
  <c r="AE43" i="2" s="1"/>
  <c r="AH91" i="2" a="1"/>
  <c r="AH91" i="2" s="1"/>
  <c r="Y150" i="2" a="1"/>
  <c r="Y150" i="2" s="1"/>
  <c r="AB46" i="2" a="1"/>
  <c r="AB46" i="2" s="1"/>
  <c r="Y133" i="2" a="1"/>
  <c r="Y133" i="2" s="1"/>
  <c r="AC141" i="2" a="1"/>
  <c r="AC141" i="2" s="1"/>
  <c r="Y149" i="2" a="1"/>
  <c r="Y149" i="2" s="1"/>
  <c r="AC150" i="2" a="1"/>
  <c r="AC150" i="2" s="1"/>
  <c r="AG156" i="2" a="1"/>
  <c r="AG156" i="2" s="1"/>
  <c r="X48" i="2" a="1"/>
  <c r="X48" i="2" s="1"/>
  <c r="W156" i="2" a="1"/>
  <c r="W156" i="2" s="1"/>
  <c r="AH18" i="2" a="1"/>
  <c r="AH18" i="2" s="1"/>
  <c r="Z117" i="2" a="1"/>
  <c r="Z117" i="2" s="1"/>
  <c r="Z156" i="2" a="1"/>
  <c r="Z156" i="2" s="1"/>
  <c r="AA104" i="2" a="1"/>
  <c r="AA104" i="2" s="1"/>
  <c r="Z133" i="2" a="1"/>
  <c r="Z133" i="2" s="1"/>
  <c r="AD141" i="2" a="1"/>
  <c r="AD141" i="2" s="1"/>
  <c r="Z149" i="2" a="1"/>
  <c r="Z149" i="2" s="1"/>
  <c r="AD150" i="2" a="1"/>
  <c r="AD150" i="2" s="1"/>
  <c r="AK156" i="2" a="1"/>
  <c r="AK156" i="2" s="1"/>
  <c r="AJ156" i="2" s="1"/>
  <c r="W151" i="2" a="1"/>
  <c r="W151" i="2" s="1"/>
  <c r="AH48" i="2" a="1"/>
  <c r="AH48" i="2" s="1"/>
  <c r="AA133" i="2" a="1"/>
  <c r="AA133" i="2" s="1"/>
  <c r="AE141" i="2" a="1"/>
  <c r="AE141" i="2" s="1"/>
  <c r="AA149" i="2" a="1"/>
  <c r="AA149" i="2" s="1"/>
  <c r="AF150" i="2" a="1"/>
  <c r="AF150" i="2" s="1"/>
  <c r="AE10" i="2" a="1"/>
  <c r="AE10" i="2" s="1"/>
  <c r="Z151" i="2" a="1"/>
  <c r="Z151" i="2" s="1"/>
  <c r="AK117" i="2" a="1"/>
  <c r="AK117" i="2" s="1"/>
  <c r="AJ117" i="2" s="1"/>
  <c r="Z141" i="2" a="1"/>
  <c r="Z141" i="2" s="1"/>
  <c r="AD133" i="2" a="1"/>
  <c r="AD133" i="2" s="1"/>
  <c r="AF141" i="2" a="1"/>
  <c r="AF141" i="2" s="1"/>
  <c r="AB149" i="2" a="1"/>
  <c r="AB149" i="2" s="1"/>
  <c r="AG150" i="2" a="1"/>
  <c r="AG150" i="2" s="1"/>
  <c r="Y156" i="2" a="1"/>
  <c r="Y156" i="2" s="1"/>
  <c r="X108" i="2" a="1"/>
  <c r="X108" i="2" s="1"/>
  <c r="Z29" i="2" a="1"/>
  <c r="Z29" i="2" s="1"/>
  <c r="AE133" i="2" a="1"/>
  <c r="AE133" i="2" s="1"/>
  <c r="AA139" i="2" a="1"/>
  <c r="AA139" i="2" s="1"/>
  <c r="AG141" i="2" a="1"/>
  <c r="AG141" i="2" s="1"/>
  <c r="AC149" i="2" a="1"/>
  <c r="AC149" i="2" s="1"/>
  <c r="AH150" i="2" a="1"/>
  <c r="AH150" i="2" s="1"/>
  <c r="AH42" i="2" a="1"/>
  <c r="AH42" i="2" s="1"/>
  <c r="AF42" i="2" a="1"/>
  <c r="AF42" i="2" s="1"/>
  <c r="Z124" i="2" a="1"/>
  <c r="Z124" i="2" s="1"/>
  <c r="AE124" i="2" a="1"/>
  <c r="AE124" i="2" s="1"/>
  <c r="AC124" i="2" a="1"/>
  <c r="AC124" i="2" s="1"/>
  <c r="AB124" i="2" a="1"/>
  <c r="AB124" i="2" s="1"/>
  <c r="AA124" i="2" a="1"/>
  <c r="AA124" i="2" s="1"/>
  <c r="AF124" i="2" a="1"/>
  <c r="AF124" i="2" s="1"/>
  <c r="AK124" i="2" a="1"/>
  <c r="AK124" i="2" s="1"/>
  <c r="AJ124" i="2" s="1"/>
  <c r="AE39" i="2" a="1"/>
  <c r="AE39" i="2" s="1"/>
  <c r="AK39" i="2" a="1"/>
  <c r="AK39" i="2" s="1"/>
  <c r="AJ39" i="2" s="1"/>
  <c r="AD39" i="2" a="1"/>
  <c r="AD39" i="2" s="1"/>
  <c r="AC39" i="2" a="1"/>
  <c r="AC39" i="2" s="1"/>
  <c r="Z39" i="2" a="1"/>
  <c r="Z39" i="2" s="1"/>
  <c r="AE34" i="2" a="1"/>
  <c r="AE34" i="2" s="1"/>
  <c r="AB34" i="2" a="1"/>
  <c r="AB34" i="2" s="1"/>
  <c r="Y81" i="2" a="1"/>
  <c r="Y81" i="2" s="1"/>
  <c r="W81" i="2" a="1"/>
  <c r="W81" i="2" s="1"/>
  <c r="AD102" i="2" a="1"/>
  <c r="AD102" i="2" s="1"/>
  <c r="AG102" i="2" a="1"/>
  <c r="AG102" i="2" s="1"/>
  <c r="AF102" i="2" a="1"/>
  <c r="AF102" i="2" s="1"/>
  <c r="Z102" i="2" a="1"/>
  <c r="Z102" i="2" s="1"/>
  <c r="AC102" i="2" a="1"/>
  <c r="AC102" i="2" s="1"/>
  <c r="AB102" i="2" a="1"/>
  <c r="AB102" i="2" s="1"/>
  <c r="W132" i="2" a="1"/>
  <c r="W132" i="2" s="1"/>
  <c r="AB41" i="2" a="1"/>
  <c r="AB41" i="2" s="1"/>
  <c r="Y132" i="2" a="1"/>
  <c r="Y132" i="2" s="1"/>
  <c r="W136" i="2" a="1"/>
  <c r="W136" i="2" s="1"/>
  <c r="X148" i="2" a="1"/>
  <c r="X148" i="2" s="1"/>
  <c r="X23" i="2" a="1"/>
  <c r="X23" i="2" s="1"/>
  <c r="AC41" i="2" a="1"/>
  <c r="AC41" i="2" s="1"/>
  <c r="W67" i="2" a="1"/>
  <c r="W67" i="2" s="1"/>
  <c r="Z77" i="2" a="1"/>
  <c r="Z77" i="2" s="1"/>
  <c r="Z132" i="2" a="1"/>
  <c r="Z132" i="2" s="1"/>
  <c r="Z136" i="2" a="1"/>
  <c r="Z136" i="2" s="1"/>
  <c r="AA148" i="2" a="1"/>
  <c r="AA148" i="2" s="1"/>
  <c r="AA23" i="2" a="1"/>
  <c r="AA23" i="2" s="1"/>
  <c r="AD41" i="2" a="1"/>
  <c r="AD41" i="2" s="1"/>
  <c r="W50" i="2" a="1"/>
  <c r="W50" i="2" s="1"/>
  <c r="X67" i="2" a="1"/>
  <c r="X67" i="2" s="1"/>
  <c r="AA132" i="2" a="1"/>
  <c r="AA132" i="2" s="1"/>
  <c r="AB133" i="2" a="1"/>
  <c r="AB133" i="2" s="1"/>
  <c r="AK139" i="2" a="1"/>
  <c r="AK139" i="2" s="1"/>
  <c r="AJ139" i="2" s="1"/>
  <c r="AK141" i="2" a="1"/>
  <c r="AK141" i="2" s="1"/>
  <c r="AJ141" i="2" s="1"/>
  <c r="AB148" i="2" a="1"/>
  <c r="AB148" i="2" s="1"/>
  <c r="AE148" i="2" a="1"/>
  <c r="AE148" i="2" s="1"/>
  <c r="Y154" i="2" a="1"/>
  <c r="Y154" i="2" s="1"/>
  <c r="Z50" i="2" a="1"/>
  <c r="Z50" i="2" s="1"/>
  <c r="AE63" i="2" a="1"/>
  <c r="AE63" i="2" s="1"/>
  <c r="AE132" i="2" a="1"/>
  <c r="AE132" i="2" s="1"/>
  <c r="AF133" i="2" a="1"/>
  <c r="AF133" i="2" s="1"/>
  <c r="AA137" i="2" a="1"/>
  <c r="AA137" i="2" s="1"/>
  <c r="Y142" i="2" a="1"/>
  <c r="Y142" i="2" s="1"/>
  <c r="AF148" i="2" a="1"/>
  <c r="AF148" i="2" s="1"/>
  <c r="W148" i="2" a="1"/>
  <c r="W148" i="2" s="1"/>
  <c r="AF41" i="2" a="1"/>
  <c r="AF41" i="2" s="1"/>
  <c r="AC148" i="2" a="1"/>
  <c r="AC148" i="2" s="1"/>
  <c r="AA50" i="2" a="1"/>
  <c r="AA50" i="2" s="1"/>
  <c r="AF63" i="2" a="1"/>
  <c r="AF63" i="2" s="1"/>
  <c r="AF132" i="2" a="1"/>
  <c r="AF132" i="2" s="1"/>
  <c r="AB137" i="2" a="1"/>
  <c r="AB137" i="2" s="1"/>
  <c r="Z142" i="2" a="1"/>
  <c r="Z142" i="2" s="1"/>
  <c r="AG148" i="2" a="1"/>
  <c r="AG148" i="2" s="1"/>
  <c r="X132" i="2" a="1"/>
  <c r="X132" i="2" s="1"/>
  <c r="X137" i="2" a="1"/>
  <c r="X137" i="2" s="1"/>
  <c r="AC50" i="2" a="1"/>
  <c r="AC50" i="2" s="1"/>
  <c r="AE79" i="2" a="1"/>
  <c r="AE79" i="2" s="1"/>
  <c r="AG132" i="2" a="1"/>
  <c r="AG132" i="2" s="1"/>
  <c r="AC137" i="2" a="1"/>
  <c r="AC137" i="2" s="1"/>
  <c r="W141" i="2" a="1"/>
  <c r="W141" i="2" s="1"/>
  <c r="AA142" i="2" a="1"/>
  <c r="AA142" i="2" s="1"/>
  <c r="X41" i="2" a="1"/>
  <c r="X41" i="2" s="1"/>
  <c r="AB67" i="2" a="1"/>
  <c r="AB67" i="2" s="1"/>
  <c r="Y15" i="2" a="1"/>
  <c r="Y15" i="2" s="1"/>
  <c r="AK19" i="2" a="1"/>
  <c r="AK19" i="2" s="1"/>
  <c r="AJ19" i="2" s="1"/>
  <c r="AC35" i="2" a="1"/>
  <c r="AC35" i="2" s="1"/>
  <c r="AD50" i="2" a="1"/>
  <c r="AD50" i="2" s="1"/>
  <c r="X59" i="2" a="1"/>
  <c r="X59" i="2" s="1"/>
  <c r="W69" i="2" a="1"/>
  <c r="W69" i="2" s="1"/>
  <c r="AK133" i="2" a="1"/>
  <c r="AK133" i="2" s="1"/>
  <c r="AJ133" i="2" s="1"/>
  <c r="AE137" i="2" a="1"/>
  <c r="AE137" i="2" s="1"/>
  <c r="X141" i="2" a="1"/>
  <c r="X141" i="2" s="1"/>
  <c r="AB15" i="2" a="1"/>
  <c r="AB15" i="2" s="1"/>
  <c r="AE50" i="2" a="1"/>
  <c r="AE50" i="2" s="1"/>
  <c r="Y59" i="2" a="1"/>
  <c r="Y59" i="2" s="1"/>
  <c r="X69" i="2" a="1"/>
  <c r="X69" i="2" s="1"/>
  <c r="AK132" i="2" a="1"/>
  <c r="AK132" i="2" s="1"/>
  <c r="AJ132" i="2" s="1"/>
  <c r="X158" i="2" a="1"/>
  <c r="X158" i="2" s="1"/>
  <c r="AB132" i="2" a="1"/>
  <c r="AB132" i="2" s="1"/>
  <c r="AC132" i="2" a="1"/>
  <c r="AC132" i="2" s="1"/>
  <c r="AF15" i="2" a="1"/>
  <c r="AF15" i="2" s="1"/>
  <c r="AF50" i="2" a="1"/>
  <c r="AF50" i="2" s="1"/>
  <c r="AD69" i="2" a="1"/>
  <c r="AD69" i="2" s="1"/>
  <c r="W150" i="2" a="1"/>
  <c r="W150" i="2" s="1"/>
  <c r="Y158" i="2" a="1"/>
  <c r="Y158" i="2" s="1"/>
  <c r="AK66" i="2" a="1"/>
  <c r="AK66" i="2" s="1"/>
  <c r="AJ66" i="2" s="1"/>
  <c r="AG15" i="2" a="1"/>
  <c r="AG15" i="2" s="1"/>
  <c r="AH50" i="2" a="1"/>
  <c r="AH50" i="2" s="1"/>
  <c r="AF69" i="2" a="1"/>
  <c r="AF69" i="2" s="1"/>
  <c r="AK50" i="2" a="1"/>
  <c r="AK50" i="2" s="1"/>
  <c r="AJ50" i="2" s="1"/>
  <c r="AB152" i="2" a="1"/>
  <c r="AB152" i="2" s="1"/>
  <c r="AA156" i="2" a="1"/>
  <c r="AA156" i="2" s="1"/>
  <c r="Z49" i="2" a="1"/>
  <c r="Z49" i="2" s="1"/>
  <c r="AA49" i="2" a="1"/>
  <c r="AA49" i="2" s="1"/>
  <c r="AK49" i="2" a="1"/>
  <c r="AK49" i="2" s="1"/>
  <c r="AJ49" i="2" s="1"/>
  <c r="AH49" i="2" a="1"/>
  <c r="AH49" i="2" s="1"/>
  <c r="AG49" i="2" a="1"/>
  <c r="AG49" i="2" s="1"/>
  <c r="AC49" i="2" a="1"/>
  <c r="AC49" i="2" s="1"/>
  <c r="Y49" i="2" a="1"/>
  <c r="Y49" i="2" s="1"/>
  <c r="AB49" i="2" a="1"/>
  <c r="AB49" i="2" s="1"/>
  <c r="X49" i="2" a="1"/>
  <c r="X49" i="2" s="1"/>
  <c r="AF61" i="2" a="1"/>
  <c r="AF61" i="2" s="1"/>
  <c r="AD61" i="2" a="1"/>
  <c r="AD61" i="2" s="1"/>
  <c r="AG61" i="2" a="1"/>
  <c r="AG61" i="2" s="1"/>
  <c r="AE61" i="2" a="1"/>
  <c r="AE61" i="2" s="1"/>
  <c r="AB61" i="2" a="1"/>
  <c r="AB61" i="2" s="1"/>
  <c r="Z61" i="2" a="1"/>
  <c r="Z61" i="2" s="1"/>
  <c r="AG80" i="2" a="1"/>
  <c r="AG80" i="2" s="1"/>
  <c r="AH80" i="2" a="1"/>
  <c r="AH80" i="2" s="1"/>
  <c r="Z64" i="2" a="1"/>
  <c r="Z64" i="2" s="1"/>
  <c r="AG64" i="2" a="1"/>
  <c r="AG64" i="2" s="1"/>
  <c r="AF64" i="2" a="1"/>
  <c r="AF64" i="2" s="1"/>
  <c r="AE64" i="2" a="1"/>
  <c r="AE64" i="2" s="1"/>
  <c r="AA64" i="2" a="1"/>
  <c r="AA64" i="2" s="1"/>
  <c r="AK89" i="2" a="1"/>
  <c r="AK89" i="2" s="1"/>
  <c r="AJ89" i="2" s="1"/>
  <c r="AB89" i="2" a="1"/>
  <c r="AB89" i="2" s="1"/>
  <c r="AC89" i="2" a="1"/>
  <c r="AC89" i="2" s="1"/>
  <c r="AD89" i="2" a="1"/>
  <c r="AD89" i="2" s="1"/>
  <c r="X101" i="2" a="1"/>
  <c r="X101" i="2" s="1"/>
  <c r="W13" i="2" a="1"/>
  <c r="W13" i="2" s="1"/>
  <c r="W75" i="2" a="1"/>
  <c r="W75" i="2" s="1"/>
  <c r="AC121" i="2" a="1"/>
  <c r="AC121" i="2" s="1"/>
  <c r="AA121" i="2" a="1"/>
  <c r="AA121" i="2" s="1"/>
  <c r="AF107" i="2" a="1"/>
  <c r="AF107" i="2" s="1"/>
  <c r="AC68" i="2" a="1"/>
  <c r="AC68" i="2" s="1"/>
  <c r="Z68" i="2" a="1"/>
  <c r="Z68" i="2" s="1"/>
  <c r="Y68" i="2" a="1"/>
  <c r="Y68" i="2" s="1"/>
  <c r="AG107" i="2" a="1"/>
  <c r="AG107" i="2" s="1"/>
  <c r="AH101" i="2" a="1"/>
  <c r="AH101" i="2" s="1"/>
  <c r="AG17" i="2" a="1"/>
  <c r="AG17" i="2" s="1"/>
  <c r="Y21" i="2" a="1"/>
  <c r="Y21" i="2" s="1"/>
  <c r="AA28" i="2" a="1"/>
  <c r="AA28" i="2" s="1"/>
  <c r="AE68" i="2" a="1"/>
  <c r="AE68" i="2" s="1"/>
  <c r="AB140" i="2" a="1"/>
  <c r="AB140" i="2" s="1"/>
  <c r="AG158" i="2" a="1"/>
  <c r="AG158" i="2" s="1"/>
  <c r="AF158" i="2" a="1"/>
  <c r="AF158" i="2" s="1"/>
  <c r="AE158" i="2" a="1"/>
  <c r="AE158" i="2" s="1"/>
  <c r="AD158" i="2" a="1"/>
  <c r="AD158" i="2" s="1"/>
  <c r="AC158" i="2" a="1"/>
  <c r="AC158" i="2" s="1"/>
  <c r="AB158" i="2" a="1"/>
  <c r="AB158" i="2" s="1"/>
  <c r="AA158" i="2" a="1"/>
  <c r="AA158" i="2" s="1"/>
  <c r="AF145" i="2" a="1"/>
  <c r="AF145" i="2" s="1"/>
  <c r="Y145" i="2" a="1"/>
  <c r="Y145" i="2" s="1"/>
  <c r="AH145" i="2" a="1"/>
  <c r="AH145" i="2" s="1"/>
  <c r="AG145" i="2" a="1"/>
  <c r="AG145" i="2" s="1"/>
  <c r="AE145" i="2" a="1"/>
  <c r="AE145" i="2" s="1"/>
  <c r="AD145" i="2" a="1"/>
  <c r="AD145" i="2" s="1"/>
  <c r="AC145" i="2" a="1"/>
  <c r="AC145" i="2" s="1"/>
  <c r="AB145" i="2" a="1"/>
  <c r="AB145" i="2" s="1"/>
  <c r="W101" i="2" a="1"/>
  <c r="W101" i="2" s="1"/>
  <c r="Z109" i="2" a="1"/>
  <c r="Z109" i="2" s="1"/>
  <c r="AA109" i="2" a="1"/>
  <c r="AA109" i="2" s="1"/>
  <c r="X145" i="2" a="1"/>
  <c r="X145" i="2" s="1"/>
  <c r="AC24" i="2" a="1"/>
  <c r="AC24" i="2" s="1"/>
  <c r="AD44" i="2" a="1"/>
  <c r="AD44" i="2" s="1"/>
  <c r="AC44" i="2" a="1"/>
  <c r="AC44" i="2" s="1"/>
  <c r="Z44" i="2" a="1"/>
  <c r="Z44" i="2" s="1"/>
  <c r="Y44" i="2" a="1"/>
  <c r="Y44" i="2" s="1"/>
  <c r="X44" i="2" a="1"/>
  <c r="X44" i="2" s="1"/>
  <c r="AB101" i="2" a="1"/>
  <c r="AB101" i="2" s="1"/>
  <c r="AK145" i="2" a="1"/>
  <c r="AK145" i="2" s="1"/>
  <c r="AJ145" i="2" s="1"/>
  <c r="AD121" i="2" a="1"/>
  <c r="AD121" i="2" s="1"/>
  <c r="AE125" i="2" a="1"/>
  <c r="AE125" i="2" s="1"/>
  <c r="AC125" i="2" a="1"/>
  <c r="AC125" i="2" s="1"/>
  <c r="AG30" i="2" a="1"/>
  <c r="AG30" i="2" s="1"/>
  <c r="AH134" i="2" a="1"/>
  <c r="AH134" i="2" s="1"/>
  <c r="AG134" i="2" a="1"/>
  <c r="AG134" i="2" s="1"/>
  <c r="AE134" i="2" a="1"/>
  <c r="AE134" i="2" s="1"/>
  <c r="AD134" i="2" a="1"/>
  <c r="AD134" i="2" s="1"/>
  <c r="AC134" i="2" a="1"/>
  <c r="AC134" i="2" s="1"/>
  <c r="AB134" i="2" a="1"/>
  <c r="AB134" i="2" s="1"/>
  <c r="AA134" i="2" a="1"/>
  <c r="AA134" i="2" s="1"/>
  <c r="AG143" i="2" a="1"/>
  <c r="AG143" i="2" s="1"/>
  <c r="Z143" i="2" a="1"/>
  <c r="Z143" i="2" s="1"/>
  <c r="AK143" i="2" a="1"/>
  <c r="AK143" i="2" s="1"/>
  <c r="AJ143" i="2" s="1"/>
  <c r="AH143" i="2" a="1"/>
  <c r="AH143" i="2" s="1"/>
  <c r="AE143" i="2" a="1"/>
  <c r="AE143" i="2" s="1"/>
  <c r="AC143" i="2" a="1"/>
  <c r="AC143" i="2" s="1"/>
  <c r="Y93" i="2" a="1"/>
  <c r="Y93" i="2" s="1"/>
  <c r="AB118" i="2" a="1"/>
  <c r="AB118" i="2" s="1"/>
  <c r="AE14" i="2" a="1"/>
  <c r="AE14" i="2" s="1"/>
  <c r="AH17" i="2" a="1"/>
  <c r="AH17" i="2" s="1"/>
  <c r="AF21" i="2" a="1"/>
  <c r="AF21" i="2" s="1"/>
  <c r="AB35" i="2" a="1"/>
  <c r="AB35" i="2" s="1"/>
  <c r="Y134" i="2" a="1"/>
  <c r="Y134" i="2" s="1"/>
  <c r="AE140" i="2" a="1"/>
  <c r="AE140" i="2" s="1"/>
  <c r="Y143" i="2" a="1"/>
  <c r="Y143" i="2" s="1"/>
  <c r="Z101" i="2" a="1"/>
  <c r="Z101" i="2" s="1"/>
  <c r="AE101" i="2" a="1"/>
  <c r="AE101" i="2" s="1"/>
  <c r="Y101" i="2" a="1"/>
  <c r="Y101" i="2" s="1"/>
  <c r="AK101" i="2" a="1"/>
  <c r="AK101" i="2" s="1"/>
  <c r="AJ101" i="2" s="1"/>
  <c r="X157" i="2" a="1"/>
  <c r="X157" i="2" s="1"/>
  <c r="AK157" i="2" a="1"/>
  <c r="AK157" i="2" s="1"/>
  <c r="AJ157" i="2" s="1"/>
  <c r="W157" i="2" a="1"/>
  <c r="W157" i="2" s="1"/>
  <c r="AH157" i="2" a="1"/>
  <c r="AH157" i="2" s="1"/>
  <c r="AG157" i="2" a="1"/>
  <c r="AG157" i="2" s="1"/>
  <c r="AF157" i="2" a="1"/>
  <c r="AF157" i="2" s="1"/>
  <c r="AE157" i="2" a="1"/>
  <c r="AE157" i="2" s="1"/>
  <c r="AD157" i="2" a="1"/>
  <c r="AD157" i="2" s="1"/>
  <c r="AC157" i="2" a="1"/>
  <c r="AC157" i="2" s="1"/>
  <c r="AD24" i="2" a="1"/>
  <c r="AD24" i="2" s="1"/>
  <c r="AD28" i="2" a="1"/>
  <c r="AD28" i="2" s="1"/>
  <c r="Z28" i="2" a="1"/>
  <c r="Z28" i="2" s="1"/>
  <c r="AK28" i="2" a="1"/>
  <c r="AK28" i="2" s="1"/>
  <c r="AJ28" i="2" s="1"/>
  <c r="AG28" i="2" a="1"/>
  <c r="AG28" i="2" s="1"/>
  <c r="AF28" i="2" a="1"/>
  <c r="AF28" i="2" s="1"/>
  <c r="AE28" i="2" a="1"/>
  <c r="AE28" i="2" s="1"/>
  <c r="AC28" i="2" a="1"/>
  <c r="AC28" i="2" s="1"/>
  <c r="AC101" i="2" a="1"/>
  <c r="AC101" i="2" s="1"/>
  <c r="AB125" i="2" a="1"/>
  <c r="AB125" i="2" s="1"/>
  <c r="AC93" i="2" a="1"/>
  <c r="AC93" i="2" s="1"/>
  <c r="Z26" i="2" a="1"/>
  <c r="Z26" i="2" s="1"/>
  <c r="W26" i="2" a="1"/>
  <c r="W26" i="2" s="1"/>
  <c r="AE31" i="2" a="1"/>
  <c r="AE31" i="2" s="1"/>
  <c r="AK31" i="2" a="1"/>
  <c r="AK31" i="2" s="1"/>
  <c r="AJ31" i="2" s="1"/>
  <c r="AG31" i="2" a="1"/>
  <c r="AG31" i="2" s="1"/>
  <c r="AC31" i="2" a="1"/>
  <c r="AC31" i="2" s="1"/>
  <c r="AA31" i="2" a="1"/>
  <c r="AA31" i="2" s="1"/>
  <c r="Z31" i="2" a="1"/>
  <c r="Z31" i="2" s="1"/>
  <c r="W31" i="2" a="1"/>
  <c r="W31" i="2" s="1"/>
  <c r="AG58" i="2" a="1"/>
  <c r="AG58" i="2" s="1"/>
  <c r="AE58" i="2" a="1"/>
  <c r="AE58" i="2" s="1"/>
  <c r="Y58" i="2" a="1"/>
  <c r="Y58" i="2" s="1"/>
  <c r="X58" i="2" a="1"/>
  <c r="X58" i="2" s="1"/>
  <c r="AK68" i="2" a="1"/>
  <c r="AK68" i="2" s="1"/>
  <c r="AJ68" i="2" s="1"/>
  <c r="AH72" i="2" a="1"/>
  <c r="AH72" i="2" s="1"/>
  <c r="AD72" i="2" a="1"/>
  <c r="AD72" i="2" s="1"/>
  <c r="AC72" i="2" a="1"/>
  <c r="AC72" i="2" s="1"/>
  <c r="AB72" i="2" a="1"/>
  <c r="AB72" i="2" s="1"/>
  <c r="AA72" i="2" a="1"/>
  <c r="AA72" i="2" s="1"/>
  <c r="Z134" i="2" a="1"/>
  <c r="Z134" i="2" s="1"/>
  <c r="AB143" i="2" a="1"/>
  <c r="AB143" i="2" s="1"/>
  <c r="AA8" i="2" a="1"/>
  <c r="AA8" i="2" s="1"/>
  <c r="Z8" i="2" a="1"/>
  <c r="Z8" i="2" s="1"/>
  <c r="AD8" i="2" a="1"/>
  <c r="AD8" i="2" s="1"/>
  <c r="AG129" i="2" a="1"/>
  <c r="AG129" i="2" s="1"/>
  <c r="Z157" i="2" a="1"/>
  <c r="Z157" i="2" s="1"/>
  <c r="AE24" i="2" a="1"/>
  <c r="AE24" i="2" s="1"/>
  <c r="AH13" i="2" a="1"/>
  <c r="AH13" i="2" s="1"/>
  <c r="Z11" i="2" a="1"/>
  <c r="Z11" i="2" s="1"/>
  <c r="X26" i="2" a="1"/>
  <c r="X26" i="2" s="1"/>
  <c r="Z46" i="2" a="1"/>
  <c r="Z46" i="2" s="1"/>
  <c r="AH46" i="2" a="1"/>
  <c r="AH46" i="2" s="1"/>
  <c r="AC46" i="2" a="1"/>
  <c r="AC46" i="2" s="1"/>
  <c r="AA46" i="2" a="1"/>
  <c r="AA46" i="2" s="1"/>
  <c r="Y46" i="2" a="1"/>
  <c r="Y46" i="2" s="1"/>
  <c r="X46" i="2" a="1"/>
  <c r="X46" i="2" s="1"/>
  <c r="W46" i="2" a="1"/>
  <c r="W46" i="2" s="1"/>
  <c r="AD58" i="2" a="1"/>
  <c r="AD58" i="2" s="1"/>
  <c r="AK72" i="2" a="1"/>
  <c r="AK72" i="2" s="1"/>
  <c r="AJ72" i="2" s="1"/>
  <c r="AA77" i="2" a="1"/>
  <c r="AA77" i="2" s="1"/>
  <c r="AF134" i="2" a="1"/>
  <c r="AF134" i="2" s="1"/>
  <c r="AF140" i="2" a="1"/>
  <c r="AF140" i="2" s="1"/>
  <c r="Y157" i="2" a="1"/>
  <c r="Y157" i="2" s="1"/>
  <c r="AA101" i="2" a="1"/>
  <c r="AA101" i="2" s="1"/>
  <c r="AA145" i="2" a="1"/>
  <c r="AA145" i="2" s="1"/>
  <c r="AF30" i="2" a="1"/>
  <c r="AF30" i="2" s="1"/>
  <c r="AD92" i="2" a="1"/>
  <c r="AD92" i="2" s="1"/>
  <c r="AK92" i="2" a="1"/>
  <c r="AK92" i="2" s="1"/>
  <c r="AJ92" i="2" s="1"/>
  <c r="AB92" i="2" a="1"/>
  <c r="AB92" i="2" s="1"/>
  <c r="AA92" i="2" a="1"/>
  <c r="AA92" i="2" s="1"/>
  <c r="Z92" i="2" a="1"/>
  <c r="Z92" i="2" s="1"/>
  <c r="AF44" i="2" a="1"/>
  <c r="AF44" i="2" s="1"/>
  <c r="AH44" i="2" a="1"/>
  <c r="AH44" i="2" s="1"/>
  <c r="AG93" i="2" a="1"/>
  <c r="AG93" i="2" s="1"/>
  <c r="X93" i="2" a="1"/>
  <c r="X93" i="2" s="1"/>
  <c r="AD86" i="2" a="1"/>
  <c r="AD86" i="2" s="1"/>
  <c r="AC86" i="2" a="1"/>
  <c r="AC86" i="2" s="1"/>
  <c r="AA91" i="2" a="1"/>
  <c r="AA91" i="2" s="1"/>
  <c r="AG91" i="2" a="1"/>
  <c r="AG91" i="2" s="1"/>
  <c r="Z91" i="2" a="1"/>
  <c r="Z91" i="2" s="1"/>
  <c r="X91" i="2" a="1"/>
  <c r="X91" i="2" s="1"/>
  <c r="AG11" i="2" a="1"/>
  <c r="AG11" i="2" s="1"/>
  <c r="AF26" i="2" a="1"/>
  <c r="AF26" i="2" s="1"/>
  <c r="AH58" i="2" a="1"/>
  <c r="AH58" i="2" s="1"/>
  <c r="AK77" i="2" a="1"/>
  <c r="AK77" i="2" s="1"/>
  <c r="AJ77" i="2" s="1"/>
  <c r="AK116" i="2" a="1"/>
  <c r="AK116" i="2" s="1"/>
  <c r="AJ116" i="2" s="1"/>
  <c r="AA116" i="2" a="1"/>
  <c r="AA116" i="2" s="1"/>
  <c r="AF12" i="2" a="1"/>
  <c r="AF12" i="2" s="1"/>
  <c r="AH12" i="2" a="1"/>
  <c r="AH12" i="2" s="1"/>
  <c r="AE12" i="2" a="1"/>
  <c r="AE12" i="2" s="1"/>
  <c r="AD12" i="2" a="1"/>
  <c r="AD12" i="2" s="1"/>
  <c r="AB12" i="2" a="1"/>
  <c r="AB12" i="2" s="1"/>
  <c r="AA12" i="2" a="1"/>
  <c r="AA12" i="2" s="1"/>
  <c r="Y12" i="2" a="1"/>
  <c r="Y12" i="2" s="1"/>
  <c r="AE75" i="2" a="1"/>
  <c r="AE75" i="2" s="1"/>
  <c r="AG75" i="2" a="1"/>
  <c r="AG75" i="2" s="1"/>
  <c r="AF75" i="2" a="1"/>
  <c r="AF75" i="2" s="1"/>
  <c r="AD75" i="2" a="1"/>
  <c r="AD75" i="2" s="1"/>
  <c r="Y75" i="2" a="1"/>
  <c r="Y75" i="2" s="1"/>
  <c r="X75" i="2" a="1"/>
  <c r="X75" i="2" s="1"/>
  <c r="AA30" i="2" a="1"/>
  <c r="AA30" i="2" s="1"/>
  <c r="W28" i="2" a="1"/>
  <c r="W28" i="2" s="1"/>
  <c r="X28" i="2" a="1"/>
  <c r="X28" i="2" s="1"/>
  <c r="W134" i="2" a="1"/>
  <c r="W134" i="2" s="1"/>
  <c r="AH140" i="2" a="1"/>
  <c r="AH140" i="2" s="1"/>
  <c r="AD140" i="2" a="1"/>
  <c r="AD140" i="2" s="1"/>
  <c r="AC140" i="2" a="1"/>
  <c r="AC140" i="2" s="1"/>
  <c r="AA140" i="2" a="1"/>
  <c r="AA140" i="2" s="1"/>
  <c r="Z140" i="2" a="1"/>
  <c r="Z140" i="2" s="1"/>
  <c r="Y140" i="2" a="1"/>
  <c r="Y140" i="2" s="1"/>
  <c r="AK140" i="2" a="1"/>
  <c r="AK140" i="2" s="1"/>
  <c r="AJ140" i="2" s="1"/>
  <c r="X140" i="2" a="1"/>
  <c r="X140" i="2" s="1"/>
  <c r="W140" i="2" a="1"/>
  <c r="W140" i="2" s="1"/>
  <c r="AE93" i="2" a="1"/>
  <c r="AE93" i="2" s="1"/>
  <c r="AH93" i="2" a="1"/>
  <c r="AH93" i="2" s="1"/>
  <c r="AK104" i="2" a="1"/>
  <c r="AK104" i="2" s="1"/>
  <c r="AJ104" i="2" s="1"/>
  <c r="AG104" i="2" a="1"/>
  <c r="AG104" i="2" s="1"/>
  <c r="AF104" i="2" a="1"/>
  <c r="AF104" i="2" s="1"/>
  <c r="AD104" i="2" a="1"/>
  <c r="AD104" i="2" s="1"/>
  <c r="AC104" i="2" a="1"/>
  <c r="AC104" i="2" s="1"/>
  <c r="AB104" i="2" a="1"/>
  <c r="AB104" i="2" s="1"/>
  <c r="AG26" i="2" a="1"/>
  <c r="AG26" i="2" s="1"/>
  <c r="X36" i="2" a="1"/>
  <c r="X36" i="2" s="1"/>
  <c r="W36" i="2" a="1"/>
  <c r="W36" i="2" s="1"/>
  <c r="AD46" i="2" a="1"/>
  <c r="AD46" i="2" s="1"/>
  <c r="W66" i="2" a="1"/>
  <c r="W66" i="2" s="1"/>
  <c r="AK134" i="2" a="1"/>
  <c r="AK134" i="2" s="1"/>
  <c r="AJ134" i="2" s="1"/>
  <c r="AE147" i="2" a="1"/>
  <c r="AE147" i="2" s="1"/>
  <c r="AD147" i="2" a="1"/>
  <c r="AD147" i="2" s="1"/>
  <c r="AB147" i="2" a="1"/>
  <c r="AB147" i="2" s="1"/>
  <c r="AA147" i="2" a="1"/>
  <c r="AA147" i="2" s="1"/>
  <c r="Z147" i="2" a="1"/>
  <c r="Z147" i="2" s="1"/>
  <c r="X147" i="2" a="1"/>
  <c r="X147" i="2" s="1"/>
  <c r="W147" i="2" a="1"/>
  <c r="W147" i="2" s="1"/>
  <c r="W154" i="2" a="1"/>
  <c r="W154" i="2" s="1"/>
  <c r="AB8" i="2" a="1"/>
  <c r="AB8" i="2" s="1"/>
  <c r="X13" i="2" a="1"/>
  <c r="X13" i="2" s="1"/>
  <c r="AA157" i="2" a="1"/>
  <c r="AA157" i="2" s="1"/>
  <c r="AF17" i="2" a="1"/>
  <c r="AF17" i="2" s="1"/>
  <c r="AE17" i="2" a="1"/>
  <c r="AE17" i="2" s="1"/>
  <c r="AB17" i="2" a="1"/>
  <c r="AB17" i="2" s="1"/>
  <c r="Z17" i="2" a="1"/>
  <c r="Z17" i="2" s="1"/>
  <c r="Y17" i="2" a="1"/>
  <c r="Y17" i="2" s="1"/>
  <c r="W131" i="2" a="1"/>
  <c r="W131" i="2" s="1"/>
  <c r="AH131" i="2" a="1"/>
  <c r="AH131" i="2" s="1"/>
  <c r="AF131" i="2" a="1"/>
  <c r="AF131" i="2" s="1"/>
  <c r="AE131" i="2" a="1"/>
  <c r="AE131" i="2" s="1"/>
  <c r="W17" i="2" a="1"/>
  <c r="W17" i="2" s="1"/>
  <c r="AC17" i="2" a="1"/>
  <c r="AC17" i="2" s="1"/>
  <c r="X68" i="2" a="1"/>
  <c r="X68" i="2" s="1"/>
  <c r="Y91" i="2" a="1"/>
  <c r="Y91" i="2" s="1"/>
  <c r="AF46" i="2" a="1"/>
  <c r="AF46" i="2" s="1"/>
  <c r="AC59" i="2" a="1"/>
  <c r="AC59" i="2" s="1"/>
  <c r="AH59" i="2" a="1"/>
  <c r="AH59" i="2" s="1"/>
  <c r="AG59" i="2" a="1"/>
  <c r="AG59" i="2" s="1"/>
  <c r="AB59" i="2" a="1"/>
  <c r="AB59" i="2" s="1"/>
  <c r="AB142" i="2" a="1"/>
  <c r="AB142" i="2" s="1"/>
  <c r="X142" i="2" a="1"/>
  <c r="X142" i="2" s="1"/>
  <c r="AK142" i="2" a="1"/>
  <c r="AK142" i="2" s="1"/>
  <c r="AJ142" i="2" s="1"/>
  <c r="W142" i="2" a="1"/>
  <c r="W142" i="2" s="1"/>
  <c r="AG142" i="2" a="1"/>
  <c r="AG142" i="2" s="1"/>
  <c r="AF142" i="2" a="1"/>
  <c r="AF142" i="2" s="1"/>
  <c r="AE142" i="2" a="1"/>
  <c r="AE142" i="2" s="1"/>
  <c r="AD142" i="2" a="1"/>
  <c r="AD142" i="2" s="1"/>
  <c r="AC142" i="2" a="1"/>
  <c r="AC142" i="2" s="1"/>
  <c r="W145" i="2" a="1"/>
  <c r="W145" i="2" s="1"/>
  <c r="AE44" i="2" a="1"/>
  <c r="AE44" i="2" s="1"/>
  <c r="AB157" i="2" a="1"/>
  <c r="AB157" i="2" s="1"/>
  <c r="AK121" i="2" a="1"/>
  <c r="AK121" i="2" s="1"/>
  <c r="AJ121" i="2" s="1"/>
  <c r="W143" i="2" a="1"/>
  <c r="W143" i="2" s="1"/>
  <c r="AD27" i="2" a="1"/>
  <c r="AD27" i="2" s="1"/>
  <c r="AK27" i="2" a="1"/>
  <c r="AK27" i="2" s="1"/>
  <c r="AJ27" i="2" s="1"/>
  <c r="AH27" i="2" a="1"/>
  <c r="AH27" i="2" s="1"/>
  <c r="AG27" i="2" a="1"/>
  <c r="AG27" i="2" s="1"/>
  <c r="AC27" i="2" a="1"/>
  <c r="AC27" i="2" s="1"/>
  <c r="AB27" i="2" a="1"/>
  <c r="AB27" i="2" s="1"/>
  <c r="AA27" i="2" a="1"/>
  <c r="AA27" i="2" s="1"/>
  <c r="Z27" i="2" a="1"/>
  <c r="Z27" i="2" s="1"/>
  <c r="AA37" i="2" a="1"/>
  <c r="AA37" i="2" s="1"/>
  <c r="AK37" i="2" a="1"/>
  <c r="AK37" i="2" s="1"/>
  <c r="AJ37" i="2" s="1"/>
  <c r="Z37" i="2" a="1"/>
  <c r="Z37" i="2" s="1"/>
  <c r="AA135" i="2" a="1"/>
  <c r="AA135" i="2" s="1"/>
  <c r="AF135" i="2" a="1"/>
  <c r="AF135" i="2" s="1"/>
  <c r="AE135" i="2" a="1"/>
  <c r="AE135" i="2" s="1"/>
  <c r="AC135" i="2" a="1"/>
  <c r="AC135" i="2" s="1"/>
  <c r="AE154" i="2" a="1"/>
  <c r="AE154" i="2" s="1"/>
  <c r="AK102" i="2" a="1"/>
  <c r="AK102" i="2" s="1"/>
  <c r="AJ102" i="2" s="1"/>
  <c r="AC29" i="2" a="1"/>
  <c r="AC29" i="2" s="1"/>
  <c r="Y67" i="2" a="1"/>
  <c r="Y67" i="2" s="1"/>
  <c r="AC69" i="2" a="1"/>
  <c r="AC69" i="2" s="1"/>
  <c r="AD132" i="2" a="1"/>
  <c r="AD132" i="2" s="1"/>
  <c r="AC133" i="2" a="1"/>
  <c r="AC133" i="2" s="1"/>
  <c r="AF138" i="2" a="1"/>
  <c r="AF138" i="2" s="1"/>
  <c r="Y148" i="2" a="1"/>
  <c r="Y148" i="2" s="1"/>
  <c r="AK148" i="2" a="1"/>
  <c r="AK148" i="2" s="1"/>
  <c r="AJ148" i="2" s="1"/>
  <c r="AA159" i="2" a="1"/>
  <c r="AA159" i="2" s="1"/>
  <c r="AD29" i="2" a="1"/>
  <c r="AD29" i="2" s="1"/>
  <c r="AH156" i="2" a="1"/>
  <c r="AH156" i="2" s="1"/>
  <c r="AG29" i="2" a="1"/>
  <c r="AG29" i="2" s="1"/>
  <c r="X34" i="2" a="1"/>
  <c r="X34" i="2" s="1"/>
  <c r="AC67" i="2" a="1"/>
  <c r="AC67" i="2" s="1"/>
  <c r="AE69" i="2" a="1"/>
  <c r="AE69" i="2" s="1"/>
  <c r="AG138" i="2" a="1"/>
  <c r="AG138" i="2" s="1"/>
  <c r="Z148" i="2" a="1"/>
  <c r="Z148" i="2" s="1"/>
  <c r="AH29" i="2" a="1"/>
  <c r="AH29" i="2" s="1"/>
  <c r="Z34" i="2" a="1"/>
  <c r="Z34" i="2" s="1"/>
  <c r="AE150" i="2" a="1"/>
  <c r="AE150" i="2" s="1"/>
  <c r="X102" i="2" a="1"/>
  <c r="X102" i="2" s="1"/>
  <c r="AA117" i="2" a="1"/>
  <c r="AA117" i="2" s="1"/>
  <c r="Z19" i="2" a="1"/>
  <c r="Z19" i="2" s="1"/>
  <c r="Y103" i="2" a="1"/>
  <c r="Y103" i="2" s="1"/>
  <c r="W124" i="2" a="1"/>
  <c r="W124" i="2" s="1"/>
  <c r="Y102" i="2" a="1"/>
  <c r="Y102" i="2" s="1"/>
  <c r="Z103" i="2" a="1"/>
  <c r="Z103" i="2" s="1"/>
  <c r="AA108" i="2" a="1"/>
  <c r="AA108" i="2" s="1"/>
  <c r="AD15" i="2" a="1"/>
  <c r="AD15" i="2" s="1"/>
  <c r="Y23" i="2" a="1"/>
  <c r="Y23" i="2" s="1"/>
  <c r="AK29" i="2" a="1"/>
  <c r="AK29" i="2" s="1"/>
  <c r="AJ29" i="2" s="1"/>
  <c r="AA34" i="2" a="1"/>
  <c r="AA34" i="2" s="1"/>
  <c r="AA39" i="2" a="1"/>
  <c r="AA39" i="2" s="1"/>
  <c r="X56" i="2" a="1"/>
  <c r="X56" i="2" s="1"/>
  <c r="W60" i="2" a="1"/>
  <c r="W60" i="2" s="1"/>
  <c r="AA102" i="2" a="1"/>
  <c r="AA102" i="2" s="1"/>
  <c r="AK15" i="2" a="1"/>
  <c r="AK15" i="2" s="1"/>
  <c r="AJ15" i="2" s="1"/>
  <c r="AH23" i="2" a="1"/>
  <c r="AH23" i="2" s="1"/>
  <c r="X29" i="2" a="1"/>
  <c r="X29" i="2" s="1"/>
  <c r="AK34" i="2" a="1"/>
  <c r="AK34" i="2" s="1"/>
  <c r="AJ34" i="2" s="1"/>
  <c r="AB56" i="2" a="1"/>
  <c r="AB56" i="2" s="1"/>
  <c r="AD148" i="2" a="1"/>
  <c r="AD148" i="2" s="1"/>
  <c r="AC90" i="2" a="1"/>
  <c r="AC90" i="2" s="1"/>
  <c r="AD90" i="2" a="1"/>
  <c r="AD90" i="2" s="1"/>
  <c r="AF90" i="2" a="1"/>
  <c r="AF90" i="2" s="1"/>
  <c r="AK90" i="2" a="1"/>
  <c r="AK90" i="2" s="1"/>
  <c r="AJ90" i="2" s="1"/>
  <c r="AH90" i="2" a="1"/>
  <c r="AH90" i="2" s="1"/>
  <c r="W90" i="2" a="1"/>
  <c r="W90" i="2" s="1"/>
  <c r="AB90" i="2" a="1"/>
  <c r="AB90" i="2" s="1"/>
  <c r="AA90" i="2" a="1"/>
  <c r="AA90" i="2" s="1"/>
  <c r="Z90" i="2" a="1"/>
  <c r="Z90" i="2" s="1"/>
  <c r="Y90" i="2" a="1"/>
  <c r="Y90" i="2" s="1"/>
  <c r="AG90" i="2" a="1"/>
  <c r="AG90" i="2" s="1"/>
  <c r="X90" i="2" a="1"/>
  <c r="X90" i="2" s="1"/>
  <c r="AE90" i="2" a="1"/>
  <c r="AE90" i="2" s="1"/>
  <c r="AF112" i="2" a="1"/>
  <c r="AF112" i="2" s="1"/>
  <c r="AA112" i="2" a="1"/>
  <c r="AA112" i="2" s="1"/>
  <c r="AD112" i="2" a="1"/>
  <c r="AD112" i="2" s="1"/>
  <c r="AC112" i="2" a="1"/>
  <c r="AC112" i="2" s="1"/>
  <c r="AB112" i="2" a="1"/>
  <c r="AB112" i="2" s="1"/>
  <c r="Z112" i="2" a="1"/>
  <c r="Z112" i="2" s="1"/>
  <c r="AG112" i="2" a="1"/>
  <c r="AG112" i="2" s="1"/>
  <c r="X112" i="2" a="1"/>
  <c r="X112" i="2" s="1"/>
  <c r="AH112" i="2" a="1"/>
  <c r="AH112" i="2" s="1"/>
  <c r="W112" i="2" a="1"/>
  <c r="W112" i="2" s="1"/>
  <c r="AE112" i="2" a="1"/>
  <c r="AE112" i="2" s="1"/>
  <c r="Y112" i="2" a="1"/>
  <c r="Y112" i="2" s="1"/>
  <c r="AK112" i="2" a="1"/>
  <c r="AK112" i="2" s="1"/>
  <c r="AJ112" i="2" s="1"/>
  <c r="AF85" i="2" a="1"/>
  <c r="AF85" i="2" s="1"/>
  <c r="X85" i="2" a="1"/>
  <c r="X85" i="2" s="1"/>
  <c r="Y85" i="2" a="1"/>
  <c r="Y85" i="2" s="1"/>
  <c r="AH85" i="2" a="1"/>
  <c r="AH85" i="2" s="1"/>
  <c r="AE85" i="2" a="1"/>
  <c r="AE85" i="2" s="1"/>
  <c r="AB85" i="2" a="1"/>
  <c r="AB85" i="2" s="1"/>
  <c r="AG85" i="2" a="1"/>
  <c r="AG85" i="2" s="1"/>
  <c r="W85" i="2" a="1"/>
  <c r="W85" i="2" s="1"/>
  <c r="AD85" i="2" a="1"/>
  <c r="AD85" i="2" s="1"/>
  <c r="AC85" i="2" a="1"/>
  <c r="AC85" i="2" s="1"/>
  <c r="AE16" i="2" a="1"/>
  <c r="AE16" i="2" s="1"/>
  <c r="W16" i="2" a="1"/>
  <c r="W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AK16" i="2" a="1"/>
  <c r="AK16" i="2" s="1"/>
  <c r="AJ16" i="2" s="1"/>
  <c r="Y16" i="2" a="1"/>
  <c r="Y16" i="2" s="1"/>
  <c r="X16" i="2" a="1"/>
  <c r="X16" i="2" s="1"/>
  <c r="AG16" i="2" a="1"/>
  <c r="AG16" i="2" s="1"/>
  <c r="AH16" i="2" a="1"/>
  <c r="AH16" i="2" s="1"/>
  <c r="AF16" i="2" a="1"/>
  <c r="AF16" i="2" s="1"/>
  <c r="Z20" i="2" a="1"/>
  <c r="Z20" i="2" s="1"/>
  <c r="AH20" i="2" a="1"/>
  <c r="AH20" i="2" s="1"/>
  <c r="Y20" i="2" a="1"/>
  <c r="Y20" i="2" s="1"/>
  <c r="AG20" i="2" a="1"/>
  <c r="AG20" i="2" s="1"/>
  <c r="X20" i="2" a="1"/>
  <c r="X20" i="2" s="1"/>
  <c r="W20" i="2" a="1"/>
  <c r="W20" i="2" s="1"/>
  <c r="AC20" i="2" a="1"/>
  <c r="AC20" i="2" s="1"/>
  <c r="AB20" i="2" a="1"/>
  <c r="AB20" i="2" s="1"/>
  <c r="AA20" i="2" a="1"/>
  <c r="AA20" i="2" s="1"/>
  <c r="AK20" i="2" a="1"/>
  <c r="AK20" i="2" s="1"/>
  <c r="AJ20" i="2" s="1"/>
  <c r="AF20" i="2" a="1"/>
  <c r="AF20" i="2" s="1"/>
  <c r="AE20" i="2" a="1"/>
  <c r="AE20" i="2" s="1"/>
  <c r="Z85" i="2" a="1"/>
  <c r="Z85" i="2" s="1"/>
  <c r="Y88" i="2" a="1"/>
  <c r="Y88" i="2" s="1"/>
  <c r="AC100" i="2" a="1"/>
  <c r="AC100" i="2" s="1"/>
  <c r="AH100" i="2" a="1"/>
  <c r="AH100" i="2" s="1"/>
  <c r="AF100" i="2" a="1"/>
  <c r="AF100" i="2" s="1"/>
  <c r="AA100" i="2" a="1"/>
  <c r="AA100" i="2" s="1"/>
  <c r="Z100" i="2" a="1"/>
  <c r="Z100" i="2" s="1"/>
  <c r="AK100" i="2" a="1"/>
  <c r="AK100" i="2" s="1"/>
  <c r="AJ100" i="2" s="1"/>
  <c r="Y100" i="2" a="1"/>
  <c r="Y100" i="2" s="1"/>
  <c r="AE100" i="2" a="1"/>
  <c r="AE100" i="2" s="1"/>
  <c r="AG100" i="2" a="1"/>
  <c r="AG100" i="2" s="1"/>
  <c r="X100" i="2" a="1"/>
  <c r="X100" i="2" s="1"/>
  <c r="W100" i="2" a="1"/>
  <c r="W100" i="2" s="1"/>
  <c r="AF106" i="2" a="1"/>
  <c r="AF106" i="2" s="1"/>
  <c r="X106" i="2" a="1"/>
  <c r="X106" i="2" s="1"/>
  <c r="AC106" i="2" a="1"/>
  <c r="AC106" i="2" s="1"/>
  <c r="AB106" i="2" a="1"/>
  <c r="AB106" i="2" s="1"/>
  <c r="AH106" i="2" a="1"/>
  <c r="AH106" i="2" s="1"/>
  <c r="W106" i="2" a="1"/>
  <c r="W106" i="2" s="1"/>
  <c r="AG106" i="2" a="1"/>
  <c r="AG106" i="2" s="1"/>
  <c r="Z106" i="2" a="1"/>
  <c r="Z106" i="2" s="1"/>
  <c r="AE106" i="2" a="1"/>
  <c r="AE106" i="2" s="1"/>
  <c r="AD106" i="2" a="1"/>
  <c r="AD106" i="2" s="1"/>
  <c r="AA106" i="2" a="1"/>
  <c r="AA106" i="2" s="1"/>
  <c r="AB111" i="2" a="1"/>
  <c r="AB111" i="2" s="1"/>
  <c r="AK111" i="2" a="1"/>
  <c r="AK111" i="2" s="1"/>
  <c r="AJ111" i="2" s="1"/>
  <c r="AA111" i="2" a="1"/>
  <c r="AA111" i="2" s="1"/>
  <c r="Z111" i="2" a="1"/>
  <c r="Z111" i="2" s="1"/>
  <c r="AG111" i="2" a="1"/>
  <c r="AG111" i="2" s="1"/>
  <c r="AE111" i="2" a="1"/>
  <c r="AE111" i="2" s="1"/>
  <c r="AH111" i="2" a="1"/>
  <c r="AH111" i="2" s="1"/>
  <c r="AF111" i="2" a="1"/>
  <c r="AF111" i="2" s="1"/>
  <c r="AC111" i="2" a="1"/>
  <c r="AC111" i="2" s="1"/>
  <c r="AD111" i="2" a="1"/>
  <c r="AD111" i="2" s="1"/>
  <c r="Y111" i="2" a="1"/>
  <c r="Y111" i="2" s="1"/>
  <c r="X111" i="2" a="1"/>
  <c r="X111" i="2" s="1"/>
  <c r="AG97" i="2" a="1"/>
  <c r="AG97" i="2" s="1"/>
  <c r="AK97" i="2" a="1"/>
  <c r="AK97" i="2" s="1"/>
  <c r="AJ97" i="2" s="1"/>
  <c r="AA97" i="2" a="1"/>
  <c r="AA97" i="2" s="1"/>
  <c r="W97" i="2" a="1"/>
  <c r="W97" i="2" s="1"/>
  <c r="AB97" i="2" a="1"/>
  <c r="AB97" i="2" s="1"/>
  <c r="AF97" i="2" a="1"/>
  <c r="AF97" i="2" s="1"/>
  <c r="AE97" i="2" a="1"/>
  <c r="AE97" i="2" s="1"/>
  <c r="AD97" i="2" a="1"/>
  <c r="AD97" i="2" s="1"/>
  <c r="AC97" i="2" a="1"/>
  <c r="AC97" i="2" s="1"/>
  <c r="Y97" i="2" a="1"/>
  <c r="Y97" i="2" s="1"/>
  <c r="Z97" i="2" a="1"/>
  <c r="Z97" i="2" s="1"/>
  <c r="AB100" i="2" a="1"/>
  <c r="AB100" i="2" s="1"/>
  <c r="W111" i="2" a="1"/>
  <c r="W111" i="2" s="1"/>
  <c r="AF128" i="2" a="1"/>
  <c r="AF128" i="2" s="1"/>
  <c r="X128" i="2" a="1"/>
  <c r="X128" i="2" s="1"/>
  <c r="AA128" i="2" a="1"/>
  <c r="AA128" i="2" s="1"/>
  <c r="AK128" i="2" a="1"/>
  <c r="AK128" i="2" s="1"/>
  <c r="AJ128" i="2" s="1"/>
  <c r="Z128" i="2" a="1"/>
  <c r="Z128" i="2" s="1"/>
  <c r="AH128" i="2" a="1"/>
  <c r="AH128" i="2" s="1"/>
  <c r="Y128" i="2" a="1"/>
  <c r="Y128" i="2" s="1"/>
  <c r="AG128" i="2" a="1"/>
  <c r="AG128" i="2" s="1"/>
  <c r="W128" i="2" a="1"/>
  <c r="W128" i="2" s="1"/>
  <c r="AE128" i="2" a="1"/>
  <c r="AE128" i="2" s="1"/>
  <c r="AB128" i="2" a="1"/>
  <c r="AB128" i="2" s="1"/>
  <c r="AD128" i="2" a="1"/>
  <c r="AD128" i="2" s="1"/>
  <c r="AC128" i="2" a="1"/>
  <c r="AC128" i="2" s="1"/>
  <c r="AK85" i="2" a="1"/>
  <c r="AK85" i="2" s="1"/>
  <c r="AJ85" i="2" s="1"/>
  <c r="AH94" i="2" a="1"/>
  <c r="AH94" i="2" s="1"/>
  <c r="AE94" i="2" a="1"/>
  <c r="AE94" i="2" s="1"/>
  <c r="W94" i="2" a="1"/>
  <c r="W94" i="2" s="1"/>
  <c r="AD94" i="2" a="1"/>
  <c r="AD94" i="2" s="1"/>
  <c r="AC94" i="2" a="1"/>
  <c r="AC94" i="2" s="1"/>
  <c r="AG94" i="2" a="1"/>
  <c r="AG94" i="2" s="1"/>
  <c r="AB94" i="2" a="1"/>
  <c r="AB94" i="2" s="1"/>
  <c r="X94" i="2" a="1"/>
  <c r="X94" i="2" s="1"/>
  <c r="AA94" i="2" a="1"/>
  <c r="AA94" i="2" s="1"/>
  <c r="Z94" i="2" a="1"/>
  <c r="Z94" i="2" s="1"/>
  <c r="AK94" i="2" a="1"/>
  <c r="AK94" i="2" s="1"/>
  <c r="AJ94" i="2" s="1"/>
  <c r="Y94" i="2" a="1"/>
  <c r="Y94" i="2" s="1"/>
  <c r="AD100" i="2" a="1"/>
  <c r="AD100" i="2" s="1"/>
  <c r="Y106" i="2" a="1"/>
  <c r="Y106" i="2" s="1"/>
  <c r="AK9" i="2" a="1"/>
  <c r="AK9" i="2" s="1"/>
  <c r="AJ9" i="2" s="1"/>
  <c r="AB9" i="2" a="1"/>
  <c r="AB9" i="2" s="1"/>
  <c r="AH9" i="2" a="1"/>
  <c r="AH9" i="2" s="1"/>
  <c r="Z9" i="2" a="1"/>
  <c r="Z9" i="2" s="1"/>
  <c r="AE9" i="2" a="1"/>
  <c r="AE9" i="2" s="1"/>
  <c r="W9" i="2" a="1"/>
  <c r="W9" i="2" s="1"/>
  <c r="AD9" i="2" a="1"/>
  <c r="AD9" i="2" s="1"/>
  <c r="AC9" i="2" a="1"/>
  <c r="AC9" i="2" s="1"/>
  <c r="AA9" i="2" a="1"/>
  <c r="AA9" i="2" s="1"/>
  <c r="X9" i="2" a="1"/>
  <c r="X9" i="2" s="1"/>
  <c r="Y9" i="2" a="1"/>
  <c r="Y9" i="2" s="1"/>
  <c r="AG9" i="2" a="1"/>
  <c r="AG9" i="2" s="1"/>
  <c r="AF9" i="2" a="1"/>
  <c r="AF9" i="2" s="1"/>
  <c r="AE83" i="2" a="1"/>
  <c r="AE83" i="2" s="1"/>
  <c r="W83" i="2" a="1"/>
  <c r="W83" i="2" s="1"/>
  <c r="AC83" i="2" a="1"/>
  <c r="AC83" i="2" s="1"/>
  <c r="AB83" i="2" a="1"/>
  <c r="AB83" i="2" s="1"/>
  <c r="X83" i="2" a="1"/>
  <c r="X83" i="2" s="1"/>
  <c r="AK83" i="2" a="1"/>
  <c r="AK83" i="2" s="1"/>
  <c r="AJ83" i="2" s="1"/>
  <c r="AA83" i="2" a="1"/>
  <c r="AA83" i="2" s="1"/>
  <c r="Z83" i="2" a="1"/>
  <c r="Z83" i="2" s="1"/>
  <c r="AG83" i="2" a="1"/>
  <c r="AG83" i="2" s="1"/>
  <c r="Y83" i="2" a="1"/>
  <c r="Y83" i="2" s="1"/>
  <c r="AH83" i="2" a="1"/>
  <c r="AH83" i="2" s="1"/>
  <c r="AF83" i="2" a="1"/>
  <c r="AF83" i="2" s="1"/>
  <c r="AA86" i="2" a="1"/>
  <c r="AA86" i="2" s="1"/>
  <c r="AB86" i="2" a="1"/>
  <c r="AB86" i="2" s="1"/>
  <c r="W86" i="2" a="1"/>
  <c r="W86" i="2" s="1"/>
  <c r="AK86" i="2" a="1"/>
  <c r="AK86" i="2" s="1"/>
  <c r="AJ86" i="2" s="1"/>
  <c r="AH86" i="2" a="1"/>
  <c r="AH86" i="2" s="1"/>
  <c r="Z86" i="2" a="1"/>
  <c r="Z86" i="2" s="1"/>
  <c r="Y86" i="2" a="1"/>
  <c r="Y86" i="2" s="1"/>
  <c r="AF86" i="2" a="1"/>
  <c r="AF86" i="2" s="1"/>
  <c r="X86" i="2" a="1"/>
  <c r="X86" i="2" s="1"/>
  <c r="AG86" i="2" a="1"/>
  <c r="AG86" i="2" s="1"/>
  <c r="AE86" i="2" a="1"/>
  <c r="AE86" i="2" s="1"/>
  <c r="AD20" i="2" a="1"/>
  <c r="AD20" i="2" s="1"/>
  <c r="AK106" i="2" a="1"/>
  <c r="AK106" i="2" s="1"/>
  <c r="AJ106" i="2" s="1"/>
  <c r="AH97" i="2" a="1"/>
  <c r="AH97" i="2" s="1"/>
  <c r="AE123" i="2" a="1"/>
  <c r="AE123" i="2" s="1"/>
  <c r="AD123" i="2" a="1"/>
  <c r="AD123" i="2" s="1"/>
  <c r="AC123" i="2" a="1"/>
  <c r="AC123" i="2" s="1"/>
  <c r="AB123" i="2" a="1"/>
  <c r="AB123" i="2" s="1"/>
  <c r="AK123" i="2" a="1"/>
  <c r="AK123" i="2" s="1"/>
  <c r="AJ123" i="2" s="1"/>
  <c r="AA123" i="2" a="1"/>
  <c r="AA123" i="2" s="1"/>
  <c r="AH123" i="2" a="1"/>
  <c r="AH123" i="2" s="1"/>
  <c r="AG123" i="2" a="1"/>
  <c r="AG123" i="2" s="1"/>
  <c r="AF123" i="2" a="1"/>
  <c r="AF123" i="2" s="1"/>
  <c r="Z123" i="2" a="1"/>
  <c r="Z123" i="2" s="1"/>
  <c r="Y123" i="2" a="1"/>
  <c r="Y123" i="2" s="1"/>
  <c r="X123" i="2" a="1"/>
  <c r="X123" i="2" s="1"/>
  <c r="AC22" i="2" a="1"/>
  <c r="AC22" i="2" s="1"/>
  <c r="AB22" i="2" a="1"/>
  <c r="AB22" i="2" s="1"/>
  <c r="AA22" i="2" a="1"/>
  <c r="AA22" i="2" s="1"/>
  <c r="Z22" i="2" a="1"/>
  <c r="Z22" i="2" s="1"/>
  <c r="X22" i="2" a="1"/>
  <c r="X22" i="2" s="1"/>
  <c r="AD22" i="2" a="1"/>
  <c r="AD22" i="2" s="1"/>
  <c r="Y22" i="2" a="1"/>
  <c r="Y22" i="2" s="1"/>
  <c r="W22" i="2" a="1"/>
  <c r="W22" i="2" s="1"/>
  <c r="AK22" i="2" a="1"/>
  <c r="AK22" i="2" s="1"/>
  <c r="AJ22" i="2" s="1"/>
  <c r="AG22" i="2" a="1"/>
  <c r="AG22" i="2" s="1"/>
  <c r="AH22" i="2" a="1"/>
  <c r="AH22" i="2" s="1"/>
  <c r="AE22" i="2" a="1"/>
  <c r="AE22" i="2" s="1"/>
  <c r="AF22" i="2" a="1"/>
  <c r="AF22" i="2" s="1"/>
  <c r="AD95" i="2" a="1"/>
  <c r="AD95" i="2" s="1"/>
  <c r="X95" i="2" a="1"/>
  <c r="X95" i="2" s="1"/>
  <c r="Y95" i="2" a="1"/>
  <c r="Y95" i="2" s="1"/>
  <c r="AH95" i="2" a="1"/>
  <c r="AH95" i="2" s="1"/>
  <c r="AG95" i="2" a="1"/>
  <c r="AG95" i="2" s="1"/>
  <c r="W95" i="2" a="1"/>
  <c r="W95" i="2" s="1"/>
  <c r="AA95" i="2" a="1"/>
  <c r="AA95" i="2" s="1"/>
  <c r="AF95" i="2" a="1"/>
  <c r="AF95" i="2" s="1"/>
  <c r="AC95" i="2" a="1"/>
  <c r="AC95" i="2" s="1"/>
  <c r="AE95" i="2" a="1"/>
  <c r="AE95" i="2" s="1"/>
  <c r="AB95" i="2" a="1"/>
  <c r="AB95" i="2" s="1"/>
  <c r="AH84" i="2" a="1"/>
  <c r="AH84" i="2" s="1"/>
  <c r="Z84" i="2" a="1"/>
  <c r="Z84" i="2" s="1"/>
  <c r="AF84" i="2" a="1"/>
  <c r="AF84" i="2" s="1"/>
  <c r="AE84" i="2" a="1"/>
  <c r="AE84" i="2" s="1"/>
  <c r="AC84" i="2" a="1"/>
  <c r="AC84" i="2" s="1"/>
  <c r="AA84" i="2" a="1"/>
  <c r="AA84" i="2" s="1"/>
  <c r="AD84" i="2" a="1"/>
  <c r="AD84" i="2" s="1"/>
  <c r="AB84" i="2" a="1"/>
  <c r="AB84" i="2" s="1"/>
  <c r="AK84" i="2" a="1"/>
  <c r="AK84" i="2" s="1"/>
  <c r="AJ84" i="2" s="1"/>
  <c r="Y84" i="2" a="1"/>
  <c r="Y84" i="2" s="1"/>
  <c r="AA96" i="2" a="1"/>
  <c r="AA96" i="2" s="1"/>
  <c r="W96" i="2" a="1"/>
  <c r="W96" i="2" s="1"/>
  <c r="AH96" i="2" a="1"/>
  <c r="AH96" i="2" s="1"/>
  <c r="AC96" i="2" a="1"/>
  <c r="AC96" i="2" s="1"/>
  <c r="AB96" i="2" a="1"/>
  <c r="AB96" i="2" s="1"/>
  <c r="AG96" i="2" a="1"/>
  <c r="AG96" i="2" s="1"/>
  <c r="AK96" i="2" a="1"/>
  <c r="AK96" i="2" s="1"/>
  <c r="AJ96" i="2" s="1"/>
  <c r="Z96" i="2" a="1"/>
  <c r="Z96" i="2" s="1"/>
  <c r="Y96" i="2" a="1"/>
  <c r="Y96" i="2" s="1"/>
  <c r="X96" i="2" a="1"/>
  <c r="X96" i="2" s="1"/>
  <c r="AE96" i="2" a="1"/>
  <c r="AE96" i="2" s="1"/>
  <c r="AF96" i="2" a="1"/>
  <c r="AF96" i="2" s="1"/>
  <c r="W84" i="2" a="1"/>
  <c r="W84" i="2" s="1"/>
  <c r="Z95" i="2" a="1"/>
  <c r="Z95" i="2" s="1"/>
  <c r="AA7" i="2" a="1"/>
  <c r="AA7" i="2" s="1"/>
  <c r="AG7" i="2" a="1"/>
  <c r="AG7" i="2" s="1"/>
  <c r="Y7" i="2" a="1"/>
  <c r="Y7" i="2" s="1"/>
  <c r="AD7" i="2" a="1"/>
  <c r="AD7" i="2" s="1"/>
  <c r="AC7" i="2" a="1"/>
  <c r="AC7" i="2" s="1"/>
  <c r="AB7" i="2" a="1"/>
  <c r="AB7" i="2" s="1"/>
  <c r="Z7" i="2" a="1"/>
  <c r="Z7" i="2" s="1"/>
  <c r="AK7" i="2" a="1"/>
  <c r="AK7" i="2" s="1"/>
  <c r="AJ7" i="2" s="1"/>
  <c r="W7" i="2" a="1"/>
  <c r="W7" i="2" s="1"/>
  <c r="X7" i="2" a="1"/>
  <c r="X7" i="2" s="1"/>
  <c r="AH7" i="2" a="1"/>
  <c r="AH7" i="2" s="1"/>
  <c r="AF7" i="2" a="1"/>
  <c r="AF7" i="2" s="1"/>
  <c r="AE7" i="2" a="1"/>
  <c r="AE7" i="2" s="1"/>
  <c r="AK88" i="2" a="1"/>
  <c r="AK88" i="2" s="1"/>
  <c r="AJ88" i="2" s="1"/>
  <c r="AB88" i="2" a="1"/>
  <c r="AB88" i="2" s="1"/>
  <c r="AH88" i="2" a="1"/>
  <c r="AH88" i="2" s="1"/>
  <c r="AG88" i="2" a="1"/>
  <c r="AG88" i="2" s="1"/>
  <c r="AC88" i="2" a="1"/>
  <c r="AC88" i="2" s="1"/>
  <c r="X88" i="2" a="1"/>
  <c r="X88" i="2" s="1"/>
  <c r="AF88" i="2" a="1"/>
  <c r="AF88" i="2" s="1"/>
  <c r="W88" i="2" a="1"/>
  <c r="W88" i="2" s="1"/>
  <c r="AE88" i="2" a="1"/>
  <c r="AE88" i="2" s="1"/>
  <c r="AD88" i="2" a="1"/>
  <c r="AD88" i="2" s="1"/>
  <c r="AA88" i="2" a="1"/>
  <c r="AA88" i="2" s="1"/>
  <c r="X84" i="2" a="1"/>
  <c r="X84" i="2" s="1"/>
  <c r="AG87" i="2" a="1"/>
  <c r="AG87" i="2" s="1"/>
  <c r="Y87" i="2" a="1"/>
  <c r="Y87" i="2" s="1"/>
  <c r="AE87" i="2" a="1"/>
  <c r="AE87" i="2" s="1"/>
  <c r="AB87" i="2" a="1"/>
  <c r="AB87" i="2" s="1"/>
  <c r="X87" i="2" a="1"/>
  <c r="X87" i="2" s="1"/>
  <c r="AD87" i="2" a="1"/>
  <c r="AD87" i="2" s="1"/>
  <c r="Z87" i="2" a="1"/>
  <c r="Z87" i="2" s="1"/>
  <c r="AC87" i="2" a="1"/>
  <c r="AC87" i="2" s="1"/>
  <c r="AA87" i="2" a="1"/>
  <c r="AA87" i="2" s="1"/>
  <c r="AK87" i="2" a="1"/>
  <c r="AK87" i="2" s="1"/>
  <c r="AJ87" i="2" s="1"/>
  <c r="AH87" i="2" a="1"/>
  <c r="AH87" i="2" s="1"/>
  <c r="AA85" i="2" a="1"/>
  <c r="AA85" i="2" s="1"/>
  <c r="AK98" i="2" a="1"/>
  <c r="AK98" i="2" s="1"/>
  <c r="AJ98" i="2" s="1"/>
  <c r="AB98" i="2" a="1"/>
  <c r="AB98" i="2" s="1"/>
  <c r="Z98" i="2" a="1"/>
  <c r="Z98" i="2" s="1"/>
  <c r="AC98" i="2" a="1"/>
  <c r="AC98" i="2" s="1"/>
  <c r="AA98" i="2" a="1"/>
  <c r="AA98" i="2" s="1"/>
  <c r="Y98" i="2" a="1"/>
  <c r="Y98" i="2" s="1"/>
  <c r="AH98" i="2" a="1"/>
  <c r="AH98" i="2" s="1"/>
  <c r="X98" i="2" a="1"/>
  <c r="X98" i="2" s="1"/>
  <c r="AG98" i="2" a="1"/>
  <c r="AG98" i="2" s="1"/>
  <c r="W98" i="2" a="1"/>
  <c r="W98" i="2" s="1"/>
  <c r="AF98" i="2" a="1"/>
  <c r="AF98" i="2" s="1"/>
  <c r="AE98" i="2" a="1"/>
  <c r="AE98" i="2" s="1"/>
  <c r="AD98" i="2" a="1"/>
  <c r="AD98" i="2" s="1"/>
  <c r="AE126" i="2" a="1"/>
  <c r="AE126" i="2" s="1"/>
  <c r="W126" i="2" a="1"/>
  <c r="W126" i="2" s="1"/>
  <c r="AH126" i="2" a="1"/>
  <c r="AH126" i="2" s="1"/>
  <c r="Z126" i="2" a="1"/>
  <c r="Z126" i="2" s="1"/>
  <c r="AD126" i="2" a="1"/>
  <c r="AD126" i="2" s="1"/>
  <c r="AC126" i="2" a="1"/>
  <c r="AC126" i="2" s="1"/>
  <c r="AB126" i="2" a="1"/>
  <c r="AB126" i="2" s="1"/>
  <c r="AK126" i="2" a="1"/>
  <c r="AK126" i="2" s="1"/>
  <c r="AJ126" i="2" s="1"/>
  <c r="AA126" i="2" a="1"/>
  <c r="AA126" i="2" s="1"/>
  <c r="AG126" i="2" a="1"/>
  <c r="AG126" i="2" s="1"/>
  <c r="X126" i="2" a="1"/>
  <c r="X126" i="2" s="1"/>
  <c r="AF126" i="2" a="1"/>
  <c r="AF126" i="2" s="1"/>
  <c r="Y126" i="2" a="1"/>
  <c r="Y126" i="2" s="1"/>
  <c r="AH110" i="2" a="1"/>
  <c r="AH110" i="2" s="1"/>
  <c r="Z110" i="2" a="1"/>
  <c r="Z110" i="2" s="1"/>
  <c r="AA110" i="2" a="1"/>
  <c r="AA110" i="2" s="1"/>
  <c r="Y110" i="2" a="1"/>
  <c r="Y110" i="2" s="1"/>
  <c r="AG110" i="2" a="1"/>
  <c r="AG110" i="2" s="1"/>
  <c r="W110" i="2" a="1"/>
  <c r="W110" i="2" s="1"/>
  <c r="AK110" i="2" a="1"/>
  <c r="AK110" i="2" s="1"/>
  <c r="AJ110" i="2" s="1"/>
  <c r="AF110" i="2" a="1"/>
  <c r="AF110" i="2" s="1"/>
  <c r="AE110" i="2" a="1"/>
  <c r="AE110" i="2" s="1"/>
  <c r="AD110" i="2" a="1"/>
  <c r="AD110" i="2" s="1"/>
  <c r="X110" i="2" a="1"/>
  <c r="X110" i="2" s="1"/>
  <c r="AC110" i="2" a="1"/>
  <c r="AC110" i="2" s="1"/>
  <c r="AB110" i="2" a="1"/>
  <c r="AB110" i="2" s="1"/>
  <c r="AC115" i="2" a="1"/>
  <c r="AC115" i="2" s="1"/>
  <c r="AB115" i="2" a="1"/>
  <c r="AB115" i="2" s="1"/>
  <c r="AK115" i="2" a="1"/>
  <c r="AK115" i="2" s="1"/>
  <c r="AJ115" i="2" s="1"/>
  <c r="AA115" i="2" a="1"/>
  <c r="AA115" i="2" s="1"/>
  <c r="Y115" i="2" a="1"/>
  <c r="Y115" i="2" s="1"/>
  <c r="AF115" i="2" a="1"/>
  <c r="AF115" i="2" s="1"/>
  <c r="W115" i="2" a="1"/>
  <c r="W115" i="2" s="1"/>
  <c r="AE115" i="2" a="1"/>
  <c r="AE115" i="2" s="1"/>
  <c r="AH115" i="2" a="1"/>
  <c r="AH115" i="2" s="1"/>
  <c r="AG115" i="2" a="1"/>
  <c r="AG115" i="2" s="1"/>
  <c r="AD115" i="2" a="1"/>
  <c r="AD115" i="2" s="1"/>
  <c r="Z115" i="2" a="1"/>
  <c r="Z115" i="2" s="1"/>
  <c r="AK95" i="2" a="1"/>
  <c r="AK95" i="2" s="1"/>
  <c r="AJ95" i="2" s="1"/>
  <c r="AG84" i="2" a="1"/>
  <c r="AG84" i="2" s="1"/>
  <c r="AK99" i="2" a="1"/>
  <c r="AK99" i="2" s="1"/>
  <c r="AJ99" i="2" s="1"/>
  <c r="AA99" i="2" a="1"/>
  <c r="AA99" i="2" s="1"/>
  <c r="X99" i="2" a="1"/>
  <c r="X99" i="2" s="1"/>
  <c r="AF99" i="2" a="1"/>
  <c r="AF99" i="2" s="1"/>
  <c r="W99" i="2" a="1"/>
  <c r="W99" i="2" s="1"/>
  <c r="AE99" i="2" a="1"/>
  <c r="AE99" i="2" s="1"/>
  <c r="AH99" i="2" a="1"/>
  <c r="AH99" i="2" s="1"/>
  <c r="AD99" i="2" a="1"/>
  <c r="AD99" i="2" s="1"/>
  <c r="AC99" i="2" a="1"/>
  <c r="AC99" i="2" s="1"/>
  <c r="AB99" i="2" a="1"/>
  <c r="AB99" i="2" s="1"/>
  <c r="Z99" i="2" a="1"/>
  <c r="Z99" i="2" s="1"/>
  <c r="Y99" i="2" a="1"/>
  <c r="Y99" i="2" s="1"/>
  <c r="AK105" i="2" a="1"/>
  <c r="AK105" i="2" s="1"/>
  <c r="AJ105" i="2" s="1"/>
  <c r="AA105" i="2" a="1"/>
  <c r="AA105" i="2" s="1"/>
  <c r="X105" i="2" a="1"/>
  <c r="X105" i="2" s="1"/>
  <c r="AD105" i="2" a="1"/>
  <c r="AD105" i="2" s="1"/>
  <c r="Z105" i="2" a="1"/>
  <c r="Z105" i="2" s="1"/>
  <c r="Y105" i="2" a="1"/>
  <c r="Y105" i="2" s="1"/>
  <c r="AF105" i="2" a="1"/>
  <c r="AF105" i="2" s="1"/>
  <c r="W105" i="2" a="1"/>
  <c r="W105" i="2" s="1"/>
  <c r="AC105" i="2" a="1"/>
  <c r="AC105" i="2" s="1"/>
  <c r="AH105" i="2" a="1"/>
  <c r="AH105" i="2" s="1"/>
  <c r="AG105" i="2" a="1"/>
  <c r="AG105" i="2" s="1"/>
  <c r="AE105" i="2" a="1"/>
  <c r="AE105" i="2" s="1"/>
  <c r="AE38" i="2" a="1"/>
  <c r="AE38" i="2" s="1"/>
  <c r="W38" i="2" a="1"/>
  <c r="W38" i="2" s="1"/>
  <c r="AA38" i="2" a="1"/>
  <c r="AA38" i="2" s="1"/>
  <c r="AC38" i="2" a="1"/>
  <c r="AC38" i="2" s="1"/>
  <c r="AB38" i="2" a="1"/>
  <c r="AB38" i="2" s="1"/>
  <c r="Z38" i="2" a="1"/>
  <c r="Z38" i="2" s="1"/>
  <c r="AK38" i="2" a="1"/>
  <c r="AK38" i="2" s="1"/>
  <c r="AJ38" i="2" s="1"/>
  <c r="Y38" i="2" a="1"/>
  <c r="Y38" i="2" s="1"/>
  <c r="AH38" i="2" a="1"/>
  <c r="AH38" i="2" s="1"/>
  <c r="AG38" i="2" a="1"/>
  <c r="AG38" i="2" s="1"/>
  <c r="AD107" i="2" a="1"/>
  <c r="AD107" i="2" s="1"/>
  <c r="AA107" i="2" a="1"/>
  <c r="AA107" i="2" s="1"/>
  <c r="Y107" i="2" a="1"/>
  <c r="Y107" i="2" s="1"/>
  <c r="AG113" i="2" a="1"/>
  <c r="AG113" i="2" s="1"/>
  <c r="AF113" i="2" a="1"/>
  <c r="AF113" i="2" s="1"/>
  <c r="W113" i="2" a="1"/>
  <c r="W113" i="2" s="1"/>
  <c r="AE113" i="2" a="1"/>
  <c r="AE113" i="2" s="1"/>
  <c r="AD113" i="2" a="1"/>
  <c r="AD113" i="2" s="1"/>
  <c r="AC113" i="2" a="1"/>
  <c r="AC113" i="2" s="1"/>
  <c r="AK113" i="2" a="1"/>
  <c r="AK113" i="2" s="1"/>
  <c r="AJ113" i="2" s="1"/>
  <c r="W114" i="2" a="1"/>
  <c r="W114" i="2" s="1"/>
  <c r="AD119" i="2" a="1"/>
  <c r="AD119" i="2" s="1"/>
  <c r="AC119" i="2" a="1"/>
  <c r="AC119" i="2" s="1"/>
  <c r="AB119" i="2" a="1"/>
  <c r="AB119" i="2" s="1"/>
  <c r="AA119" i="2" a="1"/>
  <c r="AA119" i="2" s="1"/>
  <c r="AK119" i="2" a="1"/>
  <c r="AK119" i="2" s="1"/>
  <c r="AJ119" i="2" s="1"/>
  <c r="Z119" i="2" a="1"/>
  <c r="Z119" i="2" s="1"/>
  <c r="AG119" i="2" a="1"/>
  <c r="AG119" i="2" s="1"/>
  <c r="X119" i="2" a="1"/>
  <c r="X119" i="2" s="1"/>
  <c r="AG127" i="2" a="1"/>
  <c r="AG127" i="2" s="1"/>
  <c r="X127" i="2" a="1"/>
  <c r="X127" i="2" s="1"/>
  <c r="W127" i="2" a="1"/>
  <c r="W127" i="2" s="1"/>
  <c r="AF127" i="2" a="1"/>
  <c r="AF127" i="2" s="1"/>
  <c r="AE127" i="2" a="1"/>
  <c r="AE127" i="2" s="1"/>
  <c r="AD127" i="2" a="1"/>
  <c r="AD127" i="2" s="1"/>
  <c r="AC127" i="2" a="1"/>
  <c r="AC127" i="2" s="1"/>
  <c r="AK127" i="2" a="1"/>
  <c r="AK127" i="2" s="1"/>
  <c r="AJ127" i="2" s="1"/>
  <c r="AA127" i="2" a="1"/>
  <c r="AA127" i="2" s="1"/>
  <c r="X38" i="2" a="1"/>
  <c r="X38" i="2" s="1"/>
  <c r="AA160" i="2" a="1"/>
  <c r="AA160" i="2" s="1"/>
  <c r="AH160" i="2" a="1"/>
  <c r="AH160" i="2" s="1"/>
  <c r="Z160" i="2" a="1"/>
  <c r="Z160" i="2" s="1"/>
  <c r="AG160" i="2" a="1"/>
  <c r="AG160" i="2" s="1"/>
  <c r="Y160" i="2" a="1"/>
  <c r="Y160" i="2" s="1"/>
  <c r="AF160" i="2" a="1"/>
  <c r="AF160" i="2" s="1"/>
  <c r="X160" i="2" a="1"/>
  <c r="X160" i="2" s="1"/>
  <c r="AD160" i="2" a="1"/>
  <c r="AD160" i="2" s="1"/>
  <c r="AE160" i="2" a="1"/>
  <c r="AE160" i="2" s="1"/>
  <c r="AC160" i="2" a="1"/>
  <c r="AC160" i="2" s="1"/>
  <c r="AB160" i="2" a="1"/>
  <c r="AB160" i="2" s="1"/>
  <c r="W160" i="2" a="1"/>
  <c r="W160" i="2" s="1"/>
  <c r="AK160" i="2" a="1"/>
  <c r="AK160" i="2" s="1"/>
  <c r="AJ160" i="2" s="1"/>
  <c r="AK93" i="2" a="1"/>
  <c r="AK93" i="2" s="1"/>
  <c r="AJ93" i="2" s="1"/>
  <c r="AB93" i="2" a="1"/>
  <c r="AB93" i="2" s="1"/>
  <c r="W107" i="2" a="1"/>
  <c r="W107" i="2" s="1"/>
  <c r="X113" i="2" a="1"/>
  <c r="X113" i="2" s="1"/>
  <c r="W119" i="2" a="1"/>
  <c r="W119" i="2" s="1"/>
  <c r="AG130" i="2" a="1"/>
  <c r="AG130" i="2" s="1"/>
  <c r="Y130" i="2" a="1"/>
  <c r="Y130" i="2" s="1"/>
  <c r="AK130" i="2" a="1"/>
  <c r="AK130" i="2" s="1"/>
  <c r="AJ130" i="2" s="1"/>
  <c r="AB130" i="2" a="1"/>
  <c r="AB130" i="2" s="1"/>
  <c r="AF130" i="2" a="1"/>
  <c r="AF130" i="2" s="1"/>
  <c r="W130" i="2" a="1"/>
  <c r="W130" i="2" s="1"/>
  <c r="AE130" i="2" a="1"/>
  <c r="AE130" i="2" s="1"/>
  <c r="AD130" i="2" a="1"/>
  <c r="AD130" i="2" s="1"/>
  <c r="AC130" i="2" a="1"/>
  <c r="AC130" i="2" s="1"/>
  <c r="Z130" i="2" a="1"/>
  <c r="Z130" i="2" s="1"/>
  <c r="AA4" i="2" a="1"/>
  <c r="AA4" i="2" s="1"/>
  <c r="AD38" i="2" a="1"/>
  <c r="AD38" i="2" s="1"/>
  <c r="AK54" i="2" a="1"/>
  <c r="AK54" i="2" s="1"/>
  <c r="AJ54" i="2" s="1"/>
  <c r="AA54" i="2" a="1"/>
  <c r="AA54" i="2" s="1"/>
  <c r="Z54" i="2" a="1"/>
  <c r="Z54" i="2" s="1"/>
  <c r="X54" i="2" a="1"/>
  <c r="X54" i="2" s="1"/>
  <c r="AD54" i="2" a="1"/>
  <c r="AD54" i="2" s="1"/>
  <c r="AG54" i="2" a="1"/>
  <c r="AG54" i="2" s="1"/>
  <c r="AF54" i="2" a="1"/>
  <c r="AF54" i="2" s="1"/>
  <c r="AE54" i="2" a="1"/>
  <c r="AE54" i="2" s="1"/>
  <c r="AC54" i="2" a="1"/>
  <c r="AC54" i="2" s="1"/>
  <c r="AB54" i="2" a="1"/>
  <c r="AB54" i="2" s="1"/>
  <c r="Y54" i="2" a="1"/>
  <c r="Y54" i="2" s="1"/>
  <c r="W54" i="2" a="1"/>
  <c r="W54" i="2" s="1"/>
  <c r="AE89" i="2" a="1"/>
  <c r="AE89" i="2" s="1"/>
  <c r="AK91" i="2" a="1"/>
  <c r="AK91" i="2" s="1"/>
  <c r="AJ91" i="2" s="1"/>
  <c r="AC92" i="2" a="1"/>
  <c r="AC92" i="2" s="1"/>
  <c r="W93" i="2" a="1"/>
  <c r="W93" i="2" s="1"/>
  <c r="AF93" i="2" a="1"/>
  <c r="AF93" i="2" s="1"/>
  <c r="AE104" i="2" a="1"/>
  <c r="AE104" i="2" s="1"/>
  <c r="W104" i="2" a="1"/>
  <c r="W104" i="2" s="1"/>
  <c r="Z104" i="2" a="1"/>
  <c r="Z104" i="2" s="1"/>
  <c r="AH104" i="2" a="1"/>
  <c r="AH104" i="2" s="1"/>
  <c r="Y104" i="2" a="1"/>
  <c r="Y104" i="2" s="1"/>
  <c r="AK107" i="2" a="1"/>
  <c r="AK107" i="2" s="1"/>
  <c r="AJ107" i="2" s="1"/>
  <c r="AC109" i="2" a="1"/>
  <c r="AC109" i="2" s="1"/>
  <c r="Y113" i="2" a="1"/>
  <c r="Y113" i="2" s="1"/>
  <c r="Y127" i="2" a="1"/>
  <c r="Y127" i="2" s="1"/>
  <c r="AF38" i="2" a="1"/>
  <c r="AF38" i="2" s="1"/>
  <c r="AH54" i="2" a="1"/>
  <c r="AH54" i="2" s="1"/>
  <c r="AG114" i="2" a="1"/>
  <c r="AG114" i="2" s="1"/>
  <c r="Y114" i="2" a="1"/>
  <c r="Y114" i="2" s="1"/>
  <c r="AK114" i="2" a="1"/>
  <c r="AK114" i="2" s="1"/>
  <c r="AJ114" i="2" s="1"/>
  <c r="AB114" i="2" a="1"/>
  <c r="AB114" i="2" s="1"/>
  <c r="Z114" i="2" a="1"/>
  <c r="Z114" i="2" s="1"/>
  <c r="AH114" i="2" a="1"/>
  <c r="AH114" i="2" s="1"/>
  <c r="X114" i="2" a="1"/>
  <c r="X114" i="2" s="1"/>
  <c r="AF89" i="2" a="1"/>
  <c r="AF89" i="2" s="1"/>
  <c r="Z113" i="2" a="1"/>
  <c r="Z113" i="2" s="1"/>
  <c r="AC114" i="2" a="1"/>
  <c r="AC114" i="2" s="1"/>
  <c r="AG116" i="2" a="1"/>
  <c r="AG116" i="2" s="1"/>
  <c r="Y119" i="2" a="1"/>
  <c r="Y119" i="2" s="1"/>
  <c r="Z127" i="2" a="1"/>
  <c r="Z127" i="2" s="1"/>
  <c r="AC11" i="2" a="1"/>
  <c r="AC11" i="2" s="1"/>
  <c r="AA11" i="2" a="1"/>
  <c r="AA11" i="2" s="1"/>
  <c r="AF11" i="2" a="1"/>
  <c r="AF11" i="2" s="1"/>
  <c r="X11" i="2" a="1"/>
  <c r="X11" i="2" s="1"/>
  <c r="AE11" i="2" a="1"/>
  <c r="AE11" i="2" s="1"/>
  <c r="AD11" i="2" a="1"/>
  <c r="AD11" i="2" s="1"/>
  <c r="AB11" i="2" a="1"/>
  <c r="AB11" i="2" s="1"/>
  <c r="Y11" i="2" a="1"/>
  <c r="Y11" i="2" s="1"/>
  <c r="AF32" i="2" a="1"/>
  <c r="AF32" i="2" s="1"/>
  <c r="X32" i="2" a="1"/>
  <c r="X32" i="2" s="1"/>
  <c r="AK32" i="2" a="1"/>
  <c r="AK32" i="2" s="1"/>
  <c r="AJ32" i="2" s="1"/>
  <c r="AA32" i="2" a="1"/>
  <c r="AA32" i="2" s="1"/>
  <c r="Z32" i="2" a="1"/>
  <c r="Z32" i="2" s="1"/>
  <c r="AH32" i="2" a="1"/>
  <c r="AH32" i="2" s="1"/>
  <c r="Y32" i="2" a="1"/>
  <c r="Y32" i="2" s="1"/>
  <c r="AG32" i="2" a="1"/>
  <c r="AG32" i="2" s="1"/>
  <c r="W32" i="2" a="1"/>
  <c r="W32" i="2" s="1"/>
  <c r="AC32" i="2" a="1"/>
  <c r="AC32" i="2" s="1"/>
  <c r="AB32" i="2" a="1"/>
  <c r="AB32" i="2" s="1"/>
  <c r="AC122" i="2" a="1"/>
  <c r="AC122" i="2" s="1"/>
  <c r="AF122" i="2" a="1"/>
  <c r="AF122" i="2" s="1"/>
  <c r="X122" i="2" a="1"/>
  <c r="X122" i="2" s="1"/>
  <c r="AB122" i="2" a="1"/>
  <c r="AB122" i="2" s="1"/>
  <c r="AK122" i="2" a="1"/>
  <c r="AK122" i="2" s="1"/>
  <c r="AJ122" i="2" s="1"/>
  <c r="AA122" i="2" a="1"/>
  <c r="AA122" i="2" s="1"/>
  <c r="Z122" i="2" a="1"/>
  <c r="Z122" i="2" s="1"/>
  <c r="AH122" i="2" a="1"/>
  <c r="AH122" i="2" s="1"/>
  <c r="Y122" i="2" a="1"/>
  <c r="Y122" i="2" s="1"/>
  <c r="W122" i="2" a="1"/>
  <c r="W122" i="2" s="1"/>
  <c r="W89" i="2" a="1"/>
  <c r="W89" i="2" s="1"/>
  <c r="AE92" i="2" a="1"/>
  <c r="AE92" i="2" s="1"/>
  <c r="Z107" i="2" a="1"/>
  <c r="Z107" i="2" s="1"/>
  <c r="AG108" i="2" a="1"/>
  <c r="AG108" i="2" s="1"/>
  <c r="Y108" i="2" a="1"/>
  <c r="Y108" i="2" s="1"/>
  <c r="AF108" i="2" a="1"/>
  <c r="AF108" i="2" s="1"/>
  <c r="W108" i="2" a="1"/>
  <c r="W108" i="2" s="1"/>
  <c r="AE108" i="2" a="1"/>
  <c r="AE108" i="2" s="1"/>
  <c r="AA113" i="2" a="1"/>
  <c r="AA113" i="2" s="1"/>
  <c r="AD114" i="2" a="1"/>
  <c r="AD114" i="2" s="1"/>
  <c r="AE119" i="2" a="1"/>
  <c r="AE119" i="2" s="1"/>
  <c r="AD4" i="2" a="1"/>
  <c r="AD4" i="2" s="1"/>
  <c r="AA6" i="2" a="1"/>
  <c r="AA6" i="2" s="1"/>
  <c r="W11" i="2" a="1"/>
  <c r="W11" i="2" s="1"/>
  <c r="AD32" i="2" a="1"/>
  <c r="AD32" i="2" s="1"/>
  <c r="X89" i="2" a="1"/>
  <c r="X89" i="2" s="1"/>
  <c r="AB113" i="2" a="1"/>
  <c r="AB113" i="2" s="1"/>
  <c r="AD122" i="2" a="1"/>
  <c r="AD122" i="2" s="1"/>
  <c r="AB127" i="2" a="1"/>
  <c r="AB127" i="2" s="1"/>
  <c r="AF92" i="2" a="1"/>
  <c r="AF92" i="2" s="1"/>
  <c r="AE114" i="2" a="1"/>
  <c r="AE114" i="2" s="1"/>
  <c r="AF119" i="2" a="1"/>
  <c r="AF119" i="2" s="1"/>
  <c r="AC129" i="2" a="1"/>
  <c r="AC129" i="2" s="1"/>
  <c r="AB129" i="2" a="1"/>
  <c r="AB129" i="2" s="1"/>
  <c r="AA129" i="2" a="1"/>
  <c r="AA129" i="2" s="1"/>
  <c r="AK129" i="2" a="1"/>
  <c r="AK129" i="2" s="1"/>
  <c r="AJ129" i="2" s="1"/>
  <c r="Z129" i="2" a="1"/>
  <c r="Z129" i="2" s="1"/>
  <c r="AH129" i="2" a="1"/>
  <c r="AH129" i="2" s="1"/>
  <c r="Y129" i="2" a="1"/>
  <c r="Y129" i="2" s="1"/>
  <c r="AF129" i="2" a="1"/>
  <c r="AF129" i="2" s="1"/>
  <c r="W129" i="2" a="1"/>
  <c r="W129" i="2" s="1"/>
  <c r="AA130" i="2" a="1"/>
  <c r="AA130" i="2" s="1"/>
  <c r="AB6" i="2" a="1"/>
  <c r="AB6" i="2" s="1"/>
  <c r="AD14" i="2" a="1"/>
  <c r="AD14" i="2" s="1"/>
  <c r="AC14" i="2" a="1"/>
  <c r="AC14" i="2" s="1"/>
  <c r="AA14" i="2" a="1"/>
  <c r="AA14" i="2" s="1"/>
  <c r="Z14" i="2" a="1"/>
  <c r="Z14" i="2" s="1"/>
  <c r="AK14" i="2" a="1"/>
  <c r="AK14" i="2" s="1"/>
  <c r="AJ14" i="2" s="1"/>
  <c r="Y14" i="2" a="1"/>
  <c r="Y14" i="2" s="1"/>
  <c r="X14" i="2" a="1"/>
  <c r="X14" i="2" s="1"/>
  <c r="AH14" i="2" a="1"/>
  <c r="AH14" i="2" s="1"/>
  <c r="W14" i="2" a="1"/>
  <c r="W14" i="2" s="1"/>
  <c r="AF14" i="2" a="1"/>
  <c r="AF14" i="2" s="1"/>
  <c r="X107" i="2" a="1"/>
  <c r="X107" i="2" s="1"/>
  <c r="Y89" i="2" a="1"/>
  <c r="Y89" i="2" s="1"/>
  <c r="Z93" i="2" a="1"/>
  <c r="Z93" i="2" s="1"/>
  <c r="AB107" i="2" a="1"/>
  <c r="AB107" i="2" s="1"/>
  <c r="AF114" i="2" a="1"/>
  <c r="AF114" i="2" s="1"/>
  <c r="AA118" i="2" a="1"/>
  <c r="AA118" i="2" s="1"/>
  <c r="AD118" i="2" a="1"/>
  <c r="AD118" i="2" s="1"/>
  <c r="AK118" i="2" a="1"/>
  <c r="AK118" i="2" s="1"/>
  <c r="AJ118" i="2" s="1"/>
  <c r="Z118" i="2" a="1"/>
  <c r="Z118" i="2" s="1"/>
  <c r="AH118" i="2" a="1"/>
  <c r="AH118" i="2" s="1"/>
  <c r="Y118" i="2" a="1"/>
  <c r="Y118" i="2" s="1"/>
  <c r="AG118" i="2" a="1"/>
  <c r="AG118" i="2" s="1"/>
  <c r="X118" i="2" a="1"/>
  <c r="X118" i="2" s="1"/>
  <c r="AF118" i="2" a="1"/>
  <c r="AF118" i="2" s="1"/>
  <c r="W118" i="2" a="1"/>
  <c r="W118" i="2" s="1"/>
  <c r="AE122" i="2" a="1"/>
  <c r="AE122" i="2" s="1"/>
  <c r="AH127" i="2" a="1"/>
  <c r="AH127" i="2" s="1"/>
  <c r="AC6" i="2" a="1"/>
  <c r="AC6" i="2" s="1"/>
  <c r="AB14" i="2" a="1"/>
  <c r="AB14" i="2" s="1"/>
  <c r="AC25" i="2" a="1"/>
  <c r="AC25" i="2" s="1"/>
  <c r="AB25" i="2" a="1"/>
  <c r="AB25" i="2" s="1"/>
  <c r="AK25" i="2" a="1"/>
  <c r="AK25" i="2" s="1"/>
  <c r="AJ25" i="2" s="1"/>
  <c r="AA25" i="2" a="1"/>
  <c r="AA25" i="2" s="1"/>
  <c r="Z25" i="2" a="1"/>
  <c r="Z25" i="2" s="1"/>
  <c r="AH25" i="2" a="1"/>
  <c r="AH25" i="2" s="1"/>
  <c r="Y25" i="2" a="1"/>
  <c r="Y25" i="2" s="1"/>
  <c r="AF25" i="2" a="1"/>
  <c r="AF25" i="2" s="1"/>
  <c r="W25" i="2" a="1"/>
  <c r="W25" i="2" s="1"/>
  <c r="AD25" i="2" a="1"/>
  <c r="AD25" i="2" s="1"/>
  <c r="X25" i="2" a="1"/>
  <c r="X25" i="2" s="1"/>
  <c r="AG25" i="2" a="1"/>
  <c r="AG25" i="2" s="1"/>
  <c r="AA62" i="2" a="1"/>
  <c r="AA62" i="2" s="1"/>
  <c r="AK62" i="2" a="1"/>
  <c r="AK62" i="2" s="1"/>
  <c r="AJ62" i="2" s="1"/>
  <c r="AH62" i="2" a="1"/>
  <c r="AH62" i="2" s="1"/>
  <c r="AF62" i="2" a="1"/>
  <c r="AF62" i="2" s="1"/>
  <c r="AG62" i="2" a="1"/>
  <c r="AG62" i="2" s="1"/>
  <c r="AE62" i="2" a="1"/>
  <c r="AE62" i="2" s="1"/>
  <c r="AD62" i="2" a="1"/>
  <c r="AD62" i="2" s="1"/>
  <c r="AC62" i="2" a="1"/>
  <c r="AC62" i="2" s="1"/>
  <c r="Y62" i="2" a="1"/>
  <c r="Y62" i="2" s="1"/>
  <c r="AB62" i="2" a="1"/>
  <c r="AB62" i="2" s="1"/>
  <c r="Z62" i="2" a="1"/>
  <c r="Z62" i="2" s="1"/>
  <c r="W62" i="2" a="1"/>
  <c r="W62" i="2" s="1"/>
  <c r="AE91" i="2" a="1"/>
  <c r="AE91" i="2" s="1"/>
  <c r="X92" i="2" a="1"/>
  <c r="X92" i="2" s="1"/>
  <c r="AG92" i="2" a="1"/>
  <c r="AG92" i="2" s="1"/>
  <c r="Z108" i="2" a="1"/>
  <c r="Z108" i="2" s="1"/>
  <c r="Z121" i="2" a="1"/>
  <c r="Z121" i="2" s="1"/>
  <c r="AH121" i="2" a="1"/>
  <c r="AH121" i="2" s="1"/>
  <c r="Y121" i="2" a="1"/>
  <c r="Y121" i="2" s="1"/>
  <c r="AG121" i="2" a="1"/>
  <c r="AG121" i="2" s="1"/>
  <c r="X121" i="2" a="1"/>
  <c r="X121" i="2" s="1"/>
  <c r="W121" i="2" a="1"/>
  <c r="W121" i="2" s="1"/>
  <c r="AF121" i="2" a="1"/>
  <c r="AF121" i="2" s="1"/>
  <c r="AE121" i="2" a="1"/>
  <c r="AE121" i="2" s="1"/>
  <c r="X129" i="2" a="1"/>
  <c r="X129" i="2" s="1"/>
  <c r="AH5" i="2" a="1"/>
  <c r="AH5" i="2" s="1"/>
  <c r="Z5" i="2" a="1"/>
  <c r="Z5" i="2" s="1"/>
  <c r="AF5" i="2" a="1"/>
  <c r="AF5" i="2" s="1"/>
  <c r="X5" i="2" a="1"/>
  <c r="X5" i="2" s="1"/>
  <c r="AC5" i="2" a="1"/>
  <c r="AC5" i="2" s="1"/>
  <c r="AD5" i="2" a="1"/>
  <c r="AD5" i="2" s="1"/>
  <c r="AB5" i="2" a="1"/>
  <c r="AB5" i="2" s="1"/>
  <c r="AA5" i="2" a="1"/>
  <c r="AA5" i="2" s="1"/>
  <c r="AK5" i="2" a="1"/>
  <c r="AK5" i="2" s="1"/>
  <c r="AJ5" i="2" s="1"/>
  <c r="Y5" i="2" a="1"/>
  <c r="Y5" i="2" s="1"/>
  <c r="W5" i="2" a="1"/>
  <c r="W5" i="2" s="1"/>
  <c r="AF18" i="2" a="1"/>
  <c r="AF18" i="2" s="1"/>
  <c r="X18" i="2" a="1"/>
  <c r="X18" i="2" s="1"/>
  <c r="AE18" i="2" a="1"/>
  <c r="AE18" i="2" s="1"/>
  <c r="W18" i="2" a="1"/>
  <c r="W18" i="2" s="1"/>
  <c r="AG18" i="2" a="1"/>
  <c r="AG18" i="2" s="1"/>
  <c r="AD18" i="2" a="1"/>
  <c r="AD18" i="2" s="1"/>
  <c r="AC18" i="2" a="1"/>
  <c r="AC18" i="2" s="1"/>
  <c r="AB18" i="2" a="1"/>
  <c r="AB18" i="2" s="1"/>
  <c r="AA18" i="2" a="1"/>
  <c r="AA18" i="2" s="1"/>
  <c r="Y18" i="2" a="1"/>
  <c r="Y18" i="2" s="1"/>
  <c r="X62" i="2" a="1"/>
  <c r="X62" i="2" s="1"/>
  <c r="AK45" i="2" a="1"/>
  <c r="AK45" i="2" s="1"/>
  <c r="AJ45" i="2" s="1"/>
  <c r="AB45" i="2" a="1"/>
  <c r="AB45" i="2" s="1"/>
  <c r="Z45" i="2" a="1"/>
  <c r="Z45" i="2" s="1"/>
  <c r="AG45" i="2" a="1"/>
  <c r="AG45" i="2" s="1"/>
  <c r="AF45" i="2" a="1"/>
  <c r="AF45" i="2" s="1"/>
  <c r="AC45" i="2" a="1"/>
  <c r="AC45" i="2" s="1"/>
  <c r="AE45" i="2" a="1"/>
  <c r="AE45" i="2" s="1"/>
  <c r="AD45" i="2" a="1"/>
  <c r="AD45" i="2" s="1"/>
  <c r="AA45" i="2" a="1"/>
  <c r="AA45" i="2" s="1"/>
  <c r="Y45" i="2" a="1"/>
  <c r="Y45" i="2" s="1"/>
  <c r="X45" i="2" a="1"/>
  <c r="X45" i="2" s="1"/>
  <c r="W45" i="2" a="1"/>
  <c r="W45" i="2" s="1"/>
  <c r="AC107" i="2" a="1"/>
  <c r="AC107" i="2" s="1"/>
  <c r="AH109" i="2" a="1"/>
  <c r="AH109" i="2" s="1"/>
  <c r="Y109" i="2" a="1"/>
  <c r="Y109" i="2" s="1"/>
  <c r="AG109" i="2" a="1"/>
  <c r="AG109" i="2" s="1"/>
  <c r="X109" i="2" a="1"/>
  <c r="X109" i="2" s="1"/>
  <c r="AF109" i="2" a="1"/>
  <c r="AF109" i="2" s="1"/>
  <c r="AD109" i="2" a="1"/>
  <c r="AD109" i="2" s="1"/>
  <c r="AB109" i="2" a="1"/>
  <c r="AB109" i="2" s="1"/>
  <c r="AK109" i="2" a="1"/>
  <c r="AK109" i="2" s="1"/>
  <c r="AJ109" i="2" s="1"/>
  <c r="AH113" i="2" a="1"/>
  <c r="AH113" i="2" s="1"/>
  <c r="AH116" i="2" a="1"/>
  <c r="AH116" i="2" s="1"/>
  <c r="Z116" i="2" a="1"/>
  <c r="Z116" i="2" s="1"/>
  <c r="AC116" i="2" a="1"/>
  <c r="AC116" i="2" s="1"/>
  <c r="AF116" i="2" a="1"/>
  <c r="AF116" i="2" s="1"/>
  <c r="W116" i="2" a="1"/>
  <c r="W116" i="2" s="1"/>
  <c r="AE116" i="2" a="1"/>
  <c r="AE116" i="2" s="1"/>
  <c r="AD116" i="2" a="1"/>
  <c r="AD116" i="2" s="1"/>
  <c r="AB116" i="2" a="1"/>
  <c r="AB116" i="2" s="1"/>
  <c r="AH119" i="2" a="1"/>
  <c r="AH119" i="2" s="1"/>
  <c r="AG122" i="2" a="1"/>
  <c r="AG122" i="2" s="1"/>
  <c r="AH130" i="2" a="1"/>
  <c r="AH130" i="2" s="1"/>
  <c r="AG33" i="2" a="1"/>
  <c r="AG33" i="2" s="1"/>
  <c r="Y33" i="2" a="1"/>
  <c r="Y33" i="2" s="1"/>
  <c r="AD33" i="2" a="1"/>
  <c r="AD33" i="2" s="1"/>
  <c r="AC33" i="2" a="1"/>
  <c r="AC33" i="2" s="1"/>
  <c r="AB33" i="2" a="1"/>
  <c r="AB33" i="2" s="1"/>
  <c r="AK33" i="2" a="1"/>
  <c r="AK33" i="2" s="1"/>
  <c r="AJ33" i="2" s="1"/>
  <c r="AA33" i="2" a="1"/>
  <c r="AA33" i="2" s="1"/>
  <c r="Z33" i="2" a="1"/>
  <c r="Z33" i="2" s="1"/>
  <c r="AH33" i="2" a="1"/>
  <c r="AH33" i="2" s="1"/>
  <c r="X33" i="2" a="1"/>
  <c r="X33" i="2" s="1"/>
  <c r="AF33" i="2" a="1"/>
  <c r="AF33" i="2" s="1"/>
  <c r="AE33" i="2" a="1"/>
  <c r="AE33" i="2" s="1"/>
  <c r="W91" i="2" a="1"/>
  <c r="W91" i="2" s="1"/>
  <c r="Y92" i="2" a="1"/>
  <c r="Y92" i="2" s="1"/>
  <c r="AH92" i="2" a="1"/>
  <c r="AH92" i="2" s="1"/>
  <c r="AG103" i="2" a="1"/>
  <c r="AG103" i="2" s="1"/>
  <c r="X103" i="2" a="1"/>
  <c r="X103" i="2" s="1"/>
  <c r="AC103" i="2" a="1"/>
  <c r="AC103" i="2" s="1"/>
  <c r="AA103" i="2" a="1"/>
  <c r="AA103" i="2" s="1"/>
  <c r="AH103" i="2" a="1"/>
  <c r="AH103" i="2" s="1"/>
  <c r="AE107" i="2" a="1"/>
  <c r="AE107" i="2" s="1"/>
  <c r="W109" i="2" a="1"/>
  <c r="W109" i="2" s="1"/>
  <c r="AH117" i="2" a="1"/>
  <c r="AH117" i="2" s="1"/>
  <c r="Y117" i="2" a="1"/>
  <c r="Y117" i="2" s="1"/>
  <c r="AG117" i="2" a="1"/>
  <c r="AG117" i="2" s="1"/>
  <c r="X117" i="2" a="1"/>
  <c r="X117" i="2" s="1"/>
  <c r="AF117" i="2" a="1"/>
  <c r="AF117" i="2" s="1"/>
  <c r="W117" i="2" a="1"/>
  <c r="W117" i="2" s="1"/>
  <c r="AE117" i="2" a="1"/>
  <c r="AE117" i="2" s="1"/>
  <c r="AD117" i="2" a="1"/>
  <c r="AD117" i="2" s="1"/>
  <c r="AB117" i="2" a="1"/>
  <c r="AB117" i="2" s="1"/>
  <c r="AC118" i="2" a="1"/>
  <c r="AC118" i="2" s="1"/>
  <c r="AK10" i="2" a="1"/>
  <c r="AK10" i="2" s="1"/>
  <c r="AJ10" i="2" s="1"/>
  <c r="AB10" i="2" a="1"/>
  <c r="AB10" i="2" s="1"/>
  <c r="Z10" i="2" a="1"/>
  <c r="Z10" i="2" s="1"/>
  <c r="Y10" i="2" a="1"/>
  <c r="Y10" i="2" s="1"/>
  <c r="AH10" i="2" a="1"/>
  <c r="AH10" i="2" s="1"/>
  <c r="X10" i="2" a="1"/>
  <c r="X10" i="2" s="1"/>
  <c r="W10" i="2" a="1"/>
  <c r="W10" i="2" s="1"/>
  <c r="AG10" i="2" a="1"/>
  <c r="AG10" i="2" s="1"/>
  <c r="AF10" i="2" a="1"/>
  <c r="AF10" i="2" s="1"/>
  <c r="AD10" i="2" a="1"/>
  <c r="AD10" i="2" s="1"/>
  <c r="W33" i="2" a="1"/>
  <c r="W33" i="2" s="1"/>
  <c r="AD52" i="2" a="1"/>
  <c r="AD52" i="2" s="1"/>
  <c r="AC52" i="2" a="1"/>
  <c r="AC52" i="2" s="1"/>
  <c r="AB52" i="2" a="1"/>
  <c r="AB52" i="2" s="1"/>
  <c r="Y52" i="2" a="1"/>
  <c r="Y52" i="2" s="1"/>
  <c r="AH52" i="2" a="1"/>
  <c r="AH52" i="2" s="1"/>
  <c r="AG52" i="2" a="1"/>
  <c r="AG52" i="2" s="1"/>
  <c r="AF52" i="2" a="1"/>
  <c r="AF52" i="2" s="1"/>
  <c r="AE52" i="2" a="1"/>
  <c r="AE52" i="2" s="1"/>
  <c r="AA52" i="2" a="1"/>
  <c r="AA52" i="2" s="1"/>
  <c r="Z52" i="2" a="1"/>
  <c r="Z52" i="2" s="1"/>
  <c r="AK52" i="2" a="1"/>
  <c r="AK52" i="2" s="1"/>
  <c r="AJ52" i="2" s="1"/>
  <c r="X52" i="2" a="1"/>
  <c r="X52" i="2" s="1"/>
  <c r="AG4" i="2" a="1"/>
  <c r="AG4" i="2" s="1"/>
  <c r="Z4" i="2" a="1"/>
  <c r="Z4" i="2" s="1"/>
  <c r="Y4" i="2" a="1"/>
  <c r="Y4" i="2" s="1"/>
  <c r="AH4" i="2" a="1"/>
  <c r="AH4" i="2" s="1"/>
  <c r="X4" i="2" a="1"/>
  <c r="X4" i="2" s="1"/>
  <c r="AF4" i="2" a="1"/>
  <c r="AF4" i="2" s="1"/>
  <c r="W4" i="2" a="1"/>
  <c r="W4" i="2" s="1"/>
  <c r="AE4" i="2" a="1"/>
  <c r="AE4" i="2" s="1"/>
  <c r="AC4" i="2" a="1"/>
  <c r="AC4" i="2" s="1"/>
  <c r="AH89" i="2" a="1"/>
  <c r="AH89" i="2" s="1"/>
  <c r="Z89" i="2" a="1"/>
  <c r="Z89" i="2" s="1"/>
  <c r="AB4" i="2" a="1"/>
  <c r="AB4" i="2" s="1"/>
  <c r="AH6" i="2" a="1"/>
  <c r="AH6" i="2" s="1"/>
  <c r="Z6" i="2" a="1"/>
  <c r="Z6" i="2" s="1"/>
  <c r="AK6" i="2" a="1"/>
  <c r="AK6" i="2" s="1"/>
  <c r="AJ6" i="2" s="1"/>
  <c r="Y6" i="2" a="1"/>
  <c r="Y6" i="2" s="1"/>
  <c r="X6" i="2" a="1"/>
  <c r="X6" i="2" s="1"/>
  <c r="W6" i="2" a="1"/>
  <c r="W6" i="2" s="1"/>
  <c r="AG6" i="2" a="1"/>
  <c r="AG6" i="2" s="1"/>
  <c r="AF6" i="2" a="1"/>
  <c r="AF6" i="2" s="1"/>
  <c r="AE6" i="2" a="1"/>
  <c r="AE6" i="2" s="1"/>
  <c r="AG89" i="2" a="1"/>
  <c r="AG89" i="2" s="1"/>
  <c r="W92" i="2" a="1"/>
  <c r="W92" i="2" s="1"/>
  <c r="AA93" i="2" a="1"/>
  <c r="AA93" i="2" s="1"/>
  <c r="AA89" i="2" a="1"/>
  <c r="AA89" i="2" s="1"/>
  <c r="AF91" i="2" a="1"/>
  <c r="AF91" i="2" s="1"/>
  <c r="AD101" i="2" a="1"/>
  <c r="AD101" i="2" s="1"/>
  <c r="AG101" i="2" a="1"/>
  <c r="AG101" i="2" s="1"/>
  <c r="W103" i="2" a="1"/>
  <c r="W103" i="2" s="1"/>
  <c r="AB108" i="2" a="1"/>
  <c r="AB108" i="2" s="1"/>
  <c r="X116" i="2" a="1"/>
  <c r="X116" i="2" s="1"/>
  <c r="AK120" i="2" a="1"/>
  <c r="AK120" i="2" s="1"/>
  <c r="AJ120" i="2" s="1"/>
  <c r="AB120" i="2" a="1"/>
  <c r="AB120" i="2" s="1"/>
  <c r="AE120" i="2" a="1"/>
  <c r="AE120" i="2" s="1"/>
  <c r="W120" i="2" a="1"/>
  <c r="W120" i="2" s="1"/>
  <c r="AG120" i="2" a="1"/>
  <c r="AG120" i="2" s="1"/>
  <c r="X120" i="2" a="1"/>
  <c r="X120" i="2" s="1"/>
  <c r="AF120" i="2" a="1"/>
  <c r="AF120" i="2" s="1"/>
  <c r="AD120" i="2" a="1"/>
  <c r="AD120" i="2" s="1"/>
  <c r="AC120" i="2" a="1"/>
  <c r="AC120" i="2" s="1"/>
  <c r="AB121" i="2" a="1"/>
  <c r="AB121" i="2" s="1"/>
  <c r="AK125" i="2" a="1"/>
  <c r="AK125" i="2" s="1"/>
  <c r="AJ125" i="2" s="1"/>
  <c r="AA125" i="2" a="1"/>
  <c r="AA125" i="2" s="1"/>
  <c r="Z125" i="2" a="1"/>
  <c r="Z125" i="2" s="1"/>
  <c r="Y125" i="2" a="1"/>
  <c r="Y125" i="2" s="1"/>
  <c r="AH125" i="2" a="1"/>
  <c r="AH125" i="2" s="1"/>
  <c r="AG125" i="2" a="1"/>
  <c r="AG125" i="2" s="1"/>
  <c r="X125" i="2" a="1"/>
  <c r="X125" i="2" s="1"/>
  <c r="AF125" i="2" a="1"/>
  <c r="AF125" i="2" s="1"/>
  <c r="W125" i="2" a="1"/>
  <c r="W125" i="2" s="1"/>
  <c r="AD125" i="2" a="1"/>
  <c r="AD125" i="2" s="1"/>
  <c r="AE129" i="2" a="1"/>
  <c r="AE129" i="2" s="1"/>
  <c r="AE5" i="2" a="1"/>
  <c r="AE5" i="2" s="1"/>
  <c r="AA10" i="2" a="1"/>
  <c r="AA10" i="2" s="1"/>
  <c r="AH11" i="2" a="1"/>
  <c r="AH11" i="2" s="1"/>
  <c r="AD13" i="2" a="1"/>
  <c r="AD13" i="2" s="1"/>
  <c r="AK13" i="2" a="1"/>
  <c r="AK13" i="2" s="1"/>
  <c r="AJ13" i="2" s="1"/>
  <c r="AB13" i="2" a="1"/>
  <c r="AB13" i="2" s="1"/>
  <c r="AG13" i="2" a="1"/>
  <c r="AG13" i="2" s="1"/>
  <c r="Y13" i="2" a="1"/>
  <c r="Y13" i="2" s="1"/>
  <c r="AF13" i="2" a="1"/>
  <c r="AF13" i="2" s="1"/>
  <c r="AE13" i="2" a="1"/>
  <c r="AE13" i="2" s="1"/>
  <c r="AC13" i="2" a="1"/>
  <c r="AC13" i="2" s="1"/>
  <c r="AA13" i="2" a="1"/>
  <c r="AA13" i="2" s="1"/>
  <c r="Z18" i="2" a="1"/>
  <c r="Z18" i="2" s="1"/>
  <c r="W52" i="2" a="1"/>
  <c r="W52" i="2" s="1"/>
  <c r="AH102" i="2" a="1"/>
  <c r="AH102" i="2" s="1"/>
  <c r="AC8" i="2" a="1"/>
  <c r="AC8" i="2" s="1"/>
  <c r="AD48" i="2" a="1"/>
  <c r="AD48" i="2" s="1"/>
  <c r="AK48" i="2" a="1"/>
  <c r="AK48" i="2" s="1"/>
  <c r="AJ48" i="2" s="1"/>
  <c r="Y48" i="2" a="1"/>
  <c r="Y48" i="2" s="1"/>
  <c r="AG48" i="2" a="1"/>
  <c r="AG48" i="2" s="1"/>
  <c r="AF48" i="2" a="1"/>
  <c r="AF48" i="2" s="1"/>
  <c r="AE48" i="2" a="1"/>
  <c r="AE48" i="2" s="1"/>
  <c r="AC48" i="2" a="1"/>
  <c r="AC48" i="2" s="1"/>
  <c r="AB48" i="2" a="1"/>
  <c r="AB48" i="2" s="1"/>
  <c r="AA48" i="2" a="1"/>
  <c r="AA48" i="2" s="1"/>
  <c r="Z48" i="2" a="1"/>
  <c r="Z48" i="2" s="1"/>
  <c r="AE8" i="2" a="1"/>
  <c r="AE8" i="2" s="1"/>
  <c r="AH19" i="2" a="1"/>
  <c r="AH19" i="2" s="1"/>
  <c r="AG19" i="2" a="1"/>
  <c r="AG19" i="2" s="1"/>
  <c r="Y19" i="2" a="1"/>
  <c r="Y19" i="2" s="1"/>
  <c r="AF19" i="2" a="1"/>
  <c r="AF19" i="2" s="1"/>
  <c r="AE19" i="2" a="1"/>
  <c r="AE19" i="2" s="1"/>
  <c r="W19" i="2" a="1"/>
  <c r="W19" i="2" s="1"/>
  <c r="AD19" i="2" a="1"/>
  <c r="AD19" i="2" s="1"/>
  <c r="AB19" i="2" a="1"/>
  <c r="AB19" i="2" s="1"/>
  <c r="AD36" i="2" a="1"/>
  <c r="AD36" i="2" s="1"/>
  <c r="AH36" i="2" a="1"/>
  <c r="AH36" i="2" s="1"/>
  <c r="Z36" i="2" a="1"/>
  <c r="Z36" i="2" s="1"/>
  <c r="AE36" i="2" a="1"/>
  <c r="AE36" i="2" s="1"/>
  <c r="AC36" i="2" a="1"/>
  <c r="AC36" i="2" s="1"/>
  <c r="AB36" i="2" a="1"/>
  <c r="AB36" i="2" s="1"/>
  <c r="AA36" i="2" a="1"/>
  <c r="AA36" i="2" s="1"/>
  <c r="AK36" i="2" a="1"/>
  <c r="AK36" i="2" s="1"/>
  <c r="AJ36" i="2" s="1"/>
  <c r="AA40" i="2" a="1"/>
  <c r="AA40" i="2" s="1"/>
  <c r="AH40" i="2" a="1"/>
  <c r="AH40" i="2" s="1"/>
  <c r="Y40" i="2" a="1"/>
  <c r="Y40" i="2" s="1"/>
  <c r="AD40" i="2" a="1"/>
  <c r="AD40" i="2" s="1"/>
  <c r="AC40" i="2" a="1"/>
  <c r="AC40" i="2" s="1"/>
  <c r="AB40" i="2" a="1"/>
  <c r="AB40" i="2" s="1"/>
  <c r="Z40" i="2" a="1"/>
  <c r="Z40" i="2" s="1"/>
  <c r="AK40" i="2" a="1"/>
  <c r="AK40" i="2" s="1"/>
  <c r="AJ40" i="2" s="1"/>
  <c r="X40" i="2" a="1"/>
  <c r="X40" i="2" s="1"/>
  <c r="AG40" i="2" a="1"/>
  <c r="AG40" i="2" s="1"/>
  <c r="AA43" i="2" a="1"/>
  <c r="AA43" i="2" s="1"/>
  <c r="W43" i="2" a="1"/>
  <c r="W43" i="2" s="1"/>
  <c r="AD43" i="2" a="1"/>
  <c r="AD43" i="2" s="1"/>
  <c r="AC43" i="2" a="1"/>
  <c r="AC43" i="2" s="1"/>
  <c r="Z43" i="2" a="1"/>
  <c r="Z43" i="2" s="1"/>
  <c r="AH43" i="2" a="1"/>
  <c r="AH43" i="2" s="1"/>
  <c r="Y43" i="2" a="1"/>
  <c r="Y43" i="2" s="1"/>
  <c r="X43" i="2" a="1"/>
  <c r="X43" i="2" s="1"/>
  <c r="AK43" i="2" a="1"/>
  <c r="AK43" i="2" s="1"/>
  <c r="AJ43" i="2" s="1"/>
  <c r="AG43" i="2" a="1"/>
  <c r="AG43" i="2" s="1"/>
  <c r="AF43" i="2" a="1"/>
  <c r="AF43" i="2" s="1"/>
  <c r="AB73" i="2" a="1"/>
  <c r="AB73" i="2" s="1"/>
  <c r="AK73" i="2" a="1"/>
  <c r="AK73" i="2" s="1"/>
  <c r="AJ73" i="2" s="1"/>
  <c r="AA73" i="2" a="1"/>
  <c r="AA73" i="2" s="1"/>
  <c r="Z73" i="2" a="1"/>
  <c r="Z73" i="2" s="1"/>
  <c r="Y73" i="2" a="1"/>
  <c r="Y73" i="2" s="1"/>
  <c r="AG73" i="2" a="1"/>
  <c r="AG73" i="2" s="1"/>
  <c r="X73" i="2" a="1"/>
  <c r="X73" i="2" s="1"/>
  <c r="AF73" i="2" a="1"/>
  <c r="AF73" i="2" s="1"/>
  <c r="AE73" i="2" a="1"/>
  <c r="AE73" i="2" s="1"/>
  <c r="AH73" i="2" a="1"/>
  <c r="AH73" i="2" s="1"/>
  <c r="AC73" i="2" a="1"/>
  <c r="AC73" i="2" s="1"/>
  <c r="AD73" i="2" a="1"/>
  <c r="AD73" i="2" s="1"/>
  <c r="AC12" i="2" a="1"/>
  <c r="AC12" i="2" s="1"/>
  <c r="AK12" i="2" a="1"/>
  <c r="AK12" i="2" s="1"/>
  <c r="AJ12" i="2" s="1"/>
  <c r="AG12" i="2" a="1"/>
  <c r="AG12" i="2" s="1"/>
  <c r="X19" i="2" a="1"/>
  <c r="X19" i="2" s="1"/>
  <c r="AA21" i="2" a="1"/>
  <c r="AA21" i="2" s="1"/>
  <c r="AB21" i="2" a="1"/>
  <c r="AB21" i="2" s="1"/>
  <c r="AK21" i="2" a="1"/>
  <c r="AK21" i="2" s="1"/>
  <c r="AJ21" i="2" s="1"/>
  <c r="Z21" i="2" a="1"/>
  <c r="Z21" i="2" s="1"/>
  <c r="AH21" i="2" a="1"/>
  <c r="AH21" i="2" s="1"/>
  <c r="AG21" i="2" a="1"/>
  <c r="AG21" i="2" s="1"/>
  <c r="AE21" i="2" a="1"/>
  <c r="AE21" i="2" s="1"/>
  <c r="AA55" i="2" a="1"/>
  <c r="AA55" i="2" s="1"/>
  <c r="AG55" i="2" a="1"/>
  <c r="AG55" i="2" s="1"/>
  <c r="Y55" i="2" a="1"/>
  <c r="Y55" i="2" s="1"/>
  <c r="AD55" i="2" a="1"/>
  <c r="AD55" i="2" s="1"/>
  <c r="AC55" i="2" a="1"/>
  <c r="AC55" i="2" s="1"/>
  <c r="AB55" i="2" a="1"/>
  <c r="AB55" i="2" s="1"/>
  <c r="X55" i="2" a="1"/>
  <c r="X55" i="2" s="1"/>
  <c r="AH55" i="2" a="1"/>
  <c r="AH55" i="2" s="1"/>
  <c r="AF55" i="2" a="1"/>
  <c r="AF55" i="2" s="1"/>
  <c r="AE55" i="2" a="1"/>
  <c r="AE55" i="2" s="1"/>
  <c r="Z55" i="2" a="1"/>
  <c r="Z55" i="2" s="1"/>
  <c r="AK57" i="2" a="1"/>
  <c r="AK57" i="2" s="1"/>
  <c r="AJ57" i="2" s="1"/>
  <c r="AB57" i="2" a="1"/>
  <c r="AB57" i="2" s="1"/>
  <c r="AH57" i="2" a="1"/>
  <c r="AH57" i="2" s="1"/>
  <c r="Z57" i="2" a="1"/>
  <c r="Z57" i="2" s="1"/>
  <c r="Y57" i="2" a="1"/>
  <c r="Y57" i="2" s="1"/>
  <c r="AG57" i="2" a="1"/>
  <c r="AG57" i="2" s="1"/>
  <c r="X57" i="2" a="1"/>
  <c r="X57" i="2" s="1"/>
  <c r="AD57" i="2" a="1"/>
  <c r="AD57" i="2" s="1"/>
  <c r="AF57" i="2" a="1"/>
  <c r="AF57" i="2" s="1"/>
  <c r="AE57" i="2" a="1"/>
  <c r="AE57" i="2" s="1"/>
  <c r="AC57" i="2" a="1"/>
  <c r="AC57" i="2" s="1"/>
  <c r="AF8" i="2" a="1"/>
  <c r="AF8" i="2" s="1"/>
  <c r="W12" i="2" a="1"/>
  <c r="W12" i="2" s="1"/>
  <c r="W21" i="2" a="1"/>
  <c r="W21" i="2" s="1"/>
  <c r="AK23" i="2" a="1"/>
  <c r="AK23" i="2" s="1"/>
  <c r="AJ23" i="2" s="1"/>
  <c r="AB23" i="2" a="1"/>
  <c r="AB23" i="2" s="1"/>
  <c r="AF23" i="2" a="1"/>
  <c r="AF23" i="2" s="1"/>
  <c r="W23" i="2" a="1"/>
  <c r="W23" i="2" s="1"/>
  <c r="AE23" i="2" a="1"/>
  <c r="AE23" i="2" s="1"/>
  <c r="AD23" i="2" a="1"/>
  <c r="AD23" i="2" s="1"/>
  <c r="AC23" i="2" a="1"/>
  <c r="AC23" i="2" s="1"/>
  <c r="Z23" i="2" a="1"/>
  <c r="Z23" i="2" s="1"/>
  <c r="AC26" i="2" a="1"/>
  <c r="AC26" i="2" s="1"/>
  <c r="AE26" i="2" a="1"/>
  <c r="AE26" i="2" s="1"/>
  <c r="AD26" i="2" a="1"/>
  <c r="AD26" i="2" s="1"/>
  <c r="AB26" i="2" a="1"/>
  <c r="AB26" i="2" s="1"/>
  <c r="AK26" i="2" a="1"/>
  <c r="AK26" i="2" s="1"/>
  <c r="AJ26" i="2" s="1"/>
  <c r="AA26" i="2" a="1"/>
  <c r="AA26" i="2" s="1"/>
  <c r="AH26" i="2" a="1"/>
  <c r="AH26" i="2" s="1"/>
  <c r="Y26" i="2" a="1"/>
  <c r="Y26" i="2" s="1"/>
  <c r="W55" i="2" a="1"/>
  <c r="W55" i="2" s="1"/>
  <c r="W57" i="2" a="1"/>
  <c r="W57" i="2" s="1"/>
  <c r="AG65" i="2" a="1"/>
  <c r="AG65" i="2" s="1"/>
  <c r="AF65" i="2" a="1"/>
  <c r="AF65" i="2" s="1"/>
  <c r="W65" i="2" a="1"/>
  <c r="W65" i="2" s="1"/>
  <c r="AB65" i="2" a="1"/>
  <c r="AB65" i="2" s="1"/>
  <c r="AH65" i="2" a="1"/>
  <c r="AH65" i="2" s="1"/>
  <c r="AE65" i="2" a="1"/>
  <c r="AE65" i="2" s="1"/>
  <c r="AD65" i="2" a="1"/>
  <c r="AD65" i="2" s="1"/>
  <c r="AC65" i="2" a="1"/>
  <c r="AC65" i="2" s="1"/>
  <c r="Z65" i="2" a="1"/>
  <c r="Z65" i="2" s="1"/>
  <c r="AK65" i="2" a="1"/>
  <c r="AK65" i="2" s="1"/>
  <c r="AJ65" i="2" s="1"/>
  <c r="AA65" i="2" a="1"/>
  <c r="AA65" i="2" s="1"/>
  <c r="X65" i="2" a="1"/>
  <c r="X65" i="2" s="1"/>
  <c r="AK24" i="2" a="1"/>
  <c r="AK24" i="2" s="1"/>
  <c r="AJ24" i="2" s="1"/>
  <c r="AB24" i="2" a="1"/>
  <c r="AB24" i="2" s="1"/>
  <c r="AH24" i="2" a="1"/>
  <c r="AH24" i="2" s="1"/>
  <c r="Y24" i="2" a="1"/>
  <c r="Y24" i="2" s="1"/>
  <c r="AG24" i="2" a="1"/>
  <c r="AG24" i="2" s="1"/>
  <c r="X24" i="2" a="1"/>
  <c r="X24" i="2" s="1"/>
  <c r="AE30" i="2" a="1"/>
  <c r="AE30" i="2" s="1"/>
  <c r="W30" i="2" a="1"/>
  <c r="W30" i="2" s="1"/>
  <c r="AD30" i="2" a="1"/>
  <c r="AD30" i="2" s="1"/>
  <c r="AC30" i="2" a="1"/>
  <c r="AC30" i="2" s="1"/>
  <c r="AB30" i="2" a="1"/>
  <c r="AB30" i="2" s="1"/>
  <c r="AK30" i="2" a="1"/>
  <c r="AK30" i="2" s="1"/>
  <c r="AJ30" i="2" s="1"/>
  <c r="AC47" i="2" a="1"/>
  <c r="AC47" i="2" s="1"/>
  <c r="AK47" i="2" a="1"/>
  <c r="AK47" i="2" s="1"/>
  <c r="AJ47" i="2" s="1"/>
  <c r="X47" i="2" a="1"/>
  <c r="X47" i="2" s="1"/>
  <c r="AF47" i="2" a="1"/>
  <c r="AF47" i="2" s="1"/>
  <c r="W47" i="2" a="1"/>
  <c r="W47" i="2" s="1"/>
  <c r="AH47" i="2" a="1"/>
  <c r="AH47" i="2" s="1"/>
  <c r="AG47" i="2" a="1"/>
  <c r="AG47" i="2" s="1"/>
  <c r="AE47" i="2" a="1"/>
  <c r="AE47" i="2" s="1"/>
  <c r="AD47" i="2" a="1"/>
  <c r="AD47" i="2" s="1"/>
  <c r="AB47" i="2" a="1"/>
  <c r="AB47" i="2" s="1"/>
  <c r="AD124" i="2" a="1"/>
  <c r="AD124" i="2" s="1"/>
  <c r="AG124" i="2" a="1"/>
  <c r="AG124" i="2" s="1"/>
  <c r="Y124" i="2" a="1"/>
  <c r="Y124" i="2" s="1"/>
  <c r="W8" i="2" a="1"/>
  <c r="W8" i="2" s="1"/>
  <c r="AG8" i="2" a="1"/>
  <c r="AG8" i="2" s="1"/>
  <c r="X12" i="2" a="1"/>
  <c r="X12" i="2" s="1"/>
  <c r="X21" i="2" a="1"/>
  <c r="X21" i="2" s="1"/>
  <c r="W24" i="2" a="1"/>
  <c r="W24" i="2" s="1"/>
  <c r="X30" i="2" a="1"/>
  <c r="X30" i="2" s="1"/>
  <c r="Y36" i="2" a="1"/>
  <c r="Y36" i="2" s="1"/>
  <c r="AK55" i="2" a="1"/>
  <c r="AK55" i="2" s="1"/>
  <c r="AJ55" i="2" s="1"/>
  <c r="Y71" i="2" a="1"/>
  <c r="Y71" i="2" s="1"/>
  <c r="AG71" i="2" a="1"/>
  <c r="AG71" i="2" s="1"/>
  <c r="X71" i="2" a="1"/>
  <c r="X71" i="2" s="1"/>
  <c r="AF71" i="2" a="1"/>
  <c r="AF71" i="2" s="1"/>
  <c r="W71" i="2" a="1"/>
  <c r="W71" i="2" s="1"/>
  <c r="AE71" i="2" a="1"/>
  <c r="AE71" i="2" s="1"/>
  <c r="AD71" i="2" a="1"/>
  <c r="AD71" i="2" s="1"/>
  <c r="AC71" i="2" a="1"/>
  <c r="AC71" i="2" s="1"/>
  <c r="AB71" i="2" a="1"/>
  <c r="AB71" i="2" s="1"/>
  <c r="AK71" i="2" a="1"/>
  <c r="AK71" i="2" s="1"/>
  <c r="AJ71" i="2" s="1"/>
  <c r="AH71" i="2" a="1"/>
  <c r="AH71" i="2" s="1"/>
  <c r="Z71" i="2" a="1"/>
  <c r="Z71" i="2" s="1"/>
  <c r="AH8" i="2" a="1"/>
  <c r="AH8" i="2" s="1"/>
  <c r="Z24" i="2" a="1"/>
  <c r="Z24" i="2" s="1"/>
  <c r="AD42" i="2" a="1"/>
  <c r="AD42" i="2" s="1"/>
  <c r="AG42" i="2" a="1"/>
  <c r="AG42" i="2" s="1"/>
  <c r="X42" i="2" a="1"/>
  <c r="X42" i="2" s="1"/>
  <c r="AE42" i="2" a="1"/>
  <c r="AE42" i="2" s="1"/>
  <c r="AC42" i="2" a="1"/>
  <c r="AC42" i="2" s="1"/>
  <c r="AB42" i="2" a="1"/>
  <c r="AB42" i="2" s="1"/>
  <c r="AA42" i="2" a="1"/>
  <c r="AA42" i="2" s="1"/>
  <c r="Z42" i="2" a="1"/>
  <c r="Z42" i="2" s="1"/>
  <c r="AK42" i="2" a="1"/>
  <c r="AK42" i="2" s="1"/>
  <c r="AJ42" i="2" s="1"/>
  <c r="Y42" i="2" a="1"/>
  <c r="Y42" i="2" s="1"/>
  <c r="Y47" i="2" a="1"/>
  <c r="Y47" i="2" s="1"/>
  <c r="X8" i="2" a="1"/>
  <c r="X8" i="2" s="1"/>
  <c r="AE15" i="2" a="1"/>
  <c r="AE15" i="2" s="1"/>
  <c r="W15" i="2" a="1"/>
  <c r="W15" i="2" s="1"/>
  <c r="AC15" i="2" a="1"/>
  <c r="AC15" i="2" s="1"/>
  <c r="AH15" i="2" a="1"/>
  <c r="AH15" i="2" s="1"/>
  <c r="Z15" i="2" a="1"/>
  <c r="Z15" i="2" s="1"/>
  <c r="Y30" i="2" a="1"/>
  <c r="Y30" i="2" s="1"/>
  <c r="AF36" i="2" a="1"/>
  <c r="AF36" i="2" s="1"/>
  <c r="W42" i="2" a="1"/>
  <c r="W42" i="2" s="1"/>
  <c r="AG51" i="2" a="1"/>
  <c r="AG51" i="2" s="1"/>
  <c r="Y51" i="2" a="1"/>
  <c r="Y51" i="2" s="1"/>
  <c r="AE51" i="2" a="1"/>
  <c r="AE51" i="2" s="1"/>
  <c r="W51" i="2" a="1"/>
  <c r="W51" i="2" s="1"/>
  <c r="AB51" i="2" a="1"/>
  <c r="AB51" i="2" s="1"/>
  <c r="AK51" i="2" a="1"/>
  <c r="AK51" i="2" s="1"/>
  <c r="AJ51" i="2" s="1"/>
  <c r="AH51" i="2" a="1"/>
  <c r="AH51" i="2" s="1"/>
  <c r="AF51" i="2" a="1"/>
  <c r="AF51" i="2" s="1"/>
  <c r="AD51" i="2" a="1"/>
  <c r="AD51" i="2" s="1"/>
  <c r="AC51" i="2" a="1"/>
  <c r="AC51" i="2" s="1"/>
  <c r="AA51" i="2" a="1"/>
  <c r="AA51" i="2" s="1"/>
  <c r="AH53" i="2" a="1"/>
  <c r="AH53" i="2" s="1"/>
  <c r="Z53" i="2" a="1"/>
  <c r="Z53" i="2" s="1"/>
  <c r="AF53" i="2" a="1"/>
  <c r="AF53" i="2" s="1"/>
  <c r="X53" i="2" a="1"/>
  <c r="X53" i="2" s="1"/>
  <c r="AG53" i="2" a="1"/>
  <c r="AG53" i="2" s="1"/>
  <c r="W53" i="2" a="1"/>
  <c r="W53" i="2" s="1"/>
  <c r="AB53" i="2" a="1"/>
  <c r="AB53" i="2" s="1"/>
  <c r="AE53" i="2" a="1"/>
  <c r="AE53" i="2" s="1"/>
  <c r="AD53" i="2" a="1"/>
  <c r="AD53" i="2" s="1"/>
  <c r="AC53" i="2" a="1"/>
  <c r="AC53" i="2" s="1"/>
  <c r="AA53" i="2" a="1"/>
  <c r="AA53" i="2" s="1"/>
  <c r="Y53" i="2" a="1"/>
  <c r="Y53" i="2" s="1"/>
  <c r="AE102" i="2" a="1"/>
  <c r="AE102" i="2" s="1"/>
  <c r="X124" i="2" a="1"/>
  <c r="X124" i="2" s="1"/>
  <c r="AK8" i="2" a="1"/>
  <c r="AK8" i="2" s="1"/>
  <c r="AJ8" i="2" s="1"/>
  <c r="Z12" i="2" a="1"/>
  <c r="Z12" i="2" s="1"/>
  <c r="AC21" i="2" a="1"/>
  <c r="AC21" i="2" s="1"/>
  <c r="AA24" i="2" a="1"/>
  <c r="AA24" i="2" s="1"/>
  <c r="Z30" i="2" a="1"/>
  <c r="Z30" i="2" s="1"/>
  <c r="AH35" i="2" a="1"/>
  <c r="AH35" i="2" s="1"/>
  <c r="Z35" i="2" a="1"/>
  <c r="Z35" i="2" s="1"/>
  <c r="AA35" i="2" a="1"/>
  <c r="AA35" i="2" s="1"/>
  <c r="AK35" i="2" a="1"/>
  <c r="AK35" i="2" s="1"/>
  <c r="AJ35" i="2" s="1"/>
  <c r="Y35" i="2" a="1"/>
  <c r="Y35" i="2" s="1"/>
  <c r="X35" i="2" a="1"/>
  <c r="X35" i="2" s="1"/>
  <c r="AG35" i="2" a="1"/>
  <c r="AG35" i="2" s="1"/>
  <c r="W35" i="2" a="1"/>
  <c r="W35" i="2" s="1"/>
  <c r="AF35" i="2" a="1"/>
  <c r="AF35" i="2" s="1"/>
  <c r="AE35" i="2" a="1"/>
  <c r="AE35" i="2" s="1"/>
  <c r="Z47" i="2" a="1"/>
  <c r="Z47" i="2" s="1"/>
  <c r="W102" i="2" a="1"/>
  <c r="W102" i="2" s="1"/>
  <c r="AH124" i="2" a="1"/>
  <c r="AH124" i="2" s="1"/>
  <c r="Y8" i="2" a="1"/>
  <c r="Y8" i="2" s="1"/>
  <c r="X15" i="2" a="1"/>
  <c r="X15" i="2" s="1"/>
  <c r="AC19" i="2" a="1"/>
  <c r="AC19" i="2" s="1"/>
  <c r="AG36" i="2" a="1"/>
  <c r="AG36" i="2" s="1"/>
  <c r="AA47" i="2" a="1"/>
  <c r="AA47" i="2" s="1"/>
  <c r="X51" i="2" a="1"/>
  <c r="X51" i="2" s="1"/>
  <c r="AA17" i="2" a="1"/>
  <c r="AA17" i="2" s="1"/>
  <c r="AE29" i="2" a="1"/>
  <c r="AE29" i="2" s="1"/>
  <c r="W29" i="2" a="1"/>
  <c r="W29" i="2" s="1"/>
  <c r="AF29" i="2" a="1"/>
  <c r="AF29" i="2" s="1"/>
  <c r="AB31" i="2" a="1"/>
  <c r="AB31" i="2" s="1"/>
  <c r="AC37" i="2" a="1"/>
  <c r="AC37" i="2" s="1"/>
  <c r="AK80" i="2" a="1"/>
  <c r="AK80" i="2" s="1"/>
  <c r="AJ80" i="2" s="1"/>
  <c r="AB80" i="2" a="1"/>
  <c r="AB80" i="2" s="1"/>
  <c r="AD80" i="2" a="1"/>
  <c r="AD80" i="2" s="1"/>
  <c r="AC80" i="2" a="1"/>
  <c r="AC80" i="2" s="1"/>
  <c r="AA80" i="2" a="1"/>
  <c r="AA80" i="2" s="1"/>
  <c r="Z80" i="2" a="1"/>
  <c r="Z80" i="2" s="1"/>
  <c r="Y80" i="2" a="1"/>
  <c r="Y80" i="2" s="1"/>
  <c r="AF80" i="2" a="1"/>
  <c r="AF80" i="2" s="1"/>
  <c r="AE80" i="2" a="1"/>
  <c r="AE80" i="2" s="1"/>
  <c r="X80" i="2" a="1"/>
  <c r="X80" i="2" s="1"/>
  <c r="W80" i="2" a="1"/>
  <c r="W80" i="2" s="1"/>
  <c r="AD31" i="2" a="1"/>
  <c r="AD31" i="2" s="1"/>
  <c r="AD34" i="2" a="1"/>
  <c r="AD34" i="2" s="1"/>
  <c r="AA78" i="2" a="1"/>
  <c r="AA78" i="2" s="1"/>
  <c r="AK78" i="2" a="1"/>
  <c r="AK78" i="2" s="1"/>
  <c r="AJ78" i="2" s="1"/>
  <c r="Z78" i="2" a="1"/>
  <c r="Z78" i="2" s="1"/>
  <c r="AH78" i="2" a="1"/>
  <c r="AH78" i="2" s="1"/>
  <c r="Y78" i="2" a="1"/>
  <c r="Y78" i="2" s="1"/>
  <c r="AG78" i="2" a="1"/>
  <c r="AG78" i="2" s="1"/>
  <c r="X78" i="2" a="1"/>
  <c r="X78" i="2" s="1"/>
  <c r="AF78" i="2" a="1"/>
  <c r="AF78" i="2" s="1"/>
  <c r="W78" i="2" a="1"/>
  <c r="W78" i="2" s="1"/>
  <c r="AE78" i="2" a="1"/>
  <c r="AE78" i="2" s="1"/>
  <c r="AC78" i="2" a="1"/>
  <c r="AC78" i="2" s="1"/>
  <c r="AF37" i="2" a="1"/>
  <c r="AF37" i="2" s="1"/>
  <c r="AG74" i="2" a="1"/>
  <c r="AG74" i="2" s="1"/>
  <c r="Y74" i="2" a="1"/>
  <c r="Y74" i="2" s="1"/>
  <c r="AC74" i="2" a="1"/>
  <c r="AC74" i="2" s="1"/>
  <c r="AB74" i="2" a="1"/>
  <c r="AB74" i="2" s="1"/>
  <c r="AK74" i="2" a="1"/>
  <c r="AK74" i="2" s="1"/>
  <c r="AJ74" i="2" s="1"/>
  <c r="AA74" i="2" a="1"/>
  <c r="AA74" i="2" s="1"/>
  <c r="Z74" i="2" a="1"/>
  <c r="Z74" i="2" s="1"/>
  <c r="AH74" i="2" a="1"/>
  <c r="AH74" i="2" s="1"/>
  <c r="X74" i="2" a="1"/>
  <c r="X74" i="2" s="1"/>
  <c r="W74" i="2" a="1"/>
  <c r="W74" i="2" s="1"/>
  <c r="AF74" i="2" a="1"/>
  <c r="AF74" i="2" s="1"/>
  <c r="AB78" i="2" a="1"/>
  <c r="AB78" i="2" s="1"/>
  <c r="AD17" i="2" a="1"/>
  <c r="AD17" i="2" s="1"/>
  <c r="W37" i="2" a="1"/>
  <c r="W37" i="2" s="1"/>
  <c r="AH41" i="2" a="1"/>
  <c r="AH41" i="2" s="1"/>
  <c r="Z41" i="2" a="1"/>
  <c r="Z41" i="2" s="1"/>
  <c r="AA41" i="2" a="1"/>
  <c r="AA41" i="2" s="1"/>
  <c r="W41" i="2" a="1"/>
  <c r="W41" i="2" s="1"/>
  <c r="AE41" i="2" a="1"/>
  <c r="AE41" i="2" s="1"/>
  <c r="AH60" i="2" a="1"/>
  <c r="AH60" i="2" s="1"/>
  <c r="Z60" i="2" a="1"/>
  <c r="Z60" i="2" s="1"/>
  <c r="Y60" i="2" a="1"/>
  <c r="Y60" i="2" s="1"/>
  <c r="X60" i="2" a="1"/>
  <c r="X60" i="2" s="1"/>
  <c r="AF60" i="2" a="1"/>
  <c r="AF60" i="2" s="1"/>
  <c r="AE60" i="2" a="1"/>
  <c r="AE60" i="2" s="1"/>
  <c r="AC60" i="2" a="1"/>
  <c r="AC60" i="2" s="1"/>
  <c r="AB60" i="2" a="1"/>
  <c r="AB60" i="2" s="1"/>
  <c r="AA60" i="2" a="1"/>
  <c r="AA60" i="2" s="1"/>
  <c r="AG60" i="2" a="1"/>
  <c r="AG60" i="2" s="1"/>
  <c r="AD74" i="2" a="1"/>
  <c r="AD74" i="2" s="1"/>
  <c r="AE27" i="2" a="1"/>
  <c r="AE27" i="2" s="1"/>
  <c r="AF31" i="2" a="1"/>
  <c r="AF31" i="2" s="1"/>
  <c r="X31" i="2" a="1"/>
  <c r="X31" i="2" s="1"/>
  <c r="AG37" i="2" a="1"/>
  <c r="AG37" i="2" s="1"/>
  <c r="AH76" i="2" a="1"/>
  <c r="AH76" i="2" s="1"/>
  <c r="Z76" i="2" a="1"/>
  <c r="Z76" i="2" s="1"/>
  <c r="X76" i="2" a="1"/>
  <c r="X76" i="2" s="1"/>
  <c r="AF76" i="2" a="1"/>
  <c r="AF76" i="2" s="1"/>
  <c r="W76" i="2" a="1"/>
  <c r="W76" i="2" s="1"/>
  <c r="AE76" i="2" a="1"/>
  <c r="AE76" i="2" s="1"/>
  <c r="AD76" i="2" a="1"/>
  <c r="AD76" i="2" s="1"/>
  <c r="AC76" i="2" a="1"/>
  <c r="AC76" i="2" s="1"/>
  <c r="AK76" i="2" a="1"/>
  <c r="AK76" i="2" s="1"/>
  <c r="AJ76" i="2" s="1"/>
  <c r="AG76" i="2" a="1"/>
  <c r="AG76" i="2" s="1"/>
  <c r="AB76" i="2" a="1"/>
  <c r="AB76" i="2" s="1"/>
  <c r="AA76" i="2" a="1"/>
  <c r="AA76" i="2" s="1"/>
  <c r="Y76" i="2" a="1"/>
  <c r="Y76" i="2" s="1"/>
  <c r="AC34" i="2" a="1"/>
  <c r="AC34" i="2" s="1"/>
  <c r="AG34" i="2" a="1"/>
  <c r="AG34" i="2" s="1"/>
  <c r="Y34" i="2" a="1"/>
  <c r="Y34" i="2" s="1"/>
  <c r="AF34" i="2" a="1"/>
  <c r="AF34" i="2" s="1"/>
  <c r="X37" i="2" a="1"/>
  <c r="X37" i="2" s="1"/>
  <c r="AG39" i="2" a="1"/>
  <c r="AG39" i="2" s="1"/>
  <c r="Y39" i="2" a="1"/>
  <c r="Y39" i="2" s="1"/>
  <c r="AF39" i="2" a="1"/>
  <c r="AF39" i="2" s="1"/>
  <c r="AB39" i="2" a="1"/>
  <c r="AB39" i="2" s="1"/>
  <c r="AK59" i="2" a="1"/>
  <c r="AK59" i="2" s="1"/>
  <c r="AJ59" i="2" s="1"/>
  <c r="W59" i="2" a="1"/>
  <c r="W59" i="2" s="1"/>
  <c r="AF59" i="2" a="1"/>
  <c r="AF59" i="2" s="1"/>
  <c r="AE59" i="2" a="1"/>
  <c r="AE59" i="2" s="1"/>
  <c r="AD59" i="2" a="1"/>
  <c r="AD59" i="2" s="1"/>
  <c r="Z59" i="2" a="1"/>
  <c r="Z59" i="2" s="1"/>
  <c r="AE70" i="2" a="1"/>
  <c r="AE70" i="2" s="1"/>
  <c r="W70" i="2" a="1"/>
  <c r="W70" i="2" s="1"/>
  <c r="AF70" i="2" a="1"/>
  <c r="AF70" i="2" s="1"/>
  <c r="AD70" i="2" a="1"/>
  <c r="AD70" i="2" s="1"/>
  <c r="AB70" i="2" a="1"/>
  <c r="AB70" i="2" s="1"/>
  <c r="AK70" i="2" a="1"/>
  <c r="AK70" i="2" s="1"/>
  <c r="AJ70" i="2" s="1"/>
  <c r="AH70" i="2" a="1"/>
  <c r="AH70" i="2" s="1"/>
  <c r="AG70" i="2" a="1"/>
  <c r="AG70" i="2" s="1"/>
  <c r="AC70" i="2" a="1"/>
  <c r="AC70" i="2" s="1"/>
  <c r="AA70" i="2" a="1"/>
  <c r="AA70" i="2" s="1"/>
  <c r="Z70" i="2" a="1"/>
  <c r="Z70" i="2" s="1"/>
  <c r="X70" i="2" a="1"/>
  <c r="X70" i="2" s="1"/>
  <c r="AE74" i="2" a="1"/>
  <c r="AE74" i="2" s="1"/>
  <c r="W27" i="2" a="1"/>
  <c r="W27" i="2" s="1"/>
  <c r="AF27" i="2" a="1"/>
  <c r="AF27" i="2" s="1"/>
  <c r="Y28" i="2" a="1"/>
  <c r="Y28" i="2" s="1"/>
  <c r="AH28" i="2" a="1"/>
  <c r="AH28" i="2" s="1"/>
  <c r="W34" i="2" a="1"/>
  <c r="W34" i="2" s="1"/>
  <c r="AH37" i="2" a="1"/>
  <c r="AH37" i="2" s="1"/>
  <c r="W39" i="2" a="1"/>
  <c r="W39" i="2" s="1"/>
  <c r="AH39" i="2" a="1"/>
  <c r="AH39" i="2" s="1"/>
  <c r="AK41" i="2" a="1"/>
  <c r="AK41" i="2" s="1"/>
  <c r="AJ41" i="2" s="1"/>
  <c r="AG44" i="2" a="1"/>
  <c r="AG44" i="2" s="1"/>
  <c r="W44" i="2" a="1"/>
  <c r="W44" i="2" s="1"/>
  <c r="AB44" i="2" a="1"/>
  <c r="AB44" i="2" s="1"/>
  <c r="AK44" i="2" a="1"/>
  <c r="AK44" i="2" s="1"/>
  <c r="AJ44" i="2" s="1"/>
  <c r="AA44" i="2" a="1"/>
  <c r="AA44" i="2" s="1"/>
  <c r="AD63" i="2" a="1"/>
  <c r="AD63" i="2" s="1"/>
  <c r="AC63" i="2" a="1"/>
  <c r="AC63" i="2" s="1"/>
  <c r="AK63" i="2" a="1"/>
  <c r="AK63" i="2" s="1"/>
  <c r="AJ63" i="2" s="1"/>
  <c r="AA63" i="2" a="1"/>
  <c r="AA63" i="2" s="1"/>
  <c r="Y63" i="2" a="1"/>
  <c r="Y63" i="2" s="1"/>
  <c r="AB63" i="2" a="1"/>
  <c r="AB63" i="2" s="1"/>
  <c r="Z63" i="2" a="1"/>
  <c r="Z63" i="2" s="1"/>
  <c r="X63" i="2" a="1"/>
  <c r="X63" i="2" s="1"/>
  <c r="AH63" i="2" a="1"/>
  <c r="AH63" i="2" s="1"/>
  <c r="AG63" i="2" a="1"/>
  <c r="AG63" i="2" s="1"/>
  <c r="AC79" i="2" a="1"/>
  <c r="AC79" i="2" s="1"/>
  <c r="AB79" i="2" a="1"/>
  <c r="AB79" i="2" s="1"/>
  <c r="AK79" i="2" a="1"/>
  <c r="AK79" i="2" s="1"/>
  <c r="AJ79" i="2" s="1"/>
  <c r="AA79" i="2" a="1"/>
  <c r="AA79" i="2" s="1"/>
  <c r="Z79" i="2" a="1"/>
  <c r="Z79" i="2" s="1"/>
  <c r="AH79" i="2" a="1"/>
  <c r="AH79" i="2" s="1"/>
  <c r="Y79" i="2" a="1"/>
  <c r="Y79" i="2" s="1"/>
  <c r="AG79" i="2" a="1"/>
  <c r="AG79" i="2" s="1"/>
  <c r="AF79" i="2" a="1"/>
  <c r="AF79" i="2" s="1"/>
  <c r="X79" i="2" a="1"/>
  <c r="X79" i="2" s="1"/>
  <c r="W79" i="2" a="1"/>
  <c r="W79" i="2" s="1"/>
  <c r="X17" i="2" a="1"/>
  <c r="X17" i="2" s="1"/>
  <c r="Y31" i="2" a="1"/>
  <c r="Y31" i="2" s="1"/>
  <c r="AH31" i="2" a="1"/>
  <c r="AH31" i="2" s="1"/>
  <c r="AH34" i="2" a="1"/>
  <c r="AH34" i="2" s="1"/>
  <c r="Y37" i="2" a="1"/>
  <c r="Y37" i="2" s="1"/>
  <c r="X39" i="2" a="1"/>
  <c r="X39" i="2" s="1"/>
  <c r="Y41" i="2" a="1"/>
  <c r="Y41" i="2" s="1"/>
  <c r="AC58" i="2" a="1"/>
  <c r="AC58" i="2" s="1"/>
  <c r="AB58" i="2" a="1"/>
  <c r="AB58" i="2" s="1"/>
  <c r="AK58" i="2" a="1"/>
  <c r="AK58" i="2" s="1"/>
  <c r="AJ58" i="2" s="1"/>
  <c r="AA58" i="2" a="1"/>
  <c r="AA58" i="2" s="1"/>
  <c r="Z58" i="2" a="1"/>
  <c r="Z58" i="2" s="1"/>
  <c r="AF58" i="2" a="1"/>
  <c r="AF58" i="2" s="1"/>
  <c r="W58" i="2" a="1"/>
  <c r="W58" i="2" s="1"/>
  <c r="AC66" i="2" a="1"/>
  <c r="AC66" i="2" s="1"/>
  <c r="Z66" i="2" a="1"/>
  <c r="Z66" i="2" s="1"/>
  <c r="Y66" i="2" a="1"/>
  <c r="Y66" i="2" s="1"/>
  <c r="AG66" i="2" a="1"/>
  <c r="AG66" i="2" s="1"/>
  <c r="AF66" i="2" a="1"/>
  <c r="AF66" i="2" s="1"/>
  <c r="AD66" i="2" a="1"/>
  <c r="AD66" i="2" s="1"/>
  <c r="AB66" i="2" a="1"/>
  <c r="AB66" i="2" s="1"/>
  <c r="AA66" i="2" a="1"/>
  <c r="AA66" i="2" s="1"/>
  <c r="X66" i="2" a="1"/>
  <c r="X66" i="2" s="1"/>
  <c r="AH66" i="2" a="1"/>
  <c r="AH66" i="2" s="1"/>
  <c r="AB50" i="2" a="1"/>
  <c r="AB50" i="2" s="1"/>
  <c r="AK56" i="2" a="1"/>
  <c r="AK56" i="2" s="1"/>
  <c r="AJ56" i="2" s="1"/>
  <c r="AE46" i="2" a="1"/>
  <c r="AE46" i="2" s="1"/>
  <c r="AA56" i="2" a="1"/>
  <c r="AA56" i="2" s="1"/>
  <c r="AC61" i="2" a="1"/>
  <c r="AC61" i="2" s="1"/>
  <c r="AH77" i="2" a="1"/>
  <c r="AH77" i="2" s="1"/>
  <c r="Y77" i="2" a="1"/>
  <c r="Y77" i="2" s="1"/>
  <c r="AG77" i="2" a="1"/>
  <c r="AG77" i="2" s="1"/>
  <c r="X77" i="2" a="1"/>
  <c r="X77" i="2" s="1"/>
  <c r="AF77" i="2" a="1"/>
  <c r="AF77" i="2" s="1"/>
  <c r="W77" i="2" a="1"/>
  <c r="W77" i="2" s="1"/>
  <c r="AE77" i="2" a="1"/>
  <c r="AE77" i="2" s="1"/>
  <c r="AD77" i="2" a="1"/>
  <c r="AD77" i="2" s="1"/>
  <c r="AC77" i="2" a="1"/>
  <c r="AC77" i="2" s="1"/>
  <c r="AD56" i="2" a="1"/>
  <c r="AD56" i="2" s="1"/>
  <c r="AA67" i="2" a="1"/>
  <c r="AA67" i="2" s="1"/>
  <c r="Z67" i="2" a="1"/>
  <c r="Z67" i="2" s="1"/>
  <c r="AH67" i="2" a="1"/>
  <c r="AH67" i="2" s="1"/>
  <c r="AG67" i="2" a="1"/>
  <c r="AG67" i="2" s="1"/>
  <c r="AF67" i="2" a="1"/>
  <c r="AF67" i="2" s="1"/>
  <c r="AE67" i="2" a="1"/>
  <c r="AE67" i="2" s="1"/>
  <c r="AK67" i="2" a="1"/>
  <c r="AK67" i="2" s="1"/>
  <c r="AJ67" i="2" s="1"/>
  <c r="AK64" i="2" a="1"/>
  <c r="AK64" i="2" s="1"/>
  <c r="AJ64" i="2" s="1"/>
  <c r="AB64" i="2" a="1"/>
  <c r="AB64" i="2" s="1"/>
  <c r="W64" i="2" a="1"/>
  <c r="W64" i="2" s="1"/>
  <c r="AD64" i="2" a="1"/>
  <c r="AD64" i="2" s="1"/>
  <c r="AC64" i="2" a="1"/>
  <c r="AC64" i="2" s="1"/>
  <c r="AH64" i="2" a="1"/>
  <c r="AH64" i="2" s="1"/>
  <c r="AE56" i="2" a="1"/>
  <c r="AE56" i="2" s="1"/>
  <c r="AA61" i="2" a="1"/>
  <c r="AA61" i="2" s="1"/>
  <c r="AH61" i="2" a="1"/>
  <c r="AH61" i="2" s="1"/>
  <c r="Y61" i="2" a="1"/>
  <c r="Y61" i="2" s="1"/>
  <c r="X61" i="2" a="1"/>
  <c r="X61" i="2" s="1"/>
  <c r="AK61" i="2" a="1"/>
  <c r="AK61" i="2" s="1"/>
  <c r="AJ61" i="2" s="1"/>
  <c r="X64" i="2" a="1"/>
  <c r="X64" i="2" s="1"/>
  <c r="AF49" i="2" a="1"/>
  <c r="AF49" i="2" s="1"/>
  <c r="AD49" i="2" a="1"/>
  <c r="AD49" i="2" s="1"/>
  <c r="AE49" i="2" a="1"/>
  <c r="AE49" i="2" s="1"/>
  <c r="W56" i="2" a="1"/>
  <c r="W56" i="2" s="1"/>
  <c r="W61" i="2" a="1"/>
  <c r="W61" i="2" s="1"/>
  <c r="AD68" i="2" a="1"/>
  <c r="AD68" i="2" s="1"/>
  <c r="AB68" i="2" a="1"/>
  <c r="AB68" i="2" s="1"/>
  <c r="AA68" i="2" a="1"/>
  <c r="AA68" i="2" s="1"/>
  <c r="AH68" i="2" a="1"/>
  <c r="AH68" i="2" s="1"/>
  <c r="AG68" i="2" a="1"/>
  <c r="AG68" i="2" s="1"/>
  <c r="AF68" i="2" a="1"/>
  <c r="AF68" i="2" s="1"/>
  <c r="W49" i="2" a="1"/>
  <c r="W49" i="2" s="1"/>
  <c r="Y64" i="2" a="1"/>
  <c r="Y64" i="2" s="1"/>
  <c r="W68" i="2" a="1"/>
  <c r="W68" i="2" s="1"/>
  <c r="AB69" i="2" a="1"/>
  <c r="AB69" i="2" s="1"/>
  <c r="AA69" i="2" a="1"/>
  <c r="AA69" i="2" s="1"/>
  <c r="Z69" i="2" a="1"/>
  <c r="Z69" i="2" s="1"/>
  <c r="Y69" i="2" a="1"/>
  <c r="Y69" i="2" s="1"/>
  <c r="Z75" i="2" a="1"/>
  <c r="Z75" i="2" s="1"/>
  <c r="AA75" i="2" a="1"/>
  <c r="AA75" i="2" s="1"/>
  <c r="AF72" i="2" a="1"/>
  <c r="AF72" i="2" s="1"/>
  <c r="X72" i="2" a="1"/>
  <c r="X72" i="2" s="1"/>
  <c r="AE72" i="2" a="1"/>
  <c r="AE72" i="2" s="1"/>
  <c r="AK75" i="2" a="1"/>
  <c r="AK75" i="2" s="1"/>
  <c r="AJ75" i="2" s="1"/>
  <c r="W72" i="2" a="1"/>
  <c r="W72" i="2" s="1"/>
  <c r="AB75" i="2" a="1"/>
  <c r="AB75" i="2" s="1"/>
  <c r="AE136" i="2" a="1"/>
  <c r="AE136" i="2" s="1"/>
  <c r="AD136" i="2" a="1"/>
  <c r="AD136" i="2" s="1"/>
  <c r="AC136" i="2" a="1"/>
  <c r="AC136" i="2" s="1"/>
  <c r="AB136" i="2" a="1"/>
  <c r="AB136" i="2" s="1"/>
  <c r="Y136" i="2" a="1"/>
  <c r="Y136" i="2" s="1"/>
  <c r="AK136" i="2" a="1"/>
  <c r="AK136" i="2" s="1"/>
  <c r="AJ136" i="2" s="1"/>
  <c r="AH136" i="2" a="1"/>
  <c r="AH136" i="2" s="1"/>
  <c r="AG136" i="2" a="1"/>
  <c r="AG136" i="2" s="1"/>
  <c r="AF136" i="2" a="1"/>
  <c r="AF136" i="2" s="1"/>
  <c r="AA136" i="2" a="1"/>
  <c r="AA136" i="2" s="1"/>
  <c r="AG72" i="2" a="1"/>
  <c r="AG72" i="2" s="1"/>
  <c r="AC75" i="2" a="1"/>
  <c r="AC75" i="2" s="1"/>
  <c r="Y72" i="2" a="1"/>
  <c r="Y72" i="2" s="1"/>
  <c r="Z72" i="2" a="1"/>
  <c r="Z72" i="2" s="1"/>
  <c r="AK81" i="2" a="1"/>
  <c r="AK81" i="2" s="1"/>
  <c r="AJ81" i="2" s="1"/>
  <c r="AB81" i="2" a="1"/>
  <c r="AB81" i="2" s="1"/>
  <c r="AA81" i="2" a="1"/>
  <c r="AA81" i="2" s="1"/>
  <c r="AH81" i="2" a="1"/>
  <c r="AH81" i="2" s="1"/>
  <c r="Z81" i="2" a="1"/>
  <c r="Z81" i="2" s="1"/>
  <c r="AG81" i="2" a="1"/>
  <c r="AG81" i="2" s="1"/>
  <c r="AF81" i="2" a="1"/>
  <c r="AF81" i="2" s="1"/>
  <c r="AE81" i="2" a="1"/>
  <c r="AE81" i="2" s="1"/>
  <c r="AD81" i="2" a="1"/>
  <c r="AD81" i="2" s="1"/>
  <c r="AG153" i="2" a="1"/>
  <c r="AG153" i="2" s="1"/>
  <c r="AE153" i="2" a="1"/>
  <c r="AE153" i="2" s="1"/>
  <c r="W153" i="2" a="1"/>
  <c r="W153" i="2" s="1"/>
  <c r="AF153" i="2" a="1"/>
  <c r="AF153" i="2" s="1"/>
  <c r="AD153" i="2" a="1"/>
  <c r="AD153" i="2" s="1"/>
  <c r="AC153" i="2" a="1"/>
  <c r="AC153" i="2" s="1"/>
  <c r="Z153" i="2" a="1"/>
  <c r="Z153" i="2" s="1"/>
  <c r="AK153" i="2" a="1"/>
  <c r="AK153" i="2" s="1"/>
  <c r="AJ153" i="2" s="1"/>
  <c r="AC155" i="2" a="1"/>
  <c r="AC155" i="2" s="1"/>
  <c r="AK155" i="2" a="1"/>
  <c r="AK155" i="2" s="1"/>
  <c r="AJ155" i="2" s="1"/>
  <c r="AB155" i="2" a="1"/>
  <c r="AB155" i="2" s="1"/>
  <c r="AA155" i="2" a="1"/>
  <c r="AA155" i="2" s="1"/>
  <c r="AG155" i="2" a="1"/>
  <c r="AG155" i="2" s="1"/>
  <c r="Y155" i="2" a="1"/>
  <c r="Y155" i="2" s="1"/>
  <c r="AD155" i="2" a="1"/>
  <c r="AD155" i="2" s="1"/>
  <c r="Z155" i="2" a="1"/>
  <c r="Z155" i="2" s="1"/>
  <c r="X155" i="2" a="1"/>
  <c r="X155" i="2" s="1"/>
  <c r="W155" i="2" a="1"/>
  <c r="W155" i="2" s="1"/>
  <c r="AH155" i="2" a="1"/>
  <c r="AH155" i="2" s="1"/>
  <c r="AF155" i="2" a="1"/>
  <c r="AF155" i="2" s="1"/>
  <c r="AE155" i="2" a="1"/>
  <c r="AE155" i="2" s="1"/>
  <c r="X153" i="2" a="1"/>
  <c r="X153" i="2" s="1"/>
  <c r="X81" i="2" a="1"/>
  <c r="X81" i="2" s="1"/>
  <c r="Y153" i="2" a="1"/>
  <c r="Y153" i="2" s="1"/>
  <c r="AC81" i="2" a="1"/>
  <c r="AC81" i="2" s="1"/>
  <c r="AA153" i="2" a="1"/>
  <c r="AA153" i="2" s="1"/>
  <c r="AB144" i="2" a="1"/>
  <c r="AB144" i="2" s="1"/>
  <c r="AA144" i="2" a="1"/>
  <c r="AA144" i="2" s="1"/>
  <c r="AK144" i="2" a="1"/>
  <c r="AK144" i="2" s="1"/>
  <c r="AJ144" i="2" s="1"/>
  <c r="Z144" i="2" a="1"/>
  <c r="Z144" i="2" s="1"/>
  <c r="Y144" i="2" a="1"/>
  <c r="Y144" i="2" s="1"/>
  <c r="X144" i="2" a="1"/>
  <c r="X144" i="2" s="1"/>
  <c r="AH144" i="2" a="1"/>
  <c r="AH144" i="2" s="1"/>
  <c r="AG144" i="2" a="1"/>
  <c r="AG144" i="2" s="1"/>
  <c r="W144" i="2" a="1"/>
  <c r="W144" i="2" s="1"/>
  <c r="AE144" i="2" a="1"/>
  <c r="AE144" i="2" s="1"/>
  <c r="AF144" i="2" a="1"/>
  <c r="AF144" i="2" s="1"/>
  <c r="AB153" i="2" a="1"/>
  <c r="AB153" i="2" s="1"/>
  <c r="AH153" i="2" a="1"/>
  <c r="AH153" i="2" s="1"/>
  <c r="AD131" i="2" a="1"/>
  <c r="AD131" i="2" s="1"/>
  <c r="AC131" i="2" a="1"/>
  <c r="AC131" i="2" s="1"/>
  <c r="AB131" i="2" a="1"/>
  <c r="AB131" i="2" s="1"/>
  <c r="AA131" i="2" a="1"/>
  <c r="AA131" i="2" s="1"/>
  <c r="AK131" i="2" a="1"/>
  <c r="AK131" i="2" s="1"/>
  <c r="AJ131" i="2" s="1"/>
  <c r="Z131" i="2" a="1"/>
  <c r="Z131" i="2" s="1"/>
  <c r="AG131" i="2" a="1"/>
  <c r="AG131" i="2" s="1"/>
  <c r="AC151" i="2" a="1"/>
  <c r="AC151" i="2" s="1"/>
  <c r="AE151" i="2" a="1"/>
  <c r="AE151" i="2" s="1"/>
  <c r="AD151" i="2" a="1"/>
  <c r="AD151" i="2" s="1"/>
  <c r="AB151" i="2" a="1"/>
  <c r="AB151" i="2" s="1"/>
  <c r="AA151" i="2" a="1"/>
  <c r="AA151" i="2" s="1"/>
  <c r="Y151" i="2" a="1"/>
  <c r="Y151" i="2" s="1"/>
  <c r="AC82" i="2" a="1"/>
  <c r="AC82" i="2" s="1"/>
  <c r="AK82" i="2" a="1"/>
  <c r="AK82" i="2" s="1"/>
  <c r="AJ82" i="2" s="1"/>
  <c r="AB82" i="2" a="1"/>
  <c r="AB82" i="2" s="1"/>
  <c r="AA82" i="2" a="1"/>
  <c r="AA82" i="2" s="1"/>
  <c r="AH82" i="2" a="1"/>
  <c r="AH82" i="2" s="1"/>
  <c r="Z82" i="2" a="1"/>
  <c r="Z82" i="2" s="1"/>
  <c r="AF82" i="2" a="1"/>
  <c r="AF82" i="2" s="1"/>
  <c r="X82" i="2" a="1"/>
  <c r="X82" i="2" s="1"/>
  <c r="AG82" i="2" a="1"/>
  <c r="AG82" i="2" s="1"/>
  <c r="AE82" i="2" a="1"/>
  <c r="AE82" i="2" s="1"/>
  <c r="AD82" i="2" a="1"/>
  <c r="AD82" i="2" s="1"/>
  <c r="Y82" i="2" a="1"/>
  <c r="Y82" i="2" s="1"/>
  <c r="AE138" i="2" a="1"/>
  <c r="AE138" i="2" s="1"/>
  <c r="AD138" i="2" a="1"/>
  <c r="AD138" i="2" s="1"/>
  <c r="AC138" i="2" a="1"/>
  <c r="AC138" i="2" s="1"/>
  <c r="AB138" i="2" a="1"/>
  <c r="AB138" i="2" s="1"/>
  <c r="AA138" i="2" a="1"/>
  <c r="AA138" i="2" s="1"/>
  <c r="Z138" i="2" a="1"/>
  <c r="Z138" i="2" s="1"/>
  <c r="AH138" i="2" a="1"/>
  <c r="AH138" i="2" s="1"/>
  <c r="X131" i="2" a="1"/>
  <c r="X131" i="2" s="1"/>
  <c r="W138" i="2" a="1"/>
  <c r="W138" i="2" s="1"/>
  <c r="X151" i="2" a="1"/>
  <c r="X151" i="2" s="1"/>
  <c r="AK161" i="2" a="1"/>
  <c r="AK161" i="2" s="1"/>
  <c r="AJ161" i="2" s="1"/>
  <c r="AB161" i="2" a="1"/>
  <c r="AB161" i="2" s="1"/>
  <c r="AA161" i="2" a="1"/>
  <c r="AA161" i="2" s="1"/>
  <c r="AH161" i="2" a="1"/>
  <c r="AH161" i="2" s="1"/>
  <c r="Z161" i="2" a="1"/>
  <c r="Z161" i="2" s="1"/>
  <c r="AG161" i="2" a="1"/>
  <c r="AG161" i="2" s="1"/>
  <c r="Y161" i="2" a="1"/>
  <c r="Y161" i="2" s="1"/>
  <c r="AE161" i="2" a="1"/>
  <c r="AE161" i="2" s="1"/>
  <c r="W161" i="2" a="1"/>
  <c r="W161" i="2" s="1"/>
  <c r="AF161" i="2" a="1"/>
  <c r="AF161" i="2" s="1"/>
  <c r="AD161" i="2" a="1"/>
  <c r="AD161" i="2" s="1"/>
  <c r="AC161" i="2" a="1"/>
  <c r="AC161" i="2" s="1"/>
  <c r="X161" i="2" a="1"/>
  <c r="X161" i="2" s="1"/>
  <c r="X138" i="2" a="1"/>
  <c r="X138" i="2" s="1"/>
  <c r="Y138" i="2" a="1"/>
  <c r="Y138" i="2" s="1"/>
  <c r="AA146" i="2" a="1"/>
  <c r="AA146" i="2" s="1"/>
  <c r="Z146" i="2" a="1"/>
  <c r="Z146" i="2" s="1"/>
  <c r="AK146" i="2" a="1"/>
  <c r="AK146" i="2" s="1"/>
  <c r="AJ146" i="2" s="1"/>
  <c r="Y146" i="2" a="1"/>
  <c r="Y146" i="2" s="1"/>
  <c r="AH146" i="2" a="1"/>
  <c r="AH146" i="2" s="1"/>
  <c r="X146" i="2" a="1"/>
  <c r="X146" i="2" s="1"/>
  <c r="AG146" i="2" a="1"/>
  <c r="AG146" i="2" s="1"/>
  <c r="W146" i="2" a="1"/>
  <c r="W146" i="2" s="1"/>
  <c r="AE146" i="2" a="1"/>
  <c r="AE146" i="2" s="1"/>
  <c r="AF151" i="2" a="1"/>
  <c r="AF151" i="2" s="1"/>
  <c r="AG151" i="2" a="1"/>
  <c r="AG151" i="2" s="1"/>
  <c r="AD135" i="2" a="1"/>
  <c r="AD135" i="2" s="1"/>
  <c r="AD137" i="2" a="1"/>
  <c r="AD137" i="2" s="1"/>
  <c r="AD139" i="2" a="1"/>
  <c r="AD139" i="2" s="1"/>
  <c r="AA143" i="2" a="1"/>
  <c r="AA143" i="2" s="1"/>
  <c r="Z145" i="2" a="1"/>
  <c r="Z145" i="2" s="1"/>
  <c r="AA154" i="2" a="1"/>
  <c r="AA154" i="2" s="1"/>
  <c r="AH154" i="2" a="1"/>
  <c r="AH154" i="2" s="1"/>
  <c r="Z154" i="2" a="1"/>
  <c r="Z154" i="2" s="1"/>
  <c r="AF154" i="2" a="1"/>
  <c r="AF154" i="2" s="1"/>
  <c r="X154" i="2" a="1"/>
  <c r="X154" i="2" s="1"/>
  <c r="AK154" i="2" a="1"/>
  <c r="AK154" i="2" s="1"/>
  <c r="AJ154" i="2" s="1"/>
  <c r="AH159" i="2" a="1"/>
  <c r="AH159" i="2" s="1"/>
  <c r="Z159" i="2" a="1"/>
  <c r="Z159" i="2" s="1"/>
  <c r="AG159" i="2" a="1"/>
  <c r="AG159" i="2" s="1"/>
  <c r="Y159" i="2" a="1"/>
  <c r="Y159" i="2" s="1"/>
  <c r="AF159" i="2" a="1"/>
  <c r="AF159" i="2" s="1"/>
  <c r="X159" i="2" a="1"/>
  <c r="X159" i="2" s="1"/>
  <c r="AE159" i="2" a="1"/>
  <c r="AE159" i="2" s="1"/>
  <c r="W159" i="2" a="1"/>
  <c r="W159" i="2" s="1"/>
  <c r="AC159" i="2" a="1"/>
  <c r="AC159" i="2" s="1"/>
  <c r="AG135" i="2" a="1"/>
  <c r="AG135" i="2" s="1"/>
  <c r="AF137" i="2" a="1"/>
  <c r="AF137" i="2" s="1"/>
  <c r="AF139" i="2" a="1"/>
  <c r="AF139" i="2" s="1"/>
  <c r="AG152" i="2" a="1"/>
  <c r="AG152" i="2" s="1"/>
  <c r="AB159" i="2" a="1"/>
  <c r="AB159" i="2" s="1"/>
  <c r="W135" i="2" a="1"/>
  <c r="W135" i="2" s="1"/>
  <c r="AH135" i="2" a="1"/>
  <c r="AH135" i="2" s="1"/>
  <c r="W137" i="2" a="1"/>
  <c r="W137" i="2" s="1"/>
  <c r="W139" i="2" a="1"/>
  <c r="W139" i="2" s="1"/>
  <c r="W152" i="2" a="1"/>
  <c r="W152" i="2" s="1"/>
  <c r="AH152" i="2" a="1"/>
  <c r="AH152" i="2" s="1"/>
  <c r="X135" i="2" a="1"/>
  <c r="X135" i="2" s="1"/>
  <c r="AG137" i="2" a="1"/>
  <c r="AG137" i="2" s="1"/>
  <c r="AG139" i="2" a="1"/>
  <c r="AG139" i="2" s="1"/>
  <c r="AD143" i="2" a="1"/>
  <c r="AD143" i="2" s="1"/>
  <c r="AB154" i="2" a="1"/>
  <c r="AB154" i="2" s="1"/>
  <c r="Y135" i="2" a="1"/>
  <c r="Y135" i="2" s="1"/>
  <c r="AH137" i="2" a="1"/>
  <c r="AH137" i="2" s="1"/>
  <c r="X139" i="2" a="1"/>
  <c r="X139" i="2" s="1"/>
  <c r="X152" i="2" a="1"/>
  <c r="X152" i="2" s="1"/>
  <c r="AC154" i="2" a="1"/>
  <c r="AC154" i="2" s="1"/>
  <c r="AD159" i="2" a="1"/>
  <c r="AD159" i="2" s="1"/>
  <c r="Z135" i="2" a="1"/>
  <c r="Z135" i="2" s="1"/>
  <c r="AH139" i="2" a="1"/>
  <c r="AH139" i="2" s="1"/>
  <c r="Y152" i="2" a="1"/>
  <c r="Y152" i="2" s="1"/>
  <c r="AK152" i="2" a="1"/>
  <c r="AK152" i="2" s="1"/>
  <c r="AJ152" i="2" s="1"/>
  <c r="AK135" i="2" a="1"/>
  <c r="AK135" i="2" s="1"/>
  <c r="AJ135" i="2" s="1"/>
  <c r="Y137" i="2" a="1"/>
  <c r="Y137" i="2" s="1"/>
  <c r="AK137" i="2" a="1"/>
  <c r="AK137" i="2" s="1"/>
  <c r="AJ137" i="2" s="1"/>
  <c r="AF143" i="2" a="1"/>
  <c r="AF143" i="2" s="1"/>
  <c r="Z152" i="2" a="1"/>
  <c r="Z152" i="2" s="1"/>
  <c r="AD154" i="2" a="1"/>
  <c r="AD154" i="2" s="1"/>
  <c r="AG147" i="2" a="1"/>
  <c r="AG147" i="2" s="1"/>
  <c r="Y147" i="2" a="1"/>
  <c r="Y147" i="2" s="1"/>
  <c r="AA152" i="2" a="1"/>
  <c r="AA152" i="2" s="1"/>
  <c r="AI318" i="2"/>
  <c r="AI316" i="2"/>
  <c r="AI319" i="2"/>
  <c r="AI317" i="2"/>
  <c r="AI141" i="2" l="1"/>
  <c r="AI149" i="2"/>
  <c r="AI156" i="2"/>
  <c r="AI109" i="2"/>
  <c r="AI150" i="2"/>
  <c r="AI46" i="2"/>
  <c r="AI69" i="2"/>
  <c r="AI148" i="2"/>
  <c r="AI143" i="2"/>
  <c r="AI133" i="2"/>
  <c r="AI49" i="2"/>
  <c r="AI132" i="2"/>
  <c r="AI50" i="2"/>
  <c r="AI140" i="2"/>
  <c r="AI142" i="2"/>
  <c r="AI158" i="2"/>
  <c r="AI145" i="2"/>
  <c r="AI17" i="2"/>
  <c r="AI52" i="2"/>
  <c r="AI36" i="2"/>
  <c r="AI123" i="2"/>
  <c r="AI147" i="2"/>
  <c r="AI67" i="2"/>
  <c r="AI26" i="2"/>
  <c r="AI47" i="2"/>
  <c r="AI75" i="2"/>
  <c r="AI56" i="2"/>
  <c r="AI13" i="2"/>
  <c r="AI101" i="2"/>
  <c r="AI87" i="2"/>
  <c r="AI102" i="2"/>
  <c r="AI73" i="2"/>
  <c r="AI48" i="2"/>
  <c r="AI157" i="2"/>
  <c r="AI63" i="2"/>
  <c r="AI124" i="2"/>
  <c r="AI4" i="2"/>
  <c r="AI12" i="2"/>
  <c r="AI131" i="2"/>
  <c r="AI40" i="2"/>
  <c r="AI104" i="2"/>
  <c r="AI60" i="2"/>
  <c r="AI66" i="2"/>
  <c r="AI79" i="2"/>
  <c r="AI28" i="2"/>
  <c r="AI37" i="2"/>
  <c r="AI107" i="2"/>
  <c r="AI82" i="2"/>
  <c r="AI154" i="2"/>
  <c r="AI81" i="2"/>
  <c r="AI136" i="2"/>
  <c r="AI68" i="2"/>
  <c r="AI58" i="2"/>
  <c r="AI125" i="2"/>
  <c r="AI18" i="2"/>
  <c r="AI134" i="2"/>
  <c r="AI111" i="2"/>
  <c r="AI10" i="2"/>
  <c r="AI14" i="2"/>
  <c r="AI24" i="2"/>
  <c r="AI27" i="2"/>
  <c r="AI59" i="2"/>
  <c r="AI108" i="2"/>
  <c r="AI83" i="2"/>
  <c r="AI100" i="2"/>
  <c r="AI15" i="2"/>
  <c r="AI121" i="2"/>
  <c r="AI93" i="2"/>
  <c r="AI152" i="2"/>
  <c r="AI151" i="2"/>
  <c r="AI29" i="2"/>
  <c r="AI35" i="2"/>
  <c r="AI103" i="2"/>
  <c r="AI5" i="2"/>
  <c r="AI160" i="2"/>
  <c r="AI114" i="2"/>
  <c r="AI7" i="2"/>
  <c r="AI138" i="2"/>
  <c r="AI76" i="2"/>
  <c r="AI80" i="2"/>
  <c r="AI51" i="2"/>
  <c r="AI32" i="2"/>
  <c r="AI54" i="2"/>
  <c r="AI110" i="2"/>
  <c r="AI86" i="2"/>
  <c r="AI128" i="2"/>
  <c r="AI20" i="2"/>
  <c r="AI112" i="2"/>
  <c r="AI139" i="2"/>
  <c r="AI43" i="2"/>
  <c r="AI22" i="2"/>
  <c r="AI137" i="2"/>
  <c r="AI161" i="2"/>
  <c r="AI146" i="2"/>
  <c r="AI44" i="2"/>
  <c r="AI65" i="2"/>
  <c r="AI38" i="2"/>
  <c r="AI126" i="2"/>
  <c r="AI16" i="2"/>
  <c r="AI118" i="2"/>
  <c r="AI130" i="2"/>
  <c r="AI115" i="2"/>
  <c r="AI88" i="2"/>
  <c r="AI97" i="2"/>
  <c r="AI90" i="2"/>
  <c r="AI135" i="2"/>
  <c r="AI53" i="2"/>
  <c r="AI71" i="2"/>
  <c r="AI89" i="2"/>
  <c r="AI127" i="2"/>
  <c r="AI113" i="2"/>
  <c r="AI96" i="2"/>
  <c r="AI61" i="2"/>
  <c r="AI30" i="2"/>
  <c r="AI144" i="2"/>
  <c r="AI78" i="2"/>
  <c r="AI42" i="2"/>
  <c r="AI23" i="2"/>
  <c r="AI92" i="2"/>
  <c r="AI91" i="2"/>
  <c r="AI122" i="2"/>
  <c r="AI95" i="2"/>
  <c r="AI39" i="2"/>
  <c r="AI41" i="2"/>
  <c r="AI57" i="2"/>
  <c r="AI19" i="2"/>
  <c r="AI33" i="2"/>
  <c r="AI117" i="2"/>
  <c r="AI25" i="2"/>
  <c r="AI129" i="2"/>
  <c r="AI85" i="2"/>
  <c r="AI8" i="2"/>
  <c r="AI153" i="2"/>
  <c r="AI77" i="2"/>
  <c r="AI31" i="2"/>
  <c r="AI74" i="2"/>
  <c r="AI55" i="2"/>
  <c r="AI62" i="2"/>
  <c r="AI11" i="2"/>
  <c r="AI99" i="2"/>
  <c r="AI9" i="2"/>
  <c r="AI159" i="2"/>
  <c r="AI64" i="2"/>
  <c r="AI155" i="2"/>
  <c r="AI34" i="2"/>
  <c r="AI70" i="2"/>
  <c r="AI6" i="2"/>
  <c r="AI45" i="2"/>
  <c r="AI105" i="2"/>
  <c r="AI98" i="2"/>
  <c r="AI94" i="2"/>
  <c r="AI106" i="2"/>
  <c r="AI72" i="2"/>
  <c r="AI21" i="2"/>
  <c r="AI120" i="2"/>
  <c r="AI116" i="2"/>
  <c r="AI119" i="2"/>
  <c r="AI84" i="2"/>
  <c r="S29" i="4" l="1"/>
  <c r="R29" i="4"/>
  <c r="M10" i="4"/>
  <c r="T25" i="1" a="1"/>
  <c r="T25" i="1" s="1"/>
  <c r="T24" i="1" a="1"/>
  <c r="T24" i="1" s="1"/>
  <c r="W162" i="2" l="1" a="1"/>
  <c r="W162" i="2" s="1"/>
  <c r="X162" i="2" a="1"/>
  <c r="X162" i="2" s="1"/>
  <c r="Y162" i="2" a="1"/>
  <c r="Y162" i="2" s="1"/>
  <c r="Z162" i="2" a="1"/>
  <c r="Z162" i="2" s="1"/>
  <c r="AA162" i="2" a="1"/>
  <c r="AA162" i="2" s="1"/>
  <c r="AB162" i="2" a="1"/>
  <c r="AB162" i="2" s="1"/>
  <c r="AC162" i="2" a="1"/>
  <c r="AC162" i="2" s="1"/>
  <c r="AD162" i="2" a="1"/>
  <c r="AD162" i="2" s="1"/>
  <c r="AE162" i="2" a="1"/>
  <c r="AE162" i="2" s="1"/>
  <c r="AF162" i="2" a="1"/>
  <c r="AF162" i="2" s="1"/>
  <c r="AG162" i="2" a="1"/>
  <c r="AG162" i="2" s="1"/>
  <c r="AJ162" i="2" a="1"/>
  <c r="AJ162" i="2" s="1"/>
  <c r="AK162" i="2" s="1" a="1"/>
  <c r="AK162" i="2" s="1"/>
  <c r="AN162" i="2"/>
  <c r="W163" i="2" a="1"/>
  <c r="W163" i="2" s="1"/>
  <c r="X163" i="2" a="1"/>
  <c r="X163" i="2" s="1"/>
  <c r="Y163" i="2" a="1"/>
  <c r="Y163" i="2" s="1"/>
  <c r="Z163" i="2" a="1"/>
  <c r="Z163" i="2" s="1"/>
  <c r="AA163" i="2" a="1"/>
  <c r="AA163" i="2" s="1"/>
  <c r="AB163" i="2" a="1"/>
  <c r="AB163" i="2" s="1"/>
  <c r="AC163" i="2" a="1"/>
  <c r="AC163" i="2" s="1"/>
  <c r="AD163" i="2" a="1"/>
  <c r="AD163" i="2" s="1"/>
  <c r="AE163" i="2" a="1"/>
  <c r="AE163" i="2" s="1"/>
  <c r="AF163" i="2" a="1"/>
  <c r="AF163" i="2" s="1"/>
  <c r="AG163" i="2" a="1"/>
  <c r="AG163" i="2" s="1"/>
  <c r="AH163" i="2" a="1"/>
  <c r="AH163" i="2" s="1"/>
  <c r="AJ163" i="2" a="1"/>
  <c r="AJ163" i="2" s="1"/>
  <c r="AK163" i="2" s="1" a="1"/>
  <c r="AK163" i="2" s="1"/>
  <c r="AN163" i="2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J164" i="2" a="1"/>
  <c r="AJ164" i="2" s="1"/>
  <c r="AK164" i="2" s="1" a="1"/>
  <c r="AK164" i="2" s="1"/>
  <c r="AN164" i="2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J165" i="2" a="1"/>
  <c r="AJ165" i="2" s="1"/>
  <c r="AK165" i="2" s="1" a="1"/>
  <c r="AK165" i="2" s="1"/>
  <c r="AN165" i="2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J166" i="2" a="1"/>
  <c r="AJ166" i="2" s="1"/>
  <c r="AK166" i="2" s="1" a="1"/>
  <c r="AK166" i="2" s="1"/>
  <c r="AN166" i="2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J167" i="2" a="1"/>
  <c r="AJ167" i="2" s="1"/>
  <c r="AK167" i="2" s="1" a="1"/>
  <c r="AK167" i="2" s="1"/>
  <c r="AN167" i="2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J168" i="2" a="1"/>
  <c r="AJ168" i="2" s="1"/>
  <c r="AK168" i="2" s="1" a="1"/>
  <c r="AK168" i="2" s="1"/>
  <c r="AN168" i="2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J169" i="2" a="1"/>
  <c r="AJ169" i="2" s="1"/>
  <c r="AK169" i="2" s="1" a="1"/>
  <c r="AK169" i="2" s="1"/>
  <c r="AN169" i="2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J170" i="2" a="1"/>
  <c r="AJ170" i="2" s="1"/>
  <c r="AK170" i="2" s="1" a="1"/>
  <c r="AK170" i="2" s="1"/>
  <c r="AN170" i="2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J171" i="2" a="1"/>
  <c r="AJ171" i="2" s="1"/>
  <c r="AK171" i="2" s="1" a="1"/>
  <c r="AK171" i="2" s="1"/>
  <c r="AN171" i="2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J172" i="2" a="1"/>
  <c r="AJ172" i="2" s="1"/>
  <c r="AK172" i="2" s="1" a="1"/>
  <c r="AK172" i="2" s="1"/>
  <c r="AN172" i="2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J173" i="2" a="1"/>
  <c r="AJ173" i="2" s="1"/>
  <c r="AK173" i="2" s="1" a="1"/>
  <c r="AK173" i="2" s="1"/>
  <c r="AN173" i="2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J174" i="2" a="1"/>
  <c r="AJ174" i="2" s="1"/>
  <c r="AK174" i="2" s="1" a="1"/>
  <c r="AK174" i="2" s="1"/>
  <c r="AN174" i="2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J175" i="2" a="1"/>
  <c r="AJ175" i="2" s="1"/>
  <c r="AK175" i="2" s="1" a="1"/>
  <c r="AK175" i="2" s="1"/>
  <c r="AN175" i="2"/>
  <c r="W176" i="2" a="1"/>
  <c r="W176" i="2" s="1"/>
  <c r="X176" i="2" a="1"/>
  <c r="X176" i="2" s="1"/>
  <c r="Y176" i="2" a="1"/>
  <c r="Y176" i="2" s="1"/>
  <c r="Z176" i="2" a="1"/>
  <c r="Z176" i="2" s="1"/>
  <c r="AA176" i="2" a="1"/>
  <c r="AA176" i="2" s="1"/>
  <c r="AB176" i="2" a="1"/>
  <c r="AB176" i="2" s="1"/>
  <c r="AC176" i="2" a="1"/>
  <c r="AC176" i="2" s="1"/>
  <c r="AD176" i="2" a="1"/>
  <c r="AD176" i="2" s="1"/>
  <c r="AE176" i="2" a="1"/>
  <c r="AE176" i="2" s="1"/>
  <c r="AF176" i="2" a="1"/>
  <c r="AF176" i="2" s="1"/>
  <c r="AG176" i="2" a="1"/>
  <c r="AG176" i="2" s="1"/>
  <c r="AH176" i="2" a="1"/>
  <c r="AH176" i="2" s="1"/>
  <c r="AJ176" i="2" a="1"/>
  <c r="AJ176" i="2" s="1"/>
  <c r="AK176" i="2" s="1" a="1"/>
  <c r="AK176" i="2" s="1"/>
  <c r="AN176" i="2"/>
  <c r="W177" i="2" a="1"/>
  <c r="W177" i="2" s="1"/>
  <c r="X177" i="2" a="1"/>
  <c r="X177" i="2" s="1"/>
  <c r="Y177" i="2" a="1"/>
  <c r="Y177" i="2" s="1"/>
  <c r="Z177" i="2" a="1"/>
  <c r="Z177" i="2" s="1"/>
  <c r="AA177" i="2" a="1"/>
  <c r="AA177" i="2" s="1"/>
  <c r="AB177" i="2" a="1"/>
  <c r="AB177" i="2" s="1"/>
  <c r="AC177" i="2" a="1"/>
  <c r="AC177" i="2" s="1"/>
  <c r="AD177" i="2" a="1"/>
  <c r="AD177" i="2" s="1"/>
  <c r="AE177" i="2" a="1"/>
  <c r="AE177" i="2" s="1"/>
  <c r="AF177" i="2" a="1"/>
  <c r="AF177" i="2" s="1"/>
  <c r="AG177" i="2" a="1"/>
  <c r="AG177" i="2" s="1"/>
  <c r="AH177" i="2" a="1"/>
  <c r="AH177" i="2" s="1"/>
  <c r="AJ177" i="2" a="1"/>
  <c r="AJ177" i="2" s="1"/>
  <c r="AK177" i="2" s="1" a="1"/>
  <c r="AK177" i="2" s="1"/>
  <c r="AN177" i="2"/>
  <c r="W178" i="2" a="1"/>
  <c r="W178" i="2" s="1"/>
  <c r="X178" i="2" a="1"/>
  <c r="X178" i="2" s="1"/>
  <c r="Y178" i="2" a="1"/>
  <c r="Y178" i="2" s="1"/>
  <c r="Z178" i="2" a="1"/>
  <c r="Z178" i="2" s="1"/>
  <c r="AA178" i="2" a="1"/>
  <c r="AA178" i="2" s="1"/>
  <c r="AB178" i="2" a="1"/>
  <c r="AB178" i="2" s="1"/>
  <c r="AC178" i="2" a="1"/>
  <c r="AC178" i="2" s="1"/>
  <c r="AD178" i="2" a="1"/>
  <c r="AD178" i="2" s="1"/>
  <c r="AE178" i="2" a="1"/>
  <c r="AE178" i="2" s="1"/>
  <c r="AF178" i="2" a="1"/>
  <c r="AF178" i="2" s="1"/>
  <c r="AG178" i="2" a="1"/>
  <c r="AG178" i="2" s="1"/>
  <c r="AH178" i="2" a="1"/>
  <c r="AH178" i="2" s="1"/>
  <c r="AJ178" i="2" a="1"/>
  <c r="AJ178" i="2" s="1"/>
  <c r="AK178" i="2" s="1" a="1"/>
  <c r="AK178" i="2" s="1"/>
  <c r="AN178" i="2"/>
  <c r="W179" i="2" a="1"/>
  <c r="W179" i="2" s="1"/>
  <c r="X179" i="2" a="1"/>
  <c r="X179" i="2" s="1"/>
  <c r="Y179" i="2" a="1"/>
  <c r="Y179" i="2" s="1"/>
  <c r="Z179" i="2" a="1"/>
  <c r="Z179" i="2" s="1"/>
  <c r="AA179" i="2" a="1"/>
  <c r="AA179" i="2" s="1"/>
  <c r="AB179" i="2" a="1"/>
  <c r="AB179" i="2" s="1"/>
  <c r="AC179" i="2" a="1"/>
  <c r="AC179" i="2" s="1"/>
  <c r="AD179" i="2" a="1"/>
  <c r="AD179" i="2" s="1"/>
  <c r="AE179" i="2" a="1"/>
  <c r="AE179" i="2" s="1"/>
  <c r="AF179" i="2" a="1"/>
  <c r="AF179" i="2" s="1"/>
  <c r="AG179" i="2" a="1"/>
  <c r="AG179" i="2" s="1"/>
  <c r="AH179" i="2" a="1"/>
  <c r="AH179" i="2" s="1"/>
  <c r="AJ179" i="2" a="1"/>
  <c r="AJ179" i="2" s="1"/>
  <c r="AK179" i="2" s="1" a="1"/>
  <c r="AK179" i="2" s="1"/>
  <c r="AN179" i="2"/>
  <c r="W180" i="2" a="1"/>
  <c r="W180" i="2" s="1"/>
  <c r="X180" i="2" a="1"/>
  <c r="X180" i="2" s="1"/>
  <c r="Y180" i="2" a="1"/>
  <c r="Y180" i="2" s="1"/>
  <c r="Z180" i="2" a="1"/>
  <c r="Z180" i="2" s="1"/>
  <c r="AA180" i="2" a="1"/>
  <c r="AA180" i="2" s="1"/>
  <c r="AB180" i="2" a="1"/>
  <c r="AB180" i="2" s="1"/>
  <c r="AC180" i="2" a="1"/>
  <c r="AC180" i="2" s="1"/>
  <c r="AD180" i="2" a="1"/>
  <c r="AD180" i="2" s="1"/>
  <c r="AE180" i="2" a="1"/>
  <c r="AE180" i="2" s="1"/>
  <c r="AF180" i="2" a="1"/>
  <c r="AF180" i="2" s="1"/>
  <c r="AG180" i="2" a="1"/>
  <c r="AG180" i="2" s="1"/>
  <c r="AH180" i="2" a="1"/>
  <c r="AH180" i="2" s="1"/>
  <c r="AJ180" i="2" a="1"/>
  <c r="AJ180" i="2" s="1"/>
  <c r="AK180" i="2" s="1" a="1"/>
  <c r="AK180" i="2" s="1"/>
  <c r="AN180" i="2"/>
  <c r="W181" i="2" a="1"/>
  <c r="W181" i="2" s="1"/>
  <c r="X181" i="2" a="1"/>
  <c r="X181" i="2" s="1"/>
  <c r="Y181" i="2" a="1"/>
  <c r="Y181" i="2" s="1"/>
  <c r="Z181" i="2" a="1"/>
  <c r="Z181" i="2" s="1"/>
  <c r="AA181" i="2" a="1"/>
  <c r="AA181" i="2" s="1"/>
  <c r="AB181" i="2" a="1"/>
  <c r="AB181" i="2" s="1"/>
  <c r="AC181" i="2" a="1"/>
  <c r="AC181" i="2" s="1"/>
  <c r="AD181" i="2" a="1"/>
  <c r="AD181" i="2" s="1"/>
  <c r="AE181" i="2" a="1"/>
  <c r="AE181" i="2" s="1"/>
  <c r="AF181" i="2" a="1"/>
  <c r="AF181" i="2" s="1"/>
  <c r="AG181" i="2" a="1"/>
  <c r="AG181" i="2" s="1"/>
  <c r="AH181" i="2" a="1"/>
  <c r="AH181" i="2" s="1"/>
  <c r="AJ181" i="2" a="1"/>
  <c r="AJ181" i="2" s="1"/>
  <c r="AK181" i="2" s="1" a="1"/>
  <c r="AK181" i="2" s="1"/>
  <c r="AN181" i="2"/>
  <c r="W182" i="2" a="1"/>
  <c r="W182" i="2" s="1"/>
  <c r="X182" i="2" a="1"/>
  <c r="X182" i="2" s="1"/>
  <c r="Y182" i="2" a="1"/>
  <c r="Y182" i="2" s="1"/>
  <c r="Z182" i="2" a="1"/>
  <c r="Z182" i="2" s="1"/>
  <c r="AA182" i="2" a="1"/>
  <c r="AA182" i="2" s="1"/>
  <c r="AB182" i="2" a="1"/>
  <c r="AB182" i="2" s="1"/>
  <c r="AC182" i="2" a="1"/>
  <c r="AC182" i="2" s="1"/>
  <c r="AD182" i="2" a="1"/>
  <c r="AD182" i="2" s="1"/>
  <c r="AE182" i="2" a="1"/>
  <c r="AE182" i="2" s="1"/>
  <c r="AF182" i="2" a="1"/>
  <c r="AF182" i="2" s="1"/>
  <c r="AG182" i="2" a="1"/>
  <c r="AG182" i="2" s="1"/>
  <c r="AH182" i="2" a="1"/>
  <c r="AH182" i="2" s="1"/>
  <c r="AJ182" i="2" a="1"/>
  <c r="AJ182" i="2" s="1"/>
  <c r="AK182" i="2" s="1" a="1"/>
  <c r="AK182" i="2" s="1"/>
  <c r="AN182" i="2"/>
  <c r="W183" i="2" a="1"/>
  <c r="W183" i="2" s="1"/>
  <c r="X183" i="2" a="1"/>
  <c r="X183" i="2" s="1"/>
  <c r="Y183" i="2" a="1"/>
  <c r="Y183" i="2" s="1"/>
  <c r="Z183" i="2" a="1"/>
  <c r="Z183" i="2" s="1"/>
  <c r="AA183" i="2" a="1"/>
  <c r="AA183" i="2" s="1"/>
  <c r="AB183" i="2" a="1"/>
  <c r="AB183" i="2" s="1"/>
  <c r="AC183" i="2" a="1"/>
  <c r="AC183" i="2" s="1"/>
  <c r="AD183" i="2" a="1"/>
  <c r="AD183" i="2" s="1"/>
  <c r="AE183" i="2" a="1"/>
  <c r="AE183" i="2" s="1"/>
  <c r="AF183" i="2" a="1"/>
  <c r="AF183" i="2" s="1"/>
  <c r="AG183" i="2" a="1"/>
  <c r="AG183" i="2" s="1"/>
  <c r="AH183" i="2" a="1"/>
  <c r="AH183" i="2" s="1"/>
  <c r="AJ183" i="2" a="1"/>
  <c r="AJ183" i="2" s="1"/>
  <c r="AK183" i="2" s="1" a="1"/>
  <c r="AK183" i="2" s="1"/>
  <c r="AN183" i="2"/>
  <c r="W184" i="2" a="1"/>
  <c r="W184" i="2" s="1"/>
  <c r="X184" i="2" a="1"/>
  <c r="X184" i="2" s="1"/>
  <c r="Y184" i="2" a="1"/>
  <c r="Y184" i="2" s="1"/>
  <c r="Z184" i="2" a="1"/>
  <c r="Z184" i="2" s="1"/>
  <c r="AA184" i="2" a="1"/>
  <c r="AA184" i="2" s="1"/>
  <c r="AB184" i="2" a="1"/>
  <c r="AB184" i="2" s="1"/>
  <c r="AC184" i="2" a="1"/>
  <c r="AC184" i="2" s="1"/>
  <c r="AD184" i="2" a="1"/>
  <c r="AD184" i="2" s="1"/>
  <c r="AE184" i="2" a="1"/>
  <c r="AE184" i="2" s="1"/>
  <c r="AF184" i="2" a="1"/>
  <c r="AF184" i="2" s="1"/>
  <c r="AG184" i="2" a="1"/>
  <c r="AG184" i="2" s="1"/>
  <c r="AH184" i="2" a="1"/>
  <c r="AH184" i="2" s="1"/>
  <c r="AJ184" i="2" a="1"/>
  <c r="AJ184" i="2" s="1"/>
  <c r="AK184" i="2" s="1" a="1"/>
  <c r="AK184" i="2" s="1"/>
  <c r="AN184" i="2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J185" i="2" a="1"/>
  <c r="AJ185" i="2" s="1"/>
  <c r="AK185" i="2" s="1" a="1"/>
  <c r="AK185" i="2" s="1"/>
  <c r="AN185" i="2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J186" i="2" a="1"/>
  <c r="AJ186" i="2" s="1"/>
  <c r="AK186" i="2" s="1" a="1"/>
  <c r="AK186" i="2" s="1"/>
  <c r="AN186" i="2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J187" i="2" a="1"/>
  <c r="AJ187" i="2" s="1"/>
  <c r="AK187" i="2" s="1" a="1"/>
  <c r="AK187" i="2" s="1"/>
  <c r="AN187" i="2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J188" i="2" a="1"/>
  <c r="AJ188" i="2" s="1"/>
  <c r="AK188" i="2" s="1" a="1"/>
  <c r="AK188" i="2" s="1"/>
  <c r="AN188" i="2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J189" i="2" a="1"/>
  <c r="AJ189" i="2" s="1"/>
  <c r="AK189" i="2" s="1" a="1"/>
  <c r="AK189" i="2" s="1"/>
  <c r="AN189" i="2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J190" i="2" a="1"/>
  <c r="AJ190" i="2" s="1"/>
  <c r="AK190" i="2" s="1" a="1"/>
  <c r="AK190" i="2" s="1"/>
  <c r="AN190" i="2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J191" i="2" a="1"/>
  <c r="AJ191" i="2" s="1"/>
  <c r="AK191" i="2" s="1" a="1"/>
  <c r="AK191" i="2" s="1"/>
  <c r="AN191" i="2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J192" i="2" a="1"/>
  <c r="AJ192" i="2" s="1"/>
  <c r="AK192" i="2" s="1" a="1"/>
  <c r="AK192" i="2" s="1"/>
  <c r="AN192" i="2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J193" i="2" a="1"/>
  <c r="AJ193" i="2" s="1"/>
  <c r="AK193" i="2" s="1" a="1"/>
  <c r="AK193" i="2" s="1"/>
  <c r="AN193" i="2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J194" i="2" a="1"/>
  <c r="AJ194" i="2" s="1"/>
  <c r="AK194" i="2" s="1" a="1"/>
  <c r="AK194" i="2" s="1"/>
  <c r="AN194" i="2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J195" i="2" a="1"/>
  <c r="AJ195" i="2" s="1"/>
  <c r="AK195" i="2" s="1" a="1"/>
  <c r="AK195" i="2" s="1"/>
  <c r="AN195" i="2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J196" i="2" a="1"/>
  <c r="AJ196" i="2" s="1"/>
  <c r="AK196" i="2" s="1" a="1"/>
  <c r="AK196" i="2" s="1"/>
  <c r="AN196" i="2"/>
  <c r="W197" i="2" a="1"/>
  <c r="W197" i="2" s="1"/>
  <c r="X197" i="2" a="1"/>
  <c r="X197" i="2" s="1"/>
  <c r="Y197" i="2" a="1"/>
  <c r="Y197" i="2" s="1"/>
  <c r="Z197" i="2" a="1"/>
  <c r="Z197" i="2" s="1"/>
  <c r="AA197" i="2" a="1"/>
  <c r="AA197" i="2" s="1"/>
  <c r="AB197" i="2" a="1"/>
  <c r="AB197" i="2" s="1"/>
  <c r="AC197" i="2" a="1"/>
  <c r="AC197" i="2" s="1"/>
  <c r="AD197" i="2" a="1"/>
  <c r="AD197" i="2" s="1"/>
  <c r="AE197" i="2" a="1"/>
  <c r="AE197" i="2" s="1"/>
  <c r="AF197" i="2" a="1"/>
  <c r="AF197" i="2" s="1"/>
  <c r="AG197" i="2" a="1"/>
  <c r="AG197" i="2" s="1"/>
  <c r="AH197" i="2" a="1"/>
  <c r="AH197" i="2" s="1"/>
  <c r="AJ197" i="2" a="1"/>
  <c r="AJ197" i="2" s="1"/>
  <c r="AK197" i="2" s="1" a="1"/>
  <c r="AK197" i="2" s="1"/>
  <c r="AN197" i="2"/>
  <c r="W198" i="2" a="1"/>
  <c r="W198" i="2" s="1"/>
  <c r="X198" i="2" a="1"/>
  <c r="X198" i="2" s="1"/>
  <c r="Y198" i="2" a="1"/>
  <c r="Y198" i="2" s="1"/>
  <c r="Z198" i="2" a="1"/>
  <c r="Z198" i="2" s="1"/>
  <c r="AA198" i="2" a="1"/>
  <c r="AA198" i="2" s="1"/>
  <c r="AB198" i="2" a="1"/>
  <c r="AB198" i="2" s="1"/>
  <c r="AC198" i="2" a="1"/>
  <c r="AC198" i="2" s="1"/>
  <c r="AD198" i="2" a="1"/>
  <c r="AD198" i="2" s="1"/>
  <c r="AE198" i="2" a="1"/>
  <c r="AE198" i="2" s="1"/>
  <c r="AF198" i="2" a="1"/>
  <c r="AF198" i="2" s="1"/>
  <c r="AG198" i="2" a="1"/>
  <c r="AG198" i="2" s="1"/>
  <c r="AH198" i="2" a="1"/>
  <c r="AH198" i="2" s="1"/>
  <c r="AJ198" i="2" a="1"/>
  <c r="AJ198" i="2" s="1"/>
  <c r="AK198" i="2" s="1" a="1"/>
  <c r="AK198" i="2" s="1"/>
  <c r="AN198" i="2"/>
  <c r="W199" i="2" a="1"/>
  <c r="W199" i="2" s="1"/>
  <c r="X199" i="2" a="1"/>
  <c r="X199" i="2" s="1"/>
  <c r="Y199" i="2" a="1"/>
  <c r="Y199" i="2" s="1"/>
  <c r="Z199" i="2" a="1"/>
  <c r="Z199" i="2" s="1"/>
  <c r="AA199" i="2" a="1"/>
  <c r="AA199" i="2" s="1"/>
  <c r="AB199" i="2" a="1"/>
  <c r="AB199" i="2" s="1"/>
  <c r="AC199" i="2" a="1"/>
  <c r="AC199" i="2" s="1"/>
  <c r="AD199" i="2" a="1"/>
  <c r="AD199" i="2" s="1"/>
  <c r="AE199" i="2" a="1"/>
  <c r="AE199" i="2" s="1"/>
  <c r="AF199" i="2" a="1"/>
  <c r="AF199" i="2" s="1"/>
  <c r="AG199" i="2" a="1"/>
  <c r="AG199" i="2" s="1"/>
  <c r="AH199" i="2" a="1"/>
  <c r="AH199" i="2" s="1"/>
  <c r="AJ199" i="2" a="1"/>
  <c r="AJ199" i="2" s="1"/>
  <c r="AK199" i="2" s="1" a="1"/>
  <c r="AK199" i="2" s="1"/>
  <c r="AN199" i="2"/>
  <c r="W200" i="2" a="1"/>
  <c r="W200" i="2" s="1"/>
  <c r="X200" i="2" a="1"/>
  <c r="X200" i="2" s="1"/>
  <c r="Y200" i="2" a="1"/>
  <c r="Y200" i="2" s="1"/>
  <c r="Z200" i="2" a="1"/>
  <c r="Z200" i="2" s="1"/>
  <c r="AA200" i="2" a="1"/>
  <c r="AA200" i="2" s="1"/>
  <c r="AB200" i="2" a="1"/>
  <c r="AB200" i="2" s="1"/>
  <c r="AC200" i="2" a="1"/>
  <c r="AC200" i="2" s="1"/>
  <c r="AD200" i="2" a="1"/>
  <c r="AD200" i="2" s="1"/>
  <c r="AE200" i="2" a="1"/>
  <c r="AE200" i="2" s="1"/>
  <c r="AF200" i="2" a="1"/>
  <c r="AF200" i="2" s="1"/>
  <c r="AG200" i="2" a="1"/>
  <c r="AG200" i="2" s="1"/>
  <c r="AH200" i="2" a="1"/>
  <c r="AH200" i="2" s="1"/>
  <c r="AJ200" i="2" a="1"/>
  <c r="AJ200" i="2" s="1"/>
  <c r="AK200" i="2" s="1" a="1"/>
  <c r="AK200" i="2" s="1"/>
  <c r="AN200" i="2"/>
  <c r="W201" i="2" a="1"/>
  <c r="W201" i="2" s="1"/>
  <c r="X201" i="2" a="1"/>
  <c r="X201" i="2" s="1"/>
  <c r="Y201" i="2" a="1"/>
  <c r="Y201" i="2" s="1"/>
  <c r="Z201" i="2" a="1"/>
  <c r="Z201" i="2" s="1"/>
  <c r="AA201" i="2" a="1"/>
  <c r="AA201" i="2" s="1"/>
  <c r="AB201" i="2" a="1"/>
  <c r="AB201" i="2" s="1"/>
  <c r="AC201" i="2" a="1"/>
  <c r="AC201" i="2" s="1"/>
  <c r="AD201" i="2" a="1"/>
  <c r="AD201" i="2" s="1"/>
  <c r="AE201" i="2" a="1"/>
  <c r="AE201" i="2" s="1"/>
  <c r="AF201" i="2" a="1"/>
  <c r="AF201" i="2" s="1"/>
  <c r="AG201" i="2" a="1"/>
  <c r="AG201" i="2" s="1"/>
  <c r="AH201" i="2" a="1"/>
  <c r="AH201" i="2" s="1"/>
  <c r="AJ201" i="2" a="1"/>
  <c r="AJ201" i="2" s="1"/>
  <c r="AK201" i="2" s="1" a="1"/>
  <c r="AK201" i="2" s="1"/>
  <c r="AN201" i="2"/>
  <c r="W202" i="2" a="1"/>
  <c r="W202" i="2" s="1"/>
  <c r="X202" i="2" a="1"/>
  <c r="X202" i="2" s="1"/>
  <c r="Y202" i="2" a="1"/>
  <c r="Y202" i="2" s="1"/>
  <c r="Z202" i="2" a="1"/>
  <c r="Z202" i="2" s="1"/>
  <c r="AA202" i="2" a="1"/>
  <c r="AA202" i="2" s="1"/>
  <c r="AB202" i="2" a="1"/>
  <c r="AB202" i="2" s="1"/>
  <c r="AC202" i="2" a="1"/>
  <c r="AC202" i="2" s="1"/>
  <c r="AD202" i="2" a="1"/>
  <c r="AD202" i="2" s="1"/>
  <c r="AE202" i="2" a="1"/>
  <c r="AE202" i="2" s="1"/>
  <c r="AF202" i="2" a="1"/>
  <c r="AF202" i="2" s="1"/>
  <c r="AG202" i="2" a="1"/>
  <c r="AG202" i="2" s="1"/>
  <c r="AH202" i="2" a="1"/>
  <c r="AH202" i="2" s="1"/>
  <c r="AJ202" i="2" a="1"/>
  <c r="AJ202" i="2" s="1"/>
  <c r="AK202" i="2" s="1" a="1"/>
  <c r="AK202" i="2" s="1"/>
  <c r="AN202" i="2"/>
  <c r="W203" i="2" a="1"/>
  <c r="W203" i="2" s="1"/>
  <c r="X203" i="2" a="1"/>
  <c r="X203" i="2" s="1"/>
  <c r="Y203" i="2" a="1"/>
  <c r="Y203" i="2" s="1"/>
  <c r="Z203" i="2" a="1"/>
  <c r="Z203" i="2" s="1"/>
  <c r="AA203" i="2" a="1"/>
  <c r="AA203" i="2" s="1"/>
  <c r="AB203" i="2" a="1"/>
  <c r="AB203" i="2" s="1"/>
  <c r="AC203" i="2" a="1"/>
  <c r="AC203" i="2" s="1"/>
  <c r="AD203" i="2" a="1"/>
  <c r="AD203" i="2" s="1"/>
  <c r="AE203" i="2" a="1"/>
  <c r="AE203" i="2" s="1"/>
  <c r="AF203" i="2" a="1"/>
  <c r="AF203" i="2" s="1"/>
  <c r="AG203" i="2" a="1"/>
  <c r="AG203" i="2" s="1"/>
  <c r="AH203" i="2" a="1"/>
  <c r="AH203" i="2" s="1"/>
  <c r="AJ203" i="2" a="1"/>
  <c r="AJ203" i="2" s="1"/>
  <c r="AK203" i="2" s="1" a="1"/>
  <c r="AK203" i="2" s="1"/>
  <c r="AN203" i="2"/>
  <c r="W204" i="2" a="1"/>
  <c r="W204" i="2" s="1"/>
  <c r="X204" i="2" a="1"/>
  <c r="X204" i="2" s="1"/>
  <c r="Y204" i="2" a="1"/>
  <c r="Y204" i="2" s="1"/>
  <c r="Z204" i="2" a="1"/>
  <c r="Z204" i="2" s="1"/>
  <c r="AA204" i="2" a="1"/>
  <c r="AA204" i="2" s="1"/>
  <c r="AB204" i="2" a="1"/>
  <c r="AB204" i="2" s="1"/>
  <c r="AC204" i="2" a="1"/>
  <c r="AC204" i="2" s="1"/>
  <c r="AD204" i="2" a="1"/>
  <c r="AD204" i="2" s="1"/>
  <c r="AE204" i="2" a="1"/>
  <c r="AE204" i="2" s="1"/>
  <c r="AF204" i="2" a="1"/>
  <c r="AF204" i="2" s="1"/>
  <c r="AG204" i="2" a="1"/>
  <c r="AG204" i="2" s="1"/>
  <c r="AH204" i="2" a="1"/>
  <c r="AH204" i="2" s="1"/>
  <c r="AJ204" i="2" a="1"/>
  <c r="AJ204" i="2" s="1"/>
  <c r="AK204" i="2" s="1" a="1"/>
  <c r="AK204" i="2" s="1"/>
  <c r="AN204" i="2"/>
  <c r="W205" i="2" a="1"/>
  <c r="W205" i="2" s="1"/>
  <c r="X205" i="2" a="1"/>
  <c r="X205" i="2" s="1"/>
  <c r="Y205" i="2" a="1"/>
  <c r="Y205" i="2" s="1"/>
  <c r="Z205" i="2" a="1"/>
  <c r="Z205" i="2" s="1"/>
  <c r="AA205" i="2" a="1"/>
  <c r="AA205" i="2" s="1"/>
  <c r="AB205" i="2" a="1"/>
  <c r="AB205" i="2" s="1"/>
  <c r="AC205" i="2" a="1"/>
  <c r="AC205" i="2" s="1"/>
  <c r="AD205" i="2" a="1"/>
  <c r="AD205" i="2" s="1"/>
  <c r="AE205" i="2" a="1"/>
  <c r="AE205" i="2" s="1"/>
  <c r="AF205" i="2" a="1"/>
  <c r="AF205" i="2" s="1"/>
  <c r="AG205" i="2" a="1"/>
  <c r="AG205" i="2" s="1"/>
  <c r="AH205" i="2" a="1"/>
  <c r="AH205" i="2" s="1"/>
  <c r="AJ205" i="2" a="1"/>
  <c r="AJ205" i="2" s="1"/>
  <c r="AK205" i="2" s="1" a="1"/>
  <c r="AK205" i="2" s="1"/>
  <c r="AN205" i="2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J206" i="2" a="1"/>
  <c r="AJ206" i="2" s="1"/>
  <c r="AK206" i="2" s="1" a="1"/>
  <c r="AK206" i="2" s="1"/>
  <c r="AN206" i="2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J207" i="2" a="1"/>
  <c r="AJ207" i="2" s="1"/>
  <c r="AK207" i="2" s="1" a="1"/>
  <c r="AK207" i="2" s="1"/>
  <c r="AN207" i="2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J208" i="2" a="1"/>
  <c r="AJ208" i="2" s="1"/>
  <c r="AK208" i="2" s="1" a="1"/>
  <c r="AK208" i="2" s="1"/>
  <c r="AN208" i="2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J209" i="2" a="1"/>
  <c r="AJ209" i="2" s="1"/>
  <c r="AK209" i="2" s="1" a="1"/>
  <c r="AK209" i="2" s="1"/>
  <c r="AN209" i="2"/>
  <c r="W239" i="2" a="1"/>
  <c r="W239" i="2" s="1"/>
  <c r="X239" i="2" a="1"/>
  <c r="X239" i="2" s="1"/>
  <c r="Y239" i="2" a="1"/>
  <c r="Y239" i="2" s="1"/>
  <c r="Z239" i="2" a="1"/>
  <c r="Z239" i="2" s="1"/>
  <c r="AA239" i="2" a="1"/>
  <c r="AA239" i="2" s="1"/>
  <c r="AB239" i="2" a="1"/>
  <c r="AB239" i="2" s="1"/>
  <c r="AC239" i="2" a="1"/>
  <c r="AC239" i="2" s="1"/>
  <c r="AD239" i="2" a="1"/>
  <c r="AD239" i="2" s="1"/>
  <c r="AE239" i="2" a="1"/>
  <c r="AE239" i="2" s="1"/>
  <c r="AF239" i="2" a="1"/>
  <c r="AF239" i="2" s="1"/>
  <c r="AG239" i="2" a="1"/>
  <c r="AG239" i="2" s="1"/>
  <c r="AH239" i="2" a="1"/>
  <c r="AH239" i="2" s="1"/>
  <c r="AJ239" i="2" a="1"/>
  <c r="AJ239" i="2" s="1"/>
  <c r="AK239" i="2" s="1" a="1"/>
  <c r="AK239" i="2" s="1"/>
  <c r="AN239" i="2"/>
  <c r="W240" i="2" a="1"/>
  <c r="W240" i="2" s="1"/>
  <c r="X240" i="2" a="1"/>
  <c r="X240" i="2" s="1"/>
  <c r="Y240" i="2" a="1"/>
  <c r="Y240" i="2" s="1"/>
  <c r="Z240" i="2" a="1"/>
  <c r="Z240" i="2" s="1"/>
  <c r="AA240" i="2" a="1"/>
  <c r="AA240" i="2" s="1"/>
  <c r="AB240" i="2" a="1"/>
  <c r="AB240" i="2" s="1"/>
  <c r="AC240" i="2" a="1"/>
  <c r="AC240" i="2" s="1"/>
  <c r="AD240" i="2" a="1"/>
  <c r="AD240" i="2" s="1"/>
  <c r="AE240" i="2" a="1"/>
  <c r="AE240" i="2" s="1"/>
  <c r="AF240" i="2" a="1"/>
  <c r="AF240" i="2" s="1"/>
  <c r="AG240" i="2" a="1"/>
  <c r="AG240" i="2" s="1"/>
  <c r="AH240" i="2" a="1"/>
  <c r="AH240" i="2" s="1"/>
  <c r="AJ240" i="2" a="1"/>
  <c r="AJ240" i="2" s="1"/>
  <c r="AK240" i="2" s="1" a="1"/>
  <c r="AK240" i="2" s="1"/>
  <c r="AN240" i="2"/>
  <c r="W241" i="2" a="1"/>
  <c r="W241" i="2" s="1"/>
  <c r="X241" i="2" a="1"/>
  <c r="X241" i="2" s="1"/>
  <c r="Y241" i="2" a="1"/>
  <c r="Y241" i="2" s="1"/>
  <c r="Z241" i="2" a="1"/>
  <c r="Z241" i="2" s="1"/>
  <c r="AA241" i="2" a="1"/>
  <c r="AA241" i="2" s="1"/>
  <c r="AB241" i="2" a="1"/>
  <c r="AB241" i="2" s="1"/>
  <c r="AC241" i="2" a="1"/>
  <c r="AC241" i="2" s="1"/>
  <c r="AD241" i="2" a="1"/>
  <c r="AD241" i="2" s="1"/>
  <c r="AE241" i="2" a="1"/>
  <c r="AE241" i="2" s="1"/>
  <c r="AF241" i="2" a="1"/>
  <c r="AF241" i="2" s="1"/>
  <c r="AG241" i="2" a="1"/>
  <c r="AG241" i="2" s="1"/>
  <c r="AH241" i="2" a="1"/>
  <c r="AH241" i="2" s="1"/>
  <c r="AJ241" i="2" a="1"/>
  <c r="AJ241" i="2" s="1"/>
  <c r="AK241" i="2" s="1" a="1"/>
  <c r="AK241" i="2" s="1"/>
  <c r="AN241" i="2"/>
  <c r="W242" i="2" a="1"/>
  <c r="W242" i="2" s="1"/>
  <c r="X242" i="2" a="1"/>
  <c r="X242" i="2" s="1"/>
  <c r="Y242" i="2" a="1"/>
  <c r="Y242" i="2" s="1"/>
  <c r="Z242" i="2" a="1"/>
  <c r="Z242" i="2" s="1"/>
  <c r="AA242" i="2" a="1"/>
  <c r="AA242" i="2" s="1"/>
  <c r="AB242" i="2" a="1"/>
  <c r="AB242" i="2" s="1"/>
  <c r="AC242" i="2" a="1"/>
  <c r="AC242" i="2" s="1"/>
  <c r="AD242" i="2" a="1"/>
  <c r="AD242" i="2" s="1"/>
  <c r="AE242" i="2" a="1"/>
  <c r="AE242" i="2" s="1"/>
  <c r="AF242" i="2" a="1"/>
  <c r="AF242" i="2" s="1"/>
  <c r="AG242" i="2" a="1"/>
  <c r="AG242" i="2" s="1"/>
  <c r="AH242" i="2" a="1"/>
  <c r="AH242" i="2" s="1"/>
  <c r="AJ242" i="2" a="1"/>
  <c r="AJ242" i="2" s="1"/>
  <c r="AK242" i="2" s="1" a="1"/>
  <c r="AK242" i="2" s="1"/>
  <c r="AN242" i="2"/>
  <c r="W243" i="2" a="1"/>
  <c r="W243" i="2" s="1"/>
  <c r="X243" i="2" a="1"/>
  <c r="X243" i="2" s="1"/>
  <c r="Y243" i="2" a="1"/>
  <c r="Y243" i="2" s="1"/>
  <c r="Z243" i="2" a="1"/>
  <c r="Z243" i="2" s="1"/>
  <c r="AA243" i="2" a="1"/>
  <c r="AA243" i="2" s="1"/>
  <c r="AB243" i="2" a="1"/>
  <c r="AB243" i="2" s="1"/>
  <c r="AC243" i="2" a="1"/>
  <c r="AC243" i="2" s="1"/>
  <c r="AD243" i="2" a="1"/>
  <c r="AD243" i="2" s="1"/>
  <c r="AE243" i="2" a="1"/>
  <c r="AE243" i="2" s="1"/>
  <c r="AF243" i="2" a="1"/>
  <c r="AF243" i="2" s="1"/>
  <c r="AG243" i="2" a="1"/>
  <c r="AG243" i="2" s="1"/>
  <c r="AH243" i="2" a="1"/>
  <c r="AH243" i="2" s="1"/>
  <c r="AJ243" i="2" a="1"/>
  <c r="AJ243" i="2" s="1"/>
  <c r="AK243" i="2" s="1" a="1"/>
  <c r="AK243" i="2" s="1"/>
  <c r="AN243" i="2"/>
  <c r="W244" i="2" a="1"/>
  <c r="W244" i="2" s="1"/>
  <c r="X244" i="2" a="1"/>
  <c r="X244" i="2" s="1"/>
  <c r="Y244" i="2" a="1"/>
  <c r="Y244" i="2" s="1"/>
  <c r="Z244" i="2" a="1"/>
  <c r="Z244" i="2" s="1"/>
  <c r="AA244" i="2" a="1"/>
  <c r="AA244" i="2" s="1"/>
  <c r="AB244" i="2" a="1"/>
  <c r="AB244" i="2" s="1"/>
  <c r="AC244" i="2" a="1"/>
  <c r="AC244" i="2" s="1"/>
  <c r="AD244" i="2" a="1"/>
  <c r="AD244" i="2" s="1"/>
  <c r="AE244" i="2" a="1"/>
  <c r="AE244" i="2" s="1"/>
  <c r="AF244" i="2" a="1"/>
  <c r="AF244" i="2" s="1"/>
  <c r="AG244" i="2" a="1"/>
  <c r="AG244" i="2" s="1"/>
  <c r="AH244" i="2" a="1"/>
  <c r="AH244" i="2" s="1"/>
  <c r="AJ244" i="2" a="1"/>
  <c r="AJ244" i="2" s="1"/>
  <c r="AK244" i="2" s="1" a="1"/>
  <c r="AK244" i="2" s="1"/>
  <c r="AN244" i="2"/>
  <c r="W245" i="2" a="1"/>
  <c r="W245" i="2" s="1"/>
  <c r="X245" i="2" a="1"/>
  <c r="X245" i="2" s="1"/>
  <c r="Y245" i="2" a="1"/>
  <c r="Y245" i="2" s="1"/>
  <c r="Z245" i="2" a="1"/>
  <c r="Z245" i="2" s="1"/>
  <c r="AA245" i="2" a="1"/>
  <c r="AA245" i="2" s="1"/>
  <c r="AB245" i="2" a="1"/>
  <c r="AB245" i="2" s="1"/>
  <c r="AC245" i="2" a="1"/>
  <c r="AC245" i="2" s="1"/>
  <c r="AD245" i="2" a="1"/>
  <c r="AD245" i="2" s="1"/>
  <c r="AE245" i="2" a="1"/>
  <c r="AE245" i="2" s="1"/>
  <c r="AF245" i="2" a="1"/>
  <c r="AF245" i="2" s="1"/>
  <c r="AG245" i="2" a="1"/>
  <c r="AG245" i="2" s="1"/>
  <c r="AH245" i="2" a="1"/>
  <c r="AH245" i="2" s="1"/>
  <c r="AJ245" i="2" a="1"/>
  <c r="AJ245" i="2" s="1"/>
  <c r="AK245" i="2" s="1" a="1"/>
  <c r="AK245" i="2" s="1"/>
  <c r="AN245" i="2"/>
  <c r="W246" i="2" a="1"/>
  <c r="W246" i="2" s="1"/>
  <c r="X246" i="2" a="1"/>
  <c r="X246" i="2" s="1"/>
  <c r="Y246" i="2" a="1"/>
  <c r="Y246" i="2" s="1"/>
  <c r="Z246" i="2" a="1"/>
  <c r="Z246" i="2" s="1"/>
  <c r="AA246" i="2" a="1"/>
  <c r="AA246" i="2" s="1"/>
  <c r="AB246" i="2" a="1"/>
  <c r="AB246" i="2" s="1"/>
  <c r="AC246" i="2" a="1"/>
  <c r="AC246" i="2" s="1"/>
  <c r="AD246" i="2" a="1"/>
  <c r="AD246" i="2" s="1"/>
  <c r="AE246" i="2" a="1"/>
  <c r="AE246" i="2" s="1"/>
  <c r="AF246" i="2" a="1"/>
  <c r="AF246" i="2" s="1"/>
  <c r="AG246" i="2" a="1"/>
  <c r="AG246" i="2" s="1"/>
  <c r="AH246" i="2" a="1"/>
  <c r="AH246" i="2" s="1"/>
  <c r="AJ246" i="2" a="1"/>
  <c r="AJ246" i="2" s="1"/>
  <c r="AK246" i="2" s="1" a="1"/>
  <c r="AK246" i="2" s="1"/>
  <c r="AN246" i="2"/>
  <c r="W247" i="2" a="1"/>
  <c r="W247" i="2" s="1"/>
  <c r="X247" i="2" a="1"/>
  <c r="X247" i="2" s="1"/>
  <c r="Y247" i="2" a="1"/>
  <c r="Y247" i="2" s="1"/>
  <c r="Z247" i="2" a="1"/>
  <c r="Z247" i="2" s="1"/>
  <c r="AA247" i="2" a="1"/>
  <c r="AA247" i="2" s="1"/>
  <c r="AB247" i="2" a="1"/>
  <c r="AB247" i="2" s="1"/>
  <c r="AC247" i="2" a="1"/>
  <c r="AC247" i="2" s="1"/>
  <c r="AD247" i="2" a="1"/>
  <c r="AD247" i="2" s="1"/>
  <c r="AE247" i="2" a="1"/>
  <c r="AE247" i="2" s="1"/>
  <c r="AF247" i="2" a="1"/>
  <c r="AF247" i="2" s="1"/>
  <c r="AG247" i="2" a="1"/>
  <c r="AG247" i="2" s="1"/>
  <c r="AH247" i="2" a="1"/>
  <c r="AH247" i="2" s="1"/>
  <c r="AJ247" i="2" a="1"/>
  <c r="AJ247" i="2" s="1"/>
  <c r="AK247" i="2" s="1" a="1"/>
  <c r="AK247" i="2" s="1"/>
  <c r="AN247" i="2"/>
  <c r="W248" i="2" a="1"/>
  <c r="W248" i="2" s="1"/>
  <c r="X248" i="2" a="1"/>
  <c r="X248" i="2" s="1"/>
  <c r="Y248" i="2" a="1"/>
  <c r="Y248" i="2" s="1"/>
  <c r="Z248" i="2" a="1"/>
  <c r="Z248" i="2" s="1"/>
  <c r="AA248" i="2" a="1"/>
  <c r="AA248" i="2" s="1"/>
  <c r="AB248" i="2" a="1"/>
  <c r="AB248" i="2" s="1"/>
  <c r="AC248" i="2" a="1"/>
  <c r="AC248" i="2" s="1"/>
  <c r="AD248" i="2" a="1"/>
  <c r="AD248" i="2" s="1"/>
  <c r="AE248" i="2" a="1"/>
  <c r="AE248" i="2" s="1"/>
  <c r="AF248" i="2" a="1"/>
  <c r="AF248" i="2" s="1"/>
  <c r="AG248" i="2" a="1"/>
  <c r="AG248" i="2" s="1"/>
  <c r="AH248" i="2" a="1"/>
  <c r="AH248" i="2" s="1"/>
  <c r="AJ248" i="2" a="1"/>
  <c r="AJ248" i="2" s="1"/>
  <c r="AK248" i="2" s="1" a="1"/>
  <c r="AK248" i="2" s="1"/>
  <c r="AN248" i="2"/>
  <c r="W249" i="2" a="1"/>
  <c r="W249" i="2" s="1"/>
  <c r="X249" i="2" a="1"/>
  <c r="X249" i="2" s="1"/>
  <c r="Y249" i="2" a="1"/>
  <c r="Y249" i="2" s="1"/>
  <c r="Z249" i="2" a="1"/>
  <c r="Z249" i="2" s="1"/>
  <c r="AA249" i="2" a="1"/>
  <c r="AA249" i="2" s="1"/>
  <c r="AB249" i="2" a="1"/>
  <c r="AB249" i="2" s="1"/>
  <c r="AC249" i="2" a="1"/>
  <c r="AC249" i="2" s="1"/>
  <c r="AD249" i="2" a="1"/>
  <c r="AD249" i="2" s="1"/>
  <c r="AE249" i="2" a="1"/>
  <c r="AE249" i="2" s="1"/>
  <c r="AF249" i="2" a="1"/>
  <c r="AF249" i="2" s="1"/>
  <c r="AG249" i="2" a="1"/>
  <c r="AG249" i="2" s="1"/>
  <c r="AH249" i="2" a="1"/>
  <c r="AH249" i="2" s="1"/>
  <c r="AJ249" i="2" a="1"/>
  <c r="AJ249" i="2" s="1"/>
  <c r="AK249" i="2" s="1" a="1"/>
  <c r="AK249" i="2" s="1"/>
  <c r="AN249" i="2"/>
  <c r="W250" i="2" a="1"/>
  <c r="W250" i="2" s="1"/>
  <c r="X250" i="2" a="1"/>
  <c r="X250" i="2" s="1"/>
  <c r="Y250" i="2" a="1"/>
  <c r="Y250" i="2" s="1"/>
  <c r="Z250" i="2" a="1"/>
  <c r="Z250" i="2" s="1"/>
  <c r="AA250" i="2" a="1"/>
  <c r="AA250" i="2" s="1"/>
  <c r="AB250" i="2" a="1"/>
  <c r="AB250" i="2" s="1"/>
  <c r="AC250" i="2" a="1"/>
  <c r="AC250" i="2" s="1"/>
  <c r="AD250" i="2" a="1"/>
  <c r="AD250" i="2" s="1"/>
  <c r="AE250" i="2" a="1"/>
  <c r="AE250" i="2" s="1"/>
  <c r="AF250" i="2" a="1"/>
  <c r="AF250" i="2" s="1"/>
  <c r="AG250" i="2" a="1"/>
  <c r="AG250" i="2" s="1"/>
  <c r="AH250" i="2" a="1"/>
  <c r="AH250" i="2" s="1"/>
  <c r="AJ250" i="2" a="1"/>
  <c r="AJ250" i="2" s="1"/>
  <c r="AK250" i="2" s="1" a="1"/>
  <c r="AK250" i="2" s="1"/>
  <c r="AN250" i="2"/>
  <c r="W251" i="2" a="1"/>
  <c r="W251" i="2" s="1"/>
  <c r="X251" i="2" a="1"/>
  <c r="X251" i="2" s="1"/>
  <c r="Y251" i="2" a="1"/>
  <c r="Y251" i="2" s="1"/>
  <c r="Z251" i="2" a="1"/>
  <c r="Z251" i="2" s="1"/>
  <c r="AA251" i="2" a="1"/>
  <c r="AA251" i="2" s="1"/>
  <c r="AB251" i="2" a="1"/>
  <c r="AB251" i="2" s="1"/>
  <c r="AC251" i="2" a="1"/>
  <c r="AC251" i="2" s="1"/>
  <c r="AD251" i="2" a="1"/>
  <c r="AD251" i="2" s="1"/>
  <c r="AE251" i="2" a="1"/>
  <c r="AE251" i="2" s="1"/>
  <c r="AF251" i="2" a="1"/>
  <c r="AF251" i="2" s="1"/>
  <c r="AG251" i="2" a="1"/>
  <c r="AG251" i="2" s="1"/>
  <c r="AH251" i="2" a="1"/>
  <c r="AH251" i="2" s="1"/>
  <c r="AJ251" i="2" a="1"/>
  <c r="AJ251" i="2" s="1"/>
  <c r="AK251" i="2" s="1" a="1"/>
  <c r="AK251" i="2" s="1"/>
  <c r="AN251" i="2"/>
  <c r="W252" i="2" a="1"/>
  <c r="W252" i="2" s="1"/>
  <c r="X252" i="2" a="1"/>
  <c r="X252" i="2" s="1"/>
  <c r="Y252" i="2" a="1"/>
  <c r="Y252" i="2" s="1"/>
  <c r="Z252" i="2" a="1"/>
  <c r="Z252" i="2" s="1"/>
  <c r="AA252" i="2" a="1"/>
  <c r="AA252" i="2" s="1"/>
  <c r="AB252" i="2" a="1"/>
  <c r="AB252" i="2" s="1"/>
  <c r="AC252" i="2" a="1"/>
  <c r="AC252" i="2" s="1"/>
  <c r="AD252" i="2" a="1"/>
  <c r="AD252" i="2" s="1"/>
  <c r="AE252" i="2" a="1"/>
  <c r="AE252" i="2" s="1"/>
  <c r="AF252" i="2" a="1"/>
  <c r="AF252" i="2" s="1"/>
  <c r="AG252" i="2" a="1"/>
  <c r="AG252" i="2" s="1"/>
  <c r="AH252" i="2" a="1"/>
  <c r="AH252" i="2" s="1"/>
  <c r="AJ252" i="2" a="1"/>
  <c r="AJ252" i="2" s="1"/>
  <c r="AK252" i="2" s="1" a="1"/>
  <c r="AK252" i="2" s="1"/>
  <c r="AN252" i="2"/>
  <c r="W253" i="2" a="1"/>
  <c r="W253" i="2" s="1"/>
  <c r="X253" i="2" a="1"/>
  <c r="X253" i="2" s="1"/>
  <c r="Y253" i="2" a="1"/>
  <c r="Y253" i="2" s="1"/>
  <c r="Z253" i="2" a="1"/>
  <c r="Z253" i="2" s="1"/>
  <c r="AA253" i="2" a="1"/>
  <c r="AA253" i="2" s="1"/>
  <c r="AB253" i="2" a="1"/>
  <c r="AB253" i="2" s="1"/>
  <c r="AC253" i="2" a="1"/>
  <c r="AC253" i="2" s="1"/>
  <c r="AD253" i="2" a="1"/>
  <c r="AD253" i="2" s="1"/>
  <c r="AE253" i="2" a="1"/>
  <c r="AE253" i="2" s="1"/>
  <c r="AF253" i="2" a="1"/>
  <c r="AF253" i="2" s="1"/>
  <c r="AG253" i="2" a="1"/>
  <c r="AG253" i="2" s="1"/>
  <c r="AH253" i="2" a="1"/>
  <c r="AH253" i="2" s="1"/>
  <c r="AJ253" i="2" a="1"/>
  <c r="AJ253" i="2" s="1"/>
  <c r="AK253" i="2" s="1" a="1"/>
  <c r="AK253" i="2" s="1"/>
  <c r="AN253" i="2"/>
  <c r="W254" i="2" a="1"/>
  <c r="W254" i="2" s="1"/>
  <c r="X254" i="2" a="1"/>
  <c r="X254" i="2" s="1"/>
  <c r="Y254" i="2" a="1"/>
  <c r="Y254" i="2" s="1"/>
  <c r="Z254" i="2" a="1"/>
  <c r="Z254" i="2" s="1"/>
  <c r="AA254" i="2" a="1"/>
  <c r="AA254" i="2" s="1"/>
  <c r="AB254" i="2" a="1"/>
  <c r="AB254" i="2" s="1"/>
  <c r="AC254" i="2" a="1"/>
  <c r="AC254" i="2" s="1"/>
  <c r="AD254" i="2" a="1"/>
  <c r="AD254" i="2" s="1"/>
  <c r="AE254" i="2" a="1"/>
  <c r="AE254" i="2" s="1"/>
  <c r="AF254" i="2" a="1"/>
  <c r="AF254" i="2" s="1"/>
  <c r="AG254" i="2" a="1"/>
  <c r="AG254" i="2" s="1"/>
  <c r="AH254" i="2" a="1"/>
  <c r="AH254" i="2" s="1"/>
  <c r="AJ254" i="2" a="1"/>
  <c r="AJ254" i="2" s="1"/>
  <c r="AK254" i="2" s="1" a="1"/>
  <c r="AK254" i="2" s="1"/>
  <c r="AN254" i="2"/>
  <c r="W255" i="2" a="1"/>
  <c r="W255" i="2" s="1"/>
  <c r="X255" i="2" a="1"/>
  <c r="X255" i="2" s="1"/>
  <c r="Y255" i="2" a="1"/>
  <c r="Y255" i="2" s="1"/>
  <c r="Z255" i="2" a="1"/>
  <c r="Z255" i="2" s="1"/>
  <c r="AA255" i="2" a="1"/>
  <c r="AA255" i="2" s="1"/>
  <c r="AB255" i="2" a="1"/>
  <c r="AB255" i="2" s="1"/>
  <c r="AC255" i="2" a="1"/>
  <c r="AC255" i="2" s="1"/>
  <c r="AD255" i="2" a="1"/>
  <c r="AD255" i="2" s="1"/>
  <c r="AE255" i="2" a="1"/>
  <c r="AE255" i="2" s="1"/>
  <c r="AF255" i="2" a="1"/>
  <c r="AF255" i="2" s="1"/>
  <c r="AG255" i="2" a="1"/>
  <c r="AG255" i="2" s="1"/>
  <c r="AH255" i="2" a="1"/>
  <c r="AH255" i="2" s="1"/>
  <c r="AJ255" i="2" a="1"/>
  <c r="AJ255" i="2" s="1"/>
  <c r="AK255" i="2" s="1" a="1"/>
  <c r="AK255" i="2" s="1"/>
  <c r="AN255" i="2"/>
  <c r="W256" i="2" a="1"/>
  <c r="W256" i="2" s="1"/>
  <c r="X256" i="2" a="1"/>
  <c r="X256" i="2" s="1"/>
  <c r="Y256" i="2" a="1"/>
  <c r="Y256" i="2" s="1"/>
  <c r="Z256" i="2" a="1"/>
  <c r="Z256" i="2" s="1"/>
  <c r="AA256" i="2" a="1"/>
  <c r="AA256" i="2" s="1"/>
  <c r="AB256" i="2" a="1"/>
  <c r="AB256" i="2" s="1"/>
  <c r="AC256" i="2" a="1"/>
  <c r="AC256" i="2" s="1"/>
  <c r="AD256" i="2" a="1"/>
  <c r="AD256" i="2" s="1"/>
  <c r="AE256" i="2" a="1"/>
  <c r="AE256" i="2" s="1"/>
  <c r="AF256" i="2" a="1"/>
  <c r="AF256" i="2" s="1"/>
  <c r="AG256" i="2" a="1"/>
  <c r="AG256" i="2" s="1"/>
  <c r="AH256" i="2" a="1"/>
  <c r="AH256" i="2" s="1"/>
  <c r="AJ256" i="2" a="1"/>
  <c r="AJ256" i="2" s="1"/>
  <c r="AK256" i="2" s="1" a="1"/>
  <c r="AK256" i="2" s="1"/>
  <c r="AN256" i="2"/>
  <c r="W257" i="2" a="1"/>
  <c r="W257" i="2" s="1"/>
  <c r="X257" i="2" a="1"/>
  <c r="X257" i="2" s="1"/>
  <c r="Y257" i="2" a="1"/>
  <c r="Y257" i="2" s="1"/>
  <c r="Z257" i="2" a="1"/>
  <c r="Z257" i="2" s="1"/>
  <c r="AA257" i="2" a="1"/>
  <c r="AA257" i="2" s="1"/>
  <c r="AB257" i="2" a="1"/>
  <c r="AB257" i="2" s="1"/>
  <c r="AC257" i="2" a="1"/>
  <c r="AC257" i="2" s="1"/>
  <c r="AD257" i="2" a="1"/>
  <c r="AD257" i="2" s="1"/>
  <c r="AE257" i="2" a="1"/>
  <c r="AE257" i="2" s="1"/>
  <c r="AF257" i="2" a="1"/>
  <c r="AF257" i="2" s="1"/>
  <c r="AG257" i="2" a="1"/>
  <c r="AG257" i="2" s="1"/>
  <c r="AH257" i="2" a="1"/>
  <c r="AH257" i="2" s="1"/>
  <c r="AJ257" i="2" a="1"/>
  <c r="AJ257" i="2" s="1"/>
  <c r="AK257" i="2" s="1" a="1"/>
  <c r="AK257" i="2" s="1"/>
  <c r="AN257" i="2"/>
  <c r="W287" i="2" a="1"/>
  <c r="W287" i="2" s="1"/>
  <c r="X287" i="2" a="1"/>
  <c r="X287" i="2" s="1"/>
  <c r="Y287" i="2" a="1"/>
  <c r="Y287" i="2" s="1"/>
  <c r="Z287" i="2" a="1"/>
  <c r="Z287" i="2" s="1"/>
  <c r="AA287" i="2" a="1"/>
  <c r="AA287" i="2" s="1"/>
  <c r="AB287" i="2" a="1"/>
  <c r="AB287" i="2" s="1"/>
  <c r="AC287" i="2" a="1"/>
  <c r="AC287" i="2" s="1"/>
  <c r="AD287" i="2" a="1"/>
  <c r="AD287" i="2" s="1"/>
  <c r="AE287" i="2" a="1"/>
  <c r="AE287" i="2" s="1"/>
  <c r="AF287" i="2" a="1"/>
  <c r="AF287" i="2" s="1"/>
  <c r="AG287" i="2" a="1"/>
  <c r="AG287" i="2" s="1"/>
  <c r="AH287" i="2" a="1"/>
  <c r="AH287" i="2" s="1"/>
  <c r="AJ287" i="2" a="1"/>
  <c r="AJ287" i="2" s="1"/>
  <c r="AK287" i="2" s="1" a="1"/>
  <c r="AK287" i="2" s="1"/>
  <c r="AN287" i="2"/>
  <c r="W288" i="2" a="1"/>
  <c r="W288" i="2" s="1"/>
  <c r="X288" i="2" a="1"/>
  <c r="X288" i="2" s="1"/>
  <c r="Y288" i="2" a="1"/>
  <c r="Y288" i="2" s="1"/>
  <c r="Z288" i="2" a="1"/>
  <c r="Z288" i="2" s="1"/>
  <c r="AA288" i="2" a="1"/>
  <c r="AA288" i="2" s="1"/>
  <c r="AB288" i="2" a="1"/>
  <c r="AB288" i="2" s="1"/>
  <c r="AC288" i="2" a="1"/>
  <c r="AC288" i="2" s="1"/>
  <c r="AD288" i="2" a="1"/>
  <c r="AD288" i="2" s="1"/>
  <c r="AE288" i="2" a="1"/>
  <c r="AE288" i="2" s="1"/>
  <c r="AF288" i="2" a="1"/>
  <c r="AF288" i="2" s="1"/>
  <c r="AG288" i="2" a="1"/>
  <c r="AG288" i="2" s="1"/>
  <c r="AH288" i="2" a="1"/>
  <c r="AH288" i="2" s="1"/>
  <c r="AJ288" i="2" a="1"/>
  <c r="AJ288" i="2" s="1"/>
  <c r="AK288" i="2" s="1" a="1"/>
  <c r="AK288" i="2" s="1"/>
  <c r="AN288" i="2"/>
  <c r="W289" i="2" a="1"/>
  <c r="W289" i="2" s="1"/>
  <c r="X289" i="2" a="1"/>
  <c r="X289" i="2" s="1"/>
  <c r="Y289" i="2" a="1"/>
  <c r="Y289" i="2" s="1"/>
  <c r="Z289" i="2" a="1"/>
  <c r="Z289" i="2" s="1"/>
  <c r="AA289" i="2" a="1"/>
  <c r="AA289" i="2" s="1"/>
  <c r="AB289" i="2" a="1"/>
  <c r="AB289" i="2" s="1"/>
  <c r="AC289" i="2" a="1"/>
  <c r="AC289" i="2" s="1"/>
  <c r="AD289" i="2" a="1"/>
  <c r="AD289" i="2" s="1"/>
  <c r="AE289" i="2" a="1"/>
  <c r="AE289" i="2" s="1"/>
  <c r="AF289" i="2" a="1"/>
  <c r="AF289" i="2" s="1"/>
  <c r="AG289" i="2" a="1"/>
  <c r="AG289" i="2" s="1"/>
  <c r="AH289" i="2" a="1"/>
  <c r="AH289" i="2" s="1"/>
  <c r="AJ289" i="2" a="1"/>
  <c r="AJ289" i="2" s="1"/>
  <c r="AK289" i="2" s="1" a="1"/>
  <c r="AK289" i="2" s="1"/>
  <c r="AN289" i="2"/>
  <c r="W290" i="2" a="1"/>
  <c r="W290" i="2" s="1"/>
  <c r="X290" i="2" a="1"/>
  <c r="X290" i="2" s="1"/>
  <c r="Y290" i="2" a="1"/>
  <c r="Y290" i="2" s="1"/>
  <c r="Z290" i="2" a="1"/>
  <c r="Z290" i="2" s="1"/>
  <c r="AA290" i="2" a="1"/>
  <c r="AA290" i="2" s="1"/>
  <c r="AB290" i="2" a="1"/>
  <c r="AB290" i="2" s="1"/>
  <c r="AC290" i="2" a="1"/>
  <c r="AC290" i="2" s="1"/>
  <c r="AD290" i="2" a="1"/>
  <c r="AD290" i="2" s="1"/>
  <c r="AE290" i="2" a="1"/>
  <c r="AE290" i="2" s="1"/>
  <c r="AF290" i="2" a="1"/>
  <c r="AF290" i="2" s="1"/>
  <c r="AG290" i="2" a="1"/>
  <c r="AG290" i="2" s="1"/>
  <c r="AH290" i="2" a="1"/>
  <c r="AH290" i="2" s="1"/>
  <c r="AJ290" i="2" a="1"/>
  <c r="AJ290" i="2" s="1"/>
  <c r="AK290" i="2" s="1" a="1"/>
  <c r="AK290" i="2" s="1"/>
  <c r="AN290" i="2"/>
  <c r="W291" i="2" a="1"/>
  <c r="W291" i="2" s="1"/>
  <c r="X291" i="2" a="1"/>
  <c r="X291" i="2" s="1"/>
  <c r="Y291" i="2" a="1"/>
  <c r="Y291" i="2" s="1"/>
  <c r="Z291" i="2" a="1"/>
  <c r="Z291" i="2" s="1"/>
  <c r="AA291" i="2" a="1"/>
  <c r="AA291" i="2" s="1"/>
  <c r="AB291" i="2" a="1"/>
  <c r="AB291" i="2" s="1"/>
  <c r="AC291" i="2" a="1"/>
  <c r="AC291" i="2" s="1"/>
  <c r="AD291" i="2" a="1"/>
  <c r="AD291" i="2" s="1"/>
  <c r="AE291" i="2" a="1"/>
  <c r="AE291" i="2" s="1"/>
  <c r="AF291" i="2" a="1"/>
  <c r="AF291" i="2" s="1"/>
  <c r="AG291" i="2" a="1"/>
  <c r="AG291" i="2" s="1"/>
  <c r="AH291" i="2" a="1"/>
  <c r="AH291" i="2" s="1"/>
  <c r="AJ291" i="2" a="1"/>
  <c r="AJ291" i="2" s="1"/>
  <c r="AK291" i="2" s="1" a="1"/>
  <c r="AK291" i="2" s="1"/>
  <c r="AN291" i="2"/>
  <c r="W292" i="2" a="1"/>
  <c r="W292" i="2" s="1"/>
  <c r="X292" i="2" a="1"/>
  <c r="X292" i="2" s="1"/>
  <c r="Y292" i="2" a="1"/>
  <c r="Y292" i="2" s="1"/>
  <c r="Z292" i="2" a="1"/>
  <c r="Z292" i="2" s="1"/>
  <c r="AA292" i="2" a="1"/>
  <c r="AA292" i="2" s="1"/>
  <c r="AB292" i="2" a="1"/>
  <c r="AB292" i="2" s="1"/>
  <c r="AC292" i="2" a="1"/>
  <c r="AC292" i="2" s="1"/>
  <c r="AD292" i="2" a="1"/>
  <c r="AD292" i="2" s="1"/>
  <c r="AE292" i="2" a="1"/>
  <c r="AE292" i="2" s="1"/>
  <c r="AF292" i="2" a="1"/>
  <c r="AF292" i="2" s="1"/>
  <c r="AG292" i="2" a="1"/>
  <c r="AG292" i="2" s="1"/>
  <c r="AH292" i="2" a="1"/>
  <c r="AH292" i="2" s="1"/>
  <c r="AJ292" i="2" a="1"/>
  <c r="AJ292" i="2" s="1"/>
  <c r="AK292" i="2" s="1" a="1"/>
  <c r="AK292" i="2" s="1"/>
  <c r="AN292" i="2"/>
  <c r="W293" i="2" a="1"/>
  <c r="W293" i="2" s="1"/>
  <c r="X293" i="2" a="1"/>
  <c r="X293" i="2" s="1"/>
  <c r="Y293" i="2" a="1"/>
  <c r="Y293" i="2" s="1"/>
  <c r="Z293" i="2" a="1"/>
  <c r="Z293" i="2" s="1"/>
  <c r="AA293" i="2" a="1"/>
  <c r="AA293" i="2" s="1"/>
  <c r="AB293" i="2" a="1"/>
  <c r="AB293" i="2" s="1"/>
  <c r="AC293" i="2" a="1"/>
  <c r="AC293" i="2" s="1"/>
  <c r="AD293" i="2" a="1"/>
  <c r="AD293" i="2" s="1"/>
  <c r="AE293" i="2" a="1"/>
  <c r="AE293" i="2" s="1"/>
  <c r="AF293" i="2" a="1"/>
  <c r="AF293" i="2" s="1"/>
  <c r="AG293" i="2" a="1"/>
  <c r="AG293" i="2" s="1"/>
  <c r="AH293" i="2" a="1"/>
  <c r="AH293" i="2" s="1"/>
  <c r="AJ293" i="2" a="1"/>
  <c r="AJ293" i="2" s="1"/>
  <c r="AK293" i="2" s="1" a="1"/>
  <c r="AK293" i="2" s="1"/>
  <c r="AN293" i="2"/>
  <c r="W294" i="2" a="1"/>
  <c r="W294" i="2" s="1"/>
  <c r="X294" i="2" a="1"/>
  <c r="X294" i="2" s="1"/>
  <c r="Y294" i="2" a="1"/>
  <c r="Y294" i="2" s="1"/>
  <c r="Z294" i="2" a="1"/>
  <c r="Z294" i="2" s="1"/>
  <c r="AA294" i="2" a="1"/>
  <c r="AA294" i="2" s="1"/>
  <c r="AB294" i="2" a="1"/>
  <c r="AB294" i="2" s="1"/>
  <c r="AC294" i="2" a="1"/>
  <c r="AC294" i="2" s="1"/>
  <c r="AD294" i="2" a="1"/>
  <c r="AD294" i="2" s="1"/>
  <c r="AE294" i="2" a="1"/>
  <c r="AE294" i="2" s="1"/>
  <c r="AF294" i="2" a="1"/>
  <c r="AF294" i="2" s="1"/>
  <c r="AG294" i="2" a="1"/>
  <c r="AG294" i="2" s="1"/>
  <c r="AH294" i="2" a="1"/>
  <c r="AH294" i="2" s="1"/>
  <c r="AJ294" i="2" a="1"/>
  <c r="AJ294" i="2" s="1"/>
  <c r="AK294" i="2" s="1" a="1"/>
  <c r="AK294" i="2" s="1"/>
  <c r="AN294" i="2"/>
  <c r="W295" i="2" a="1"/>
  <c r="W295" i="2" s="1"/>
  <c r="X295" i="2" a="1"/>
  <c r="X295" i="2" s="1"/>
  <c r="Y295" i="2" a="1"/>
  <c r="Y295" i="2" s="1"/>
  <c r="Z295" i="2" a="1"/>
  <c r="Z295" i="2" s="1"/>
  <c r="AA295" i="2" a="1"/>
  <c r="AA295" i="2" s="1"/>
  <c r="AB295" i="2" a="1"/>
  <c r="AB295" i="2" s="1"/>
  <c r="AC295" i="2" a="1"/>
  <c r="AC295" i="2" s="1"/>
  <c r="AD295" i="2" a="1"/>
  <c r="AD295" i="2" s="1"/>
  <c r="AE295" i="2" a="1"/>
  <c r="AE295" i="2" s="1"/>
  <c r="AF295" i="2" a="1"/>
  <c r="AF295" i="2" s="1"/>
  <c r="AG295" i="2" a="1"/>
  <c r="AG295" i="2" s="1"/>
  <c r="AH295" i="2" a="1"/>
  <c r="AH295" i="2" s="1"/>
  <c r="AJ295" i="2" a="1"/>
  <c r="AJ295" i="2" s="1"/>
  <c r="AK295" i="2" s="1" a="1"/>
  <c r="AK295" i="2" s="1"/>
  <c r="AN295" i="2"/>
  <c r="W296" i="2" a="1"/>
  <c r="W296" i="2" s="1"/>
  <c r="X296" i="2" a="1"/>
  <c r="X296" i="2" s="1"/>
  <c r="Y296" i="2" a="1"/>
  <c r="Y296" i="2" s="1"/>
  <c r="Z296" i="2" a="1"/>
  <c r="Z296" i="2" s="1"/>
  <c r="AA296" i="2" a="1"/>
  <c r="AA296" i="2" s="1"/>
  <c r="AB296" i="2" a="1"/>
  <c r="AB296" i="2" s="1"/>
  <c r="AC296" i="2" a="1"/>
  <c r="AC296" i="2" s="1"/>
  <c r="AD296" i="2" a="1"/>
  <c r="AD296" i="2" s="1"/>
  <c r="AE296" i="2" a="1"/>
  <c r="AE296" i="2" s="1"/>
  <c r="AF296" i="2" a="1"/>
  <c r="AF296" i="2" s="1"/>
  <c r="AG296" i="2" a="1"/>
  <c r="AG296" i="2" s="1"/>
  <c r="AH296" i="2" a="1"/>
  <c r="AH296" i="2" s="1"/>
  <c r="AJ296" i="2" a="1"/>
  <c r="AJ296" i="2" s="1"/>
  <c r="AK296" i="2" s="1" a="1"/>
  <c r="AK296" i="2" s="1"/>
  <c r="AN296" i="2"/>
  <c r="W297" i="2" a="1"/>
  <c r="W297" i="2" s="1"/>
  <c r="X297" i="2" a="1"/>
  <c r="X297" i="2" s="1"/>
  <c r="Y297" i="2" a="1"/>
  <c r="Y297" i="2" s="1"/>
  <c r="Z297" i="2" a="1"/>
  <c r="Z297" i="2" s="1"/>
  <c r="AA297" i="2" a="1"/>
  <c r="AA297" i="2" s="1"/>
  <c r="AB297" i="2" a="1"/>
  <c r="AB297" i="2" s="1"/>
  <c r="AC297" i="2" a="1"/>
  <c r="AC297" i="2" s="1"/>
  <c r="AD297" i="2" a="1"/>
  <c r="AD297" i="2" s="1"/>
  <c r="AE297" i="2" a="1"/>
  <c r="AE297" i="2" s="1"/>
  <c r="AF297" i="2" a="1"/>
  <c r="AF297" i="2" s="1"/>
  <c r="AG297" i="2" a="1"/>
  <c r="AG297" i="2" s="1"/>
  <c r="AH297" i="2" a="1"/>
  <c r="AH297" i="2" s="1"/>
  <c r="AJ297" i="2" a="1"/>
  <c r="AJ297" i="2" s="1"/>
  <c r="AK297" i="2" s="1" a="1"/>
  <c r="AK297" i="2" s="1"/>
  <c r="AN297" i="2"/>
  <c r="W298" i="2" a="1"/>
  <c r="W298" i="2" s="1"/>
  <c r="X298" i="2" a="1"/>
  <c r="X298" i="2" s="1"/>
  <c r="Y298" i="2" a="1"/>
  <c r="Y298" i="2" s="1"/>
  <c r="Z298" i="2" a="1"/>
  <c r="Z298" i="2" s="1"/>
  <c r="AA298" i="2" a="1"/>
  <c r="AA298" i="2" s="1"/>
  <c r="AB298" i="2" a="1"/>
  <c r="AB298" i="2" s="1"/>
  <c r="AC298" i="2" a="1"/>
  <c r="AC298" i="2" s="1"/>
  <c r="AD298" i="2" a="1"/>
  <c r="AD298" i="2" s="1"/>
  <c r="AE298" i="2" a="1"/>
  <c r="AE298" i="2" s="1"/>
  <c r="AF298" i="2" a="1"/>
  <c r="AF298" i="2" s="1"/>
  <c r="AG298" i="2" a="1"/>
  <c r="AG298" i="2" s="1"/>
  <c r="AH298" i="2" a="1"/>
  <c r="AH298" i="2" s="1"/>
  <c r="AJ298" i="2" a="1"/>
  <c r="AJ298" i="2" s="1"/>
  <c r="AK298" i="2" s="1" a="1"/>
  <c r="AK298" i="2" s="1"/>
  <c r="AN298" i="2"/>
  <c r="W299" i="2" a="1"/>
  <c r="W299" i="2" s="1"/>
  <c r="X299" i="2" a="1"/>
  <c r="X299" i="2" s="1"/>
  <c r="Y299" i="2" a="1"/>
  <c r="Y299" i="2" s="1"/>
  <c r="Z299" i="2" a="1"/>
  <c r="Z299" i="2" s="1"/>
  <c r="AA299" i="2" a="1"/>
  <c r="AA299" i="2" s="1"/>
  <c r="AB299" i="2" a="1"/>
  <c r="AB299" i="2" s="1"/>
  <c r="AC299" i="2" a="1"/>
  <c r="AC299" i="2" s="1"/>
  <c r="AD299" i="2" a="1"/>
  <c r="AD299" i="2" s="1"/>
  <c r="AE299" i="2" a="1"/>
  <c r="AE299" i="2" s="1"/>
  <c r="AF299" i="2" a="1"/>
  <c r="AF299" i="2" s="1"/>
  <c r="AG299" i="2" a="1"/>
  <c r="AG299" i="2" s="1"/>
  <c r="AH299" i="2" a="1"/>
  <c r="AH299" i="2" s="1"/>
  <c r="AJ299" i="2" a="1"/>
  <c r="AJ299" i="2" s="1"/>
  <c r="AK299" i="2" s="1" a="1"/>
  <c r="AK299" i="2" s="1"/>
  <c r="AN299" i="2"/>
  <c r="W300" i="2" a="1"/>
  <c r="W300" i="2" s="1"/>
  <c r="X300" i="2" a="1"/>
  <c r="X300" i="2" s="1"/>
  <c r="Y300" i="2" a="1"/>
  <c r="Y300" i="2" s="1"/>
  <c r="Z300" i="2" a="1"/>
  <c r="Z300" i="2" s="1"/>
  <c r="AA300" i="2" a="1"/>
  <c r="AA300" i="2" s="1"/>
  <c r="AB300" i="2" a="1"/>
  <c r="AB300" i="2" s="1"/>
  <c r="AC300" i="2" a="1"/>
  <c r="AC300" i="2" s="1"/>
  <c r="AD300" i="2" a="1"/>
  <c r="AD300" i="2" s="1"/>
  <c r="AE300" i="2" a="1"/>
  <c r="AE300" i="2" s="1"/>
  <c r="AF300" i="2" a="1"/>
  <c r="AF300" i="2" s="1"/>
  <c r="AG300" i="2" a="1"/>
  <c r="AG300" i="2" s="1"/>
  <c r="AH300" i="2" a="1"/>
  <c r="AH300" i="2" s="1"/>
  <c r="AJ300" i="2" a="1"/>
  <c r="AJ300" i="2" s="1"/>
  <c r="AK300" i="2" s="1" a="1"/>
  <c r="AK300" i="2" s="1"/>
  <c r="AN300" i="2"/>
  <c r="W301" i="2" a="1"/>
  <c r="W301" i="2" s="1"/>
  <c r="X301" i="2" a="1"/>
  <c r="X301" i="2" s="1"/>
  <c r="Y301" i="2" a="1"/>
  <c r="Y301" i="2" s="1"/>
  <c r="Z301" i="2" a="1"/>
  <c r="Z301" i="2" s="1"/>
  <c r="AA301" i="2" a="1"/>
  <c r="AA301" i="2" s="1"/>
  <c r="AB301" i="2" a="1"/>
  <c r="AB301" i="2" s="1"/>
  <c r="AC301" i="2" a="1"/>
  <c r="AC301" i="2" s="1"/>
  <c r="AD301" i="2" a="1"/>
  <c r="AD301" i="2" s="1"/>
  <c r="AE301" i="2" a="1"/>
  <c r="AE301" i="2" s="1"/>
  <c r="AF301" i="2" a="1"/>
  <c r="AF301" i="2" s="1"/>
  <c r="AG301" i="2" a="1"/>
  <c r="AG301" i="2" s="1"/>
  <c r="AH301" i="2" a="1"/>
  <c r="AH301" i="2" s="1"/>
  <c r="AJ301" i="2" a="1"/>
  <c r="AJ301" i="2" s="1"/>
  <c r="AK301" i="2" s="1" a="1"/>
  <c r="AK301" i="2" s="1"/>
  <c r="AN301" i="2"/>
  <c r="W302" i="2" a="1"/>
  <c r="W302" i="2" s="1"/>
  <c r="X302" i="2" a="1"/>
  <c r="X302" i="2" s="1"/>
  <c r="Y302" i="2" a="1"/>
  <c r="Y302" i="2" s="1"/>
  <c r="Z302" i="2" a="1"/>
  <c r="Z302" i="2" s="1"/>
  <c r="AA302" i="2" a="1"/>
  <c r="AA302" i="2" s="1"/>
  <c r="AB302" i="2" a="1"/>
  <c r="AB302" i="2" s="1"/>
  <c r="AC302" i="2" a="1"/>
  <c r="AC302" i="2" s="1"/>
  <c r="AD302" i="2" a="1"/>
  <c r="AD302" i="2" s="1"/>
  <c r="AE302" i="2" a="1"/>
  <c r="AE302" i="2" s="1"/>
  <c r="AF302" i="2" a="1"/>
  <c r="AF302" i="2" s="1"/>
  <c r="AG302" i="2" a="1"/>
  <c r="AG302" i="2" s="1"/>
  <c r="AH302" i="2" a="1"/>
  <c r="AH302" i="2" s="1"/>
  <c r="AJ302" i="2" a="1"/>
  <c r="AJ302" i="2" s="1"/>
  <c r="AK302" i="2" s="1" a="1"/>
  <c r="AK302" i="2" s="1"/>
  <c r="AN302" i="2"/>
  <c r="W303" i="2" a="1"/>
  <c r="W303" i="2" s="1"/>
  <c r="X303" i="2" a="1"/>
  <c r="X303" i="2" s="1"/>
  <c r="Y303" i="2" a="1"/>
  <c r="Y303" i="2" s="1"/>
  <c r="Z303" i="2" a="1"/>
  <c r="Z303" i="2" s="1"/>
  <c r="AA303" i="2" a="1"/>
  <c r="AA303" i="2" s="1"/>
  <c r="AB303" i="2" a="1"/>
  <c r="AB303" i="2" s="1"/>
  <c r="AC303" i="2" a="1"/>
  <c r="AC303" i="2" s="1"/>
  <c r="AD303" i="2" a="1"/>
  <c r="AD303" i="2" s="1"/>
  <c r="AE303" i="2" a="1"/>
  <c r="AE303" i="2" s="1"/>
  <c r="AF303" i="2" a="1"/>
  <c r="AF303" i="2" s="1"/>
  <c r="AG303" i="2" a="1"/>
  <c r="AG303" i="2" s="1"/>
  <c r="AH303" i="2" a="1"/>
  <c r="AH303" i="2" s="1"/>
  <c r="AJ303" i="2" a="1"/>
  <c r="AJ303" i="2" s="1"/>
  <c r="AK303" i="2" s="1" a="1"/>
  <c r="AK303" i="2" s="1"/>
  <c r="AN303" i="2"/>
  <c r="W304" i="2" a="1"/>
  <c r="W304" i="2" s="1"/>
  <c r="X304" i="2" a="1"/>
  <c r="X304" i="2" s="1"/>
  <c r="Y304" i="2" a="1"/>
  <c r="Y304" i="2" s="1"/>
  <c r="Z304" i="2" a="1"/>
  <c r="Z304" i="2" s="1"/>
  <c r="AA304" i="2" a="1"/>
  <c r="AA304" i="2" s="1"/>
  <c r="AB304" i="2" a="1"/>
  <c r="AB304" i="2" s="1"/>
  <c r="AC304" i="2" a="1"/>
  <c r="AC304" i="2" s="1"/>
  <c r="AD304" i="2" a="1"/>
  <c r="AD304" i="2" s="1"/>
  <c r="AE304" i="2" a="1"/>
  <c r="AE304" i="2" s="1"/>
  <c r="AF304" i="2" a="1"/>
  <c r="AF304" i="2" s="1"/>
  <c r="AG304" i="2" a="1"/>
  <c r="AG304" i="2" s="1"/>
  <c r="AH304" i="2" a="1"/>
  <c r="AH304" i="2" s="1"/>
  <c r="AJ304" i="2" a="1"/>
  <c r="AJ304" i="2" s="1"/>
  <c r="AK304" i="2" s="1" a="1"/>
  <c r="AK304" i="2" s="1"/>
  <c r="AN304" i="2"/>
  <c r="W305" i="2" a="1"/>
  <c r="W305" i="2" s="1"/>
  <c r="X305" i="2" a="1"/>
  <c r="X305" i="2" s="1"/>
  <c r="Y305" i="2" a="1"/>
  <c r="Y305" i="2" s="1"/>
  <c r="Z305" i="2" a="1"/>
  <c r="Z305" i="2" s="1"/>
  <c r="AA305" i="2" a="1"/>
  <c r="AA305" i="2" s="1"/>
  <c r="AB305" i="2" a="1"/>
  <c r="AB305" i="2" s="1"/>
  <c r="AC305" i="2" a="1"/>
  <c r="AC305" i="2" s="1"/>
  <c r="AD305" i="2" a="1"/>
  <c r="AD305" i="2" s="1"/>
  <c r="AE305" i="2" a="1"/>
  <c r="AE305" i="2" s="1"/>
  <c r="AF305" i="2" a="1"/>
  <c r="AF305" i="2" s="1"/>
  <c r="AG305" i="2" a="1"/>
  <c r="AG305" i="2" s="1"/>
  <c r="AH305" i="2" a="1"/>
  <c r="AH305" i="2" s="1"/>
  <c r="AJ305" i="2" a="1"/>
  <c r="AJ305" i="2" s="1"/>
  <c r="AK305" i="2" s="1" a="1"/>
  <c r="AK305" i="2" s="1"/>
  <c r="AN305" i="2"/>
  <c r="W306" i="2" a="1"/>
  <c r="W306" i="2" s="1"/>
  <c r="X306" i="2" a="1"/>
  <c r="X306" i="2" s="1"/>
  <c r="Y306" i="2" a="1"/>
  <c r="Y306" i="2" s="1"/>
  <c r="Z306" i="2" a="1"/>
  <c r="Z306" i="2" s="1"/>
  <c r="AA306" i="2" a="1"/>
  <c r="AA306" i="2" s="1"/>
  <c r="AB306" i="2" a="1"/>
  <c r="AB306" i="2" s="1"/>
  <c r="AC306" i="2" a="1"/>
  <c r="AC306" i="2" s="1"/>
  <c r="AD306" i="2" a="1"/>
  <c r="AD306" i="2" s="1"/>
  <c r="AE306" i="2" a="1"/>
  <c r="AE306" i="2" s="1"/>
  <c r="AF306" i="2" a="1"/>
  <c r="AF306" i="2" s="1"/>
  <c r="AG306" i="2" a="1"/>
  <c r="AG306" i="2" s="1"/>
  <c r="AH306" i="2" a="1"/>
  <c r="AH306" i="2" s="1"/>
  <c r="AJ306" i="2" a="1"/>
  <c r="AJ306" i="2" s="1"/>
  <c r="AK306" i="2" s="1" a="1"/>
  <c r="AK306" i="2" s="1"/>
  <c r="AN306" i="2"/>
  <c r="W307" i="2" a="1"/>
  <c r="W307" i="2" s="1"/>
  <c r="X307" i="2" a="1"/>
  <c r="X307" i="2" s="1"/>
  <c r="Y307" i="2" a="1"/>
  <c r="Y307" i="2" s="1"/>
  <c r="Z307" i="2" a="1"/>
  <c r="Z307" i="2" s="1"/>
  <c r="AA307" i="2" a="1"/>
  <c r="AA307" i="2" s="1"/>
  <c r="AB307" i="2" a="1"/>
  <c r="AB307" i="2" s="1"/>
  <c r="AC307" i="2" a="1"/>
  <c r="AC307" i="2" s="1"/>
  <c r="AD307" i="2" a="1"/>
  <c r="AD307" i="2" s="1"/>
  <c r="AE307" i="2" a="1"/>
  <c r="AE307" i="2" s="1"/>
  <c r="AF307" i="2" a="1"/>
  <c r="AF307" i="2" s="1"/>
  <c r="AG307" i="2" a="1"/>
  <c r="AG307" i="2" s="1"/>
  <c r="AH307" i="2" a="1"/>
  <c r="AH307" i="2" s="1"/>
  <c r="AJ307" i="2" a="1"/>
  <c r="AJ307" i="2" s="1"/>
  <c r="AK307" i="2" s="1" a="1"/>
  <c r="AK307" i="2" s="1"/>
  <c r="AN307" i="2"/>
  <c r="W308" i="2" a="1"/>
  <c r="W308" i="2" s="1"/>
  <c r="X308" i="2" a="1"/>
  <c r="X308" i="2" s="1"/>
  <c r="Y308" i="2" a="1"/>
  <c r="Y308" i="2" s="1"/>
  <c r="Z308" i="2" a="1"/>
  <c r="Z308" i="2" s="1"/>
  <c r="AA308" i="2" a="1"/>
  <c r="AA308" i="2" s="1"/>
  <c r="AB308" i="2" a="1"/>
  <c r="AB308" i="2" s="1"/>
  <c r="AC308" i="2" a="1"/>
  <c r="AC308" i="2" s="1"/>
  <c r="AD308" i="2" a="1"/>
  <c r="AD308" i="2" s="1"/>
  <c r="AE308" i="2" a="1"/>
  <c r="AE308" i="2" s="1"/>
  <c r="AF308" i="2" a="1"/>
  <c r="AF308" i="2" s="1"/>
  <c r="AG308" i="2" a="1"/>
  <c r="AG308" i="2" s="1"/>
  <c r="AH308" i="2" a="1"/>
  <c r="AH308" i="2" s="1"/>
  <c r="AJ308" i="2" a="1"/>
  <c r="AJ308" i="2" s="1"/>
  <c r="AK308" i="2" s="1" a="1"/>
  <c r="AK308" i="2" s="1"/>
  <c r="AN308" i="2"/>
  <c r="W309" i="2" a="1"/>
  <c r="W309" i="2" s="1"/>
  <c r="X309" i="2" a="1"/>
  <c r="X309" i="2" s="1"/>
  <c r="Y309" i="2" a="1"/>
  <c r="Y309" i="2" s="1"/>
  <c r="Z309" i="2" a="1"/>
  <c r="Z309" i="2" s="1"/>
  <c r="AA309" i="2" a="1"/>
  <c r="AA309" i="2" s="1"/>
  <c r="AB309" i="2" a="1"/>
  <c r="AB309" i="2" s="1"/>
  <c r="AC309" i="2" a="1"/>
  <c r="AC309" i="2" s="1"/>
  <c r="AD309" i="2" a="1"/>
  <c r="AD309" i="2" s="1"/>
  <c r="AE309" i="2" a="1"/>
  <c r="AE309" i="2" s="1"/>
  <c r="AF309" i="2" a="1"/>
  <c r="AF309" i="2" s="1"/>
  <c r="AG309" i="2" a="1"/>
  <c r="AG309" i="2" s="1"/>
  <c r="AH309" i="2" a="1"/>
  <c r="AH309" i="2" s="1"/>
  <c r="AJ309" i="2" a="1"/>
  <c r="AJ309" i="2" s="1"/>
  <c r="AK309" i="2" s="1" a="1"/>
  <c r="AK309" i="2" s="1"/>
  <c r="AN309" i="2"/>
  <c r="W310" i="2" a="1"/>
  <c r="W310" i="2" s="1"/>
  <c r="X310" i="2" a="1"/>
  <c r="X310" i="2" s="1"/>
  <c r="Y310" i="2" a="1"/>
  <c r="Y310" i="2" s="1"/>
  <c r="Z310" i="2" a="1"/>
  <c r="Z310" i="2" s="1"/>
  <c r="AA310" i="2" a="1"/>
  <c r="AA310" i="2" s="1"/>
  <c r="AB310" i="2" a="1"/>
  <c r="AB310" i="2" s="1"/>
  <c r="AC310" i="2" a="1"/>
  <c r="AC310" i="2" s="1"/>
  <c r="AD310" i="2" a="1"/>
  <c r="AD310" i="2" s="1"/>
  <c r="AE310" i="2" a="1"/>
  <c r="AE310" i="2" s="1"/>
  <c r="AF310" i="2" a="1"/>
  <c r="AF310" i="2" s="1"/>
  <c r="AG310" i="2" a="1"/>
  <c r="AG310" i="2" s="1"/>
  <c r="AH310" i="2" a="1"/>
  <c r="AH310" i="2" s="1"/>
  <c r="AJ310" i="2" a="1"/>
  <c r="AJ310" i="2" s="1"/>
  <c r="AK310" i="2" s="1" a="1"/>
  <c r="AK310" i="2" s="1"/>
  <c r="AN310" i="2"/>
  <c r="W311" i="2" a="1"/>
  <c r="W311" i="2" s="1"/>
  <c r="X311" i="2" a="1"/>
  <c r="X311" i="2" s="1"/>
  <c r="Y311" i="2" a="1"/>
  <c r="Y311" i="2" s="1"/>
  <c r="Z311" i="2" a="1"/>
  <c r="Z311" i="2" s="1"/>
  <c r="AA311" i="2" a="1"/>
  <c r="AA311" i="2" s="1"/>
  <c r="AB311" i="2" a="1"/>
  <c r="AB311" i="2" s="1"/>
  <c r="AC311" i="2" a="1"/>
  <c r="AC311" i="2" s="1"/>
  <c r="AD311" i="2" a="1"/>
  <c r="AD311" i="2" s="1"/>
  <c r="AE311" i="2" a="1"/>
  <c r="AE311" i="2" s="1"/>
  <c r="AF311" i="2" a="1"/>
  <c r="AF311" i="2" s="1"/>
  <c r="AG311" i="2" a="1"/>
  <c r="AG311" i="2" s="1"/>
  <c r="AH311" i="2" a="1"/>
  <c r="AH311" i="2" s="1"/>
  <c r="AJ311" i="2" a="1"/>
  <c r="AJ311" i="2" s="1"/>
  <c r="AK311" i="2" s="1" a="1"/>
  <c r="AK311" i="2" s="1"/>
  <c r="AN311" i="2"/>
  <c r="W312" i="2" a="1"/>
  <c r="W312" i="2" s="1"/>
  <c r="X312" i="2" a="1"/>
  <c r="X312" i="2" s="1"/>
  <c r="Y312" i="2" a="1"/>
  <c r="Y312" i="2" s="1"/>
  <c r="Z312" i="2" a="1"/>
  <c r="Z312" i="2" s="1"/>
  <c r="AA312" i="2" a="1"/>
  <c r="AA312" i="2" s="1"/>
  <c r="AB312" i="2" a="1"/>
  <c r="AB312" i="2" s="1"/>
  <c r="AC312" i="2" a="1"/>
  <c r="AC312" i="2" s="1"/>
  <c r="AD312" i="2" a="1"/>
  <c r="AD312" i="2" s="1"/>
  <c r="AE312" i="2" a="1"/>
  <c r="AE312" i="2" s="1"/>
  <c r="AF312" i="2" a="1"/>
  <c r="AF312" i="2" s="1"/>
  <c r="AG312" i="2" a="1"/>
  <c r="AG312" i="2" s="1"/>
  <c r="AH312" i="2" a="1"/>
  <c r="AH312" i="2" s="1"/>
  <c r="AJ312" i="2" a="1"/>
  <c r="AJ312" i="2" s="1"/>
  <c r="AK312" i="2" s="1" a="1"/>
  <c r="AK312" i="2" s="1"/>
  <c r="AN312" i="2"/>
  <c r="W313" i="2" a="1"/>
  <c r="W313" i="2" s="1"/>
  <c r="X313" i="2" a="1"/>
  <c r="X313" i="2" s="1"/>
  <c r="Y313" i="2" a="1"/>
  <c r="Y313" i="2" s="1"/>
  <c r="Z313" i="2" a="1"/>
  <c r="Z313" i="2" s="1"/>
  <c r="AA313" i="2" a="1"/>
  <c r="AA313" i="2" s="1"/>
  <c r="AB313" i="2" a="1"/>
  <c r="AB313" i="2" s="1"/>
  <c r="AC313" i="2" a="1"/>
  <c r="AC313" i="2" s="1"/>
  <c r="AD313" i="2" a="1"/>
  <c r="AD313" i="2" s="1"/>
  <c r="AE313" i="2" a="1"/>
  <c r="AE313" i="2" s="1"/>
  <c r="AF313" i="2" a="1"/>
  <c r="AF313" i="2" s="1"/>
  <c r="AG313" i="2" a="1"/>
  <c r="AG313" i="2" s="1"/>
  <c r="AH313" i="2" a="1"/>
  <c r="AH313" i="2" s="1"/>
  <c r="AJ313" i="2" a="1"/>
  <c r="AJ313" i="2" s="1"/>
  <c r="AK313" i="2" s="1" a="1"/>
  <c r="AK313" i="2" s="1"/>
  <c r="AN313" i="2"/>
  <c r="W314" i="2" a="1"/>
  <c r="W314" i="2" s="1"/>
  <c r="X314" i="2" a="1"/>
  <c r="X314" i="2" s="1"/>
  <c r="Y314" i="2" a="1"/>
  <c r="Y314" i="2" s="1"/>
  <c r="Z314" i="2" a="1"/>
  <c r="Z314" i="2" s="1"/>
  <c r="AA314" i="2" a="1"/>
  <c r="AA314" i="2" s="1"/>
  <c r="AB314" i="2" a="1"/>
  <c r="AB314" i="2" s="1"/>
  <c r="AC314" i="2" a="1"/>
  <c r="AC314" i="2" s="1"/>
  <c r="AD314" i="2" a="1"/>
  <c r="AD314" i="2" s="1"/>
  <c r="AE314" i="2" a="1"/>
  <c r="AE314" i="2" s="1"/>
  <c r="AF314" i="2" a="1"/>
  <c r="AF314" i="2" s="1"/>
  <c r="AG314" i="2" a="1"/>
  <c r="AG314" i="2" s="1"/>
  <c r="AH314" i="2" a="1"/>
  <c r="AH314" i="2" s="1"/>
  <c r="AJ314" i="2" a="1"/>
  <c r="AJ314" i="2" s="1"/>
  <c r="AK314" i="2" s="1" a="1"/>
  <c r="AK314" i="2" s="1"/>
  <c r="AN314" i="2"/>
  <c r="W315" i="2" a="1"/>
  <c r="W315" i="2" s="1"/>
  <c r="X315" i="2" a="1"/>
  <c r="X315" i="2" s="1"/>
  <c r="Y315" i="2" a="1"/>
  <c r="Y315" i="2" s="1"/>
  <c r="Z315" i="2" a="1"/>
  <c r="Z315" i="2" s="1"/>
  <c r="AA315" i="2" a="1"/>
  <c r="AA315" i="2" s="1"/>
  <c r="AB315" i="2" a="1"/>
  <c r="AB315" i="2" s="1"/>
  <c r="AC315" i="2" a="1"/>
  <c r="AC315" i="2" s="1"/>
  <c r="AD315" i="2" a="1"/>
  <c r="AD315" i="2" s="1"/>
  <c r="AE315" i="2" a="1"/>
  <c r="AE315" i="2" s="1"/>
  <c r="AF315" i="2" a="1"/>
  <c r="AF315" i="2" s="1"/>
  <c r="AG315" i="2" a="1"/>
  <c r="AG315" i="2" s="1"/>
  <c r="AH315" i="2" a="1"/>
  <c r="AH315" i="2" s="1"/>
  <c r="AJ315" i="2" a="1"/>
  <c r="AJ315" i="2" s="1"/>
  <c r="AK315" i="2" s="1" a="1"/>
  <c r="AK315" i="2" s="1"/>
  <c r="AN315" i="2"/>
  <c r="W258" i="2" a="1"/>
  <c r="W258" i="2" s="1"/>
  <c r="X258" i="2" a="1"/>
  <c r="X258" i="2" s="1"/>
  <c r="Y258" i="2" a="1"/>
  <c r="Y258" i="2" s="1"/>
  <c r="Z258" i="2" a="1"/>
  <c r="Z258" i="2" s="1"/>
  <c r="AA258" i="2" a="1"/>
  <c r="AA258" i="2" s="1"/>
  <c r="AB258" i="2" a="1"/>
  <c r="AB258" i="2" s="1"/>
  <c r="AC258" i="2" a="1"/>
  <c r="AC258" i="2" s="1"/>
  <c r="AD258" i="2" a="1"/>
  <c r="AD258" i="2" s="1"/>
  <c r="AE258" i="2" a="1"/>
  <c r="AE258" i="2" s="1"/>
  <c r="AF258" i="2" a="1"/>
  <c r="AF258" i="2" s="1"/>
  <c r="AG258" i="2" a="1"/>
  <c r="AG258" i="2" s="1"/>
  <c r="AH258" i="2" a="1"/>
  <c r="AH258" i="2" s="1"/>
  <c r="AJ258" i="2" a="1"/>
  <c r="AJ258" i="2" s="1"/>
  <c r="AK258" i="2" s="1" a="1"/>
  <c r="AK258" i="2" s="1"/>
  <c r="AN258" i="2"/>
  <c r="W259" i="2" a="1"/>
  <c r="W259" i="2" s="1"/>
  <c r="X259" i="2" a="1"/>
  <c r="X259" i="2" s="1"/>
  <c r="Y259" i="2" a="1"/>
  <c r="Y259" i="2" s="1"/>
  <c r="Z259" i="2" a="1"/>
  <c r="Z259" i="2" s="1"/>
  <c r="AA259" i="2" a="1"/>
  <c r="AA259" i="2" s="1"/>
  <c r="AB259" i="2" a="1"/>
  <c r="AB259" i="2" s="1"/>
  <c r="AC259" i="2" a="1"/>
  <c r="AC259" i="2" s="1"/>
  <c r="AD259" i="2" a="1"/>
  <c r="AD259" i="2" s="1"/>
  <c r="AE259" i="2" a="1"/>
  <c r="AE259" i="2" s="1"/>
  <c r="AF259" i="2" a="1"/>
  <c r="AF259" i="2" s="1"/>
  <c r="AG259" i="2" a="1"/>
  <c r="AG259" i="2" s="1"/>
  <c r="AH259" i="2" a="1"/>
  <c r="AH259" i="2" s="1"/>
  <c r="AJ259" i="2" a="1"/>
  <c r="AJ259" i="2" s="1"/>
  <c r="AK259" i="2" s="1" a="1"/>
  <c r="AK259" i="2" s="1"/>
  <c r="AN259" i="2"/>
  <c r="W260" i="2" a="1"/>
  <c r="W260" i="2" s="1"/>
  <c r="X260" i="2" a="1"/>
  <c r="X260" i="2" s="1"/>
  <c r="Y260" i="2" a="1"/>
  <c r="Y260" i="2" s="1"/>
  <c r="Z260" i="2" a="1"/>
  <c r="Z260" i="2" s="1"/>
  <c r="AA260" i="2" a="1"/>
  <c r="AA260" i="2" s="1"/>
  <c r="AB260" i="2" a="1"/>
  <c r="AB260" i="2" s="1"/>
  <c r="AC260" i="2" a="1"/>
  <c r="AC260" i="2" s="1"/>
  <c r="AD260" i="2" a="1"/>
  <c r="AD260" i="2" s="1"/>
  <c r="AE260" i="2" a="1"/>
  <c r="AE260" i="2" s="1"/>
  <c r="AF260" i="2" a="1"/>
  <c r="AF260" i="2" s="1"/>
  <c r="AG260" i="2" a="1"/>
  <c r="AG260" i="2" s="1"/>
  <c r="AH260" i="2" a="1"/>
  <c r="AH260" i="2" s="1"/>
  <c r="AJ260" i="2" a="1"/>
  <c r="AJ260" i="2" s="1"/>
  <c r="AK260" i="2" s="1" a="1"/>
  <c r="AK260" i="2" s="1"/>
  <c r="AN260" i="2"/>
  <c r="W261" i="2" a="1"/>
  <c r="W261" i="2" s="1"/>
  <c r="X261" i="2" a="1"/>
  <c r="X261" i="2" s="1"/>
  <c r="Y261" i="2" a="1"/>
  <c r="Y261" i="2" s="1"/>
  <c r="Z261" i="2" a="1"/>
  <c r="Z261" i="2" s="1"/>
  <c r="AA261" i="2" a="1"/>
  <c r="AA261" i="2" s="1"/>
  <c r="AB261" i="2" a="1"/>
  <c r="AB261" i="2" s="1"/>
  <c r="AC261" i="2" a="1"/>
  <c r="AC261" i="2" s="1"/>
  <c r="AD261" i="2" a="1"/>
  <c r="AD261" i="2" s="1"/>
  <c r="AE261" i="2" a="1"/>
  <c r="AE261" i="2" s="1"/>
  <c r="AF261" i="2" a="1"/>
  <c r="AF261" i="2" s="1"/>
  <c r="AG261" i="2" a="1"/>
  <c r="AG261" i="2" s="1"/>
  <c r="AH261" i="2" a="1"/>
  <c r="AH261" i="2" s="1"/>
  <c r="AJ261" i="2" a="1"/>
  <c r="AJ261" i="2" s="1"/>
  <c r="AK261" i="2" s="1" a="1"/>
  <c r="AK261" i="2" s="1"/>
  <c r="AN261" i="2"/>
  <c r="W262" i="2" a="1"/>
  <c r="W262" i="2" s="1"/>
  <c r="X262" i="2" a="1"/>
  <c r="X262" i="2" s="1"/>
  <c r="Y262" i="2" a="1"/>
  <c r="Y262" i="2" s="1"/>
  <c r="Z262" i="2" a="1"/>
  <c r="Z262" i="2" s="1"/>
  <c r="AA262" i="2" a="1"/>
  <c r="AA262" i="2" s="1"/>
  <c r="AB262" i="2" a="1"/>
  <c r="AB262" i="2" s="1"/>
  <c r="AC262" i="2" a="1"/>
  <c r="AC262" i="2" s="1"/>
  <c r="AD262" i="2" a="1"/>
  <c r="AD262" i="2" s="1"/>
  <c r="AE262" i="2" a="1"/>
  <c r="AE262" i="2" s="1"/>
  <c r="AF262" i="2" a="1"/>
  <c r="AF262" i="2" s="1"/>
  <c r="AG262" i="2" a="1"/>
  <c r="AG262" i="2" s="1"/>
  <c r="AH262" i="2" a="1"/>
  <c r="AH262" i="2" s="1"/>
  <c r="AJ262" i="2" a="1"/>
  <c r="AJ262" i="2" s="1"/>
  <c r="AK262" i="2" s="1" a="1"/>
  <c r="AK262" i="2" s="1"/>
  <c r="AN262" i="2"/>
  <c r="W263" i="2" a="1"/>
  <c r="W263" i="2" s="1"/>
  <c r="X263" i="2" a="1"/>
  <c r="X263" i="2" s="1"/>
  <c r="Y263" i="2" a="1"/>
  <c r="Y263" i="2" s="1"/>
  <c r="Z263" i="2" a="1"/>
  <c r="Z263" i="2" s="1"/>
  <c r="AA263" i="2" a="1"/>
  <c r="AA263" i="2" s="1"/>
  <c r="AB263" i="2" a="1"/>
  <c r="AB263" i="2" s="1"/>
  <c r="AC263" i="2" a="1"/>
  <c r="AC263" i="2" s="1"/>
  <c r="AD263" i="2" a="1"/>
  <c r="AD263" i="2" s="1"/>
  <c r="AE263" i="2" a="1"/>
  <c r="AE263" i="2" s="1"/>
  <c r="AF263" i="2" a="1"/>
  <c r="AF263" i="2" s="1"/>
  <c r="AG263" i="2" a="1"/>
  <c r="AG263" i="2" s="1"/>
  <c r="AH263" i="2" a="1"/>
  <c r="AH263" i="2" s="1"/>
  <c r="AJ263" i="2" a="1"/>
  <c r="AJ263" i="2" s="1"/>
  <c r="AK263" i="2" s="1" a="1"/>
  <c r="AK263" i="2" s="1"/>
  <c r="AN263" i="2"/>
  <c r="W264" i="2" a="1"/>
  <c r="W264" i="2" s="1"/>
  <c r="X264" i="2" a="1"/>
  <c r="X264" i="2" s="1"/>
  <c r="Y264" i="2" a="1"/>
  <c r="Y264" i="2" s="1"/>
  <c r="Z264" i="2" a="1"/>
  <c r="Z264" i="2" s="1"/>
  <c r="AA264" i="2" a="1"/>
  <c r="AA264" i="2" s="1"/>
  <c r="AB264" i="2" a="1"/>
  <c r="AB264" i="2" s="1"/>
  <c r="AC264" i="2" a="1"/>
  <c r="AC264" i="2" s="1"/>
  <c r="AD264" i="2" a="1"/>
  <c r="AD264" i="2" s="1"/>
  <c r="AE264" i="2" a="1"/>
  <c r="AE264" i="2" s="1"/>
  <c r="AF264" i="2" a="1"/>
  <c r="AF264" i="2" s="1"/>
  <c r="AG264" i="2" a="1"/>
  <c r="AG264" i="2" s="1"/>
  <c r="AH264" i="2" a="1"/>
  <c r="AH264" i="2" s="1"/>
  <c r="AJ264" i="2" a="1"/>
  <c r="AJ264" i="2" s="1"/>
  <c r="AK264" i="2" s="1" a="1"/>
  <c r="AK264" i="2" s="1"/>
  <c r="AN264" i="2"/>
  <c r="W265" i="2" a="1"/>
  <c r="W265" i="2" s="1"/>
  <c r="X265" i="2" a="1"/>
  <c r="X265" i="2" s="1"/>
  <c r="Y265" i="2" a="1"/>
  <c r="Y265" i="2" s="1"/>
  <c r="Z265" i="2" a="1"/>
  <c r="Z265" i="2" s="1"/>
  <c r="AA265" i="2" a="1"/>
  <c r="AA265" i="2" s="1"/>
  <c r="AB265" i="2" a="1"/>
  <c r="AB265" i="2" s="1"/>
  <c r="AC265" i="2" a="1"/>
  <c r="AC265" i="2" s="1"/>
  <c r="AD265" i="2" a="1"/>
  <c r="AD265" i="2" s="1"/>
  <c r="AE265" i="2" a="1"/>
  <c r="AE265" i="2" s="1"/>
  <c r="AF265" i="2" a="1"/>
  <c r="AF265" i="2" s="1"/>
  <c r="AG265" i="2" a="1"/>
  <c r="AG265" i="2" s="1"/>
  <c r="AH265" i="2" a="1"/>
  <c r="AH265" i="2" s="1"/>
  <c r="AJ265" i="2" a="1"/>
  <c r="AJ265" i="2" s="1"/>
  <c r="AK265" i="2" s="1" a="1"/>
  <c r="AK265" i="2" s="1"/>
  <c r="AN265" i="2"/>
  <c r="W266" i="2" a="1"/>
  <c r="W266" i="2" s="1"/>
  <c r="X266" i="2" a="1"/>
  <c r="X266" i="2" s="1"/>
  <c r="Y266" i="2" a="1"/>
  <c r="Y266" i="2" s="1"/>
  <c r="Z266" i="2" a="1"/>
  <c r="Z266" i="2" s="1"/>
  <c r="AA266" i="2" a="1"/>
  <c r="AA266" i="2" s="1"/>
  <c r="AB266" i="2" a="1"/>
  <c r="AB266" i="2" s="1"/>
  <c r="AC266" i="2" a="1"/>
  <c r="AC266" i="2" s="1"/>
  <c r="AD266" i="2" a="1"/>
  <c r="AD266" i="2" s="1"/>
  <c r="AE266" i="2" a="1"/>
  <c r="AE266" i="2" s="1"/>
  <c r="AF266" i="2" a="1"/>
  <c r="AF266" i="2" s="1"/>
  <c r="AG266" i="2" a="1"/>
  <c r="AG266" i="2" s="1"/>
  <c r="AH266" i="2" a="1"/>
  <c r="AH266" i="2" s="1"/>
  <c r="AJ266" i="2" a="1"/>
  <c r="AJ266" i="2" s="1"/>
  <c r="AK266" i="2" s="1" a="1"/>
  <c r="AK266" i="2" s="1"/>
  <c r="AN266" i="2"/>
  <c r="W267" i="2" a="1"/>
  <c r="W267" i="2" s="1"/>
  <c r="X267" i="2" a="1"/>
  <c r="X267" i="2" s="1"/>
  <c r="Y267" i="2" a="1"/>
  <c r="Y267" i="2" s="1"/>
  <c r="Z267" i="2" a="1"/>
  <c r="Z267" i="2" s="1"/>
  <c r="AA267" i="2" a="1"/>
  <c r="AA267" i="2" s="1"/>
  <c r="AB267" i="2" a="1"/>
  <c r="AB267" i="2" s="1"/>
  <c r="AC267" i="2" a="1"/>
  <c r="AC267" i="2" s="1"/>
  <c r="AD267" i="2" a="1"/>
  <c r="AD267" i="2" s="1"/>
  <c r="AE267" i="2" a="1"/>
  <c r="AE267" i="2" s="1"/>
  <c r="AF267" i="2" a="1"/>
  <c r="AF267" i="2" s="1"/>
  <c r="AG267" i="2" a="1"/>
  <c r="AG267" i="2" s="1"/>
  <c r="AH267" i="2" a="1"/>
  <c r="AH267" i="2" s="1"/>
  <c r="AJ267" i="2" a="1"/>
  <c r="AJ267" i="2" s="1"/>
  <c r="AK267" i="2" s="1" a="1"/>
  <c r="AK267" i="2" s="1"/>
  <c r="AN267" i="2"/>
  <c r="W268" i="2" a="1"/>
  <c r="W268" i="2" s="1"/>
  <c r="X268" i="2" a="1"/>
  <c r="X268" i="2" s="1"/>
  <c r="Y268" i="2" a="1"/>
  <c r="Y268" i="2" s="1"/>
  <c r="Z268" i="2" a="1"/>
  <c r="Z268" i="2" s="1"/>
  <c r="AA268" i="2" a="1"/>
  <c r="AA268" i="2" s="1"/>
  <c r="AB268" i="2" a="1"/>
  <c r="AB268" i="2" s="1"/>
  <c r="AC268" i="2" a="1"/>
  <c r="AC268" i="2" s="1"/>
  <c r="AD268" i="2" a="1"/>
  <c r="AD268" i="2" s="1"/>
  <c r="AE268" i="2" a="1"/>
  <c r="AE268" i="2" s="1"/>
  <c r="AF268" i="2" a="1"/>
  <c r="AF268" i="2" s="1"/>
  <c r="AG268" i="2" a="1"/>
  <c r="AG268" i="2" s="1"/>
  <c r="AH268" i="2" a="1"/>
  <c r="AH268" i="2" s="1"/>
  <c r="AJ268" i="2" a="1"/>
  <c r="AJ268" i="2" s="1"/>
  <c r="AK268" i="2" s="1" a="1"/>
  <c r="AK268" i="2" s="1"/>
  <c r="AN268" i="2"/>
  <c r="W269" i="2" a="1"/>
  <c r="W269" i="2" s="1"/>
  <c r="X269" i="2" a="1"/>
  <c r="X269" i="2" s="1"/>
  <c r="Y269" i="2" a="1"/>
  <c r="Y269" i="2" s="1"/>
  <c r="Z269" i="2" a="1"/>
  <c r="Z269" i="2" s="1"/>
  <c r="AA269" i="2" a="1"/>
  <c r="AA269" i="2" s="1"/>
  <c r="AB269" i="2" a="1"/>
  <c r="AB269" i="2" s="1"/>
  <c r="AC269" i="2" a="1"/>
  <c r="AC269" i="2" s="1"/>
  <c r="AD269" i="2" a="1"/>
  <c r="AD269" i="2" s="1"/>
  <c r="AE269" i="2" a="1"/>
  <c r="AE269" i="2" s="1"/>
  <c r="AF269" i="2" a="1"/>
  <c r="AF269" i="2" s="1"/>
  <c r="AG269" i="2" a="1"/>
  <c r="AG269" i="2" s="1"/>
  <c r="AH269" i="2" a="1"/>
  <c r="AH269" i="2" s="1"/>
  <c r="AJ269" i="2" a="1"/>
  <c r="AJ269" i="2" s="1"/>
  <c r="AK269" i="2" s="1" a="1"/>
  <c r="AK269" i="2" s="1"/>
  <c r="AN269" i="2"/>
  <c r="W270" i="2" a="1"/>
  <c r="W270" i="2" s="1"/>
  <c r="X270" i="2" a="1"/>
  <c r="X270" i="2" s="1"/>
  <c r="Y270" i="2" a="1"/>
  <c r="Y270" i="2" s="1"/>
  <c r="Z270" i="2" a="1"/>
  <c r="Z270" i="2" s="1"/>
  <c r="AA270" i="2" a="1"/>
  <c r="AA270" i="2" s="1"/>
  <c r="AB270" i="2" a="1"/>
  <c r="AB270" i="2" s="1"/>
  <c r="AC270" i="2" a="1"/>
  <c r="AC270" i="2" s="1"/>
  <c r="AD270" i="2" a="1"/>
  <c r="AD270" i="2" s="1"/>
  <c r="AE270" i="2" a="1"/>
  <c r="AE270" i="2" s="1"/>
  <c r="AF270" i="2" a="1"/>
  <c r="AF270" i="2" s="1"/>
  <c r="AG270" i="2" a="1"/>
  <c r="AG270" i="2" s="1"/>
  <c r="AH270" i="2" a="1"/>
  <c r="AH270" i="2" s="1"/>
  <c r="AJ270" i="2" a="1"/>
  <c r="AJ270" i="2" s="1"/>
  <c r="AK270" i="2" s="1" a="1"/>
  <c r="AK270" i="2" s="1"/>
  <c r="AN270" i="2"/>
  <c r="W271" i="2" a="1"/>
  <c r="W271" i="2" s="1"/>
  <c r="X271" i="2" a="1"/>
  <c r="X271" i="2" s="1"/>
  <c r="Y271" i="2" a="1"/>
  <c r="Y271" i="2" s="1"/>
  <c r="Z271" i="2" a="1"/>
  <c r="Z271" i="2" s="1"/>
  <c r="AA271" i="2" a="1"/>
  <c r="AA271" i="2" s="1"/>
  <c r="AB271" i="2" a="1"/>
  <c r="AB271" i="2" s="1"/>
  <c r="AC271" i="2" a="1"/>
  <c r="AC271" i="2" s="1"/>
  <c r="AD271" i="2" a="1"/>
  <c r="AD271" i="2" s="1"/>
  <c r="AE271" i="2" a="1"/>
  <c r="AE271" i="2" s="1"/>
  <c r="AF271" i="2" a="1"/>
  <c r="AF271" i="2" s="1"/>
  <c r="AG271" i="2" a="1"/>
  <c r="AG271" i="2" s="1"/>
  <c r="AH271" i="2" a="1"/>
  <c r="AH271" i="2" s="1"/>
  <c r="AJ271" i="2" a="1"/>
  <c r="AJ271" i="2" s="1"/>
  <c r="AK271" i="2" s="1" a="1"/>
  <c r="AK271" i="2" s="1"/>
  <c r="AN271" i="2"/>
  <c r="W272" i="2" a="1"/>
  <c r="W272" i="2" s="1"/>
  <c r="X272" i="2" a="1"/>
  <c r="X272" i="2" s="1"/>
  <c r="Y272" i="2" a="1"/>
  <c r="Y272" i="2" s="1"/>
  <c r="Z272" i="2" a="1"/>
  <c r="Z272" i="2" s="1"/>
  <c r="AA272" i="2" a="1"/>
  <c r="AA272" i="2" s="1"/>
  <c r="AB272" i="2" a="1"/>
  <c r="AB272" i="2" s="1"/>
  <c r="AC272" i="2" a="1"/>
  <c r="AC272" i="2" s="1"/>
  <c r="AD272" i="2" a="1"/>
  <c r="AD272" i="2" s="1"/>
  <c r="AE272" i="2" a="1"/>
  <c r="AE272" i="2" s="1"/>
  <c r="AF272" i="2" a="1"/>
  <c r="AF272" i="2" s="1"/>
  <c r="AG272" i="2" a="1"/>
  <c r="AG272" i="2" s="1"/>
  <c r="AH272" i="2" a="1"/>
  <c r="AH272" i="2" s="1"/>
  <c r="AJ272" i="2" a="1"/>
  <c r="AJ272" i="2" s="1"/>
  <c r="AK272" i="2" s="1" a="1"/>
  <c r="AK272" i="2" s="1"/>
  <c r="AN272" i="2"/>
  <c r="W273" i="2" a="1"/>
  <c r="W273" i="2" s="1"/>
  <c r="X273" i="2" a="1"/>
  <c r="X273" i="2" s="1"/>
  <c r="Y273" i="2" a="1"/>
  <c r="Y273" i="2" s="1"/>
  <c r="Z273" i="2" a="1"/>
  <c r="Z273" i="2" s="1"/>
  <c r="AA273" i="2" a="1"/>
  <c r="AA273" i="2" s="1"/>
  <c r="AB273" i="2" a="1"/>
  <c r="AB273" i="2" s="1"/>
  <c r="AC273" i="2" a="1"/>
  <c r="AC273" i="2" s="1"/>
  <c r="AD273" i="2" a="1"/>
  <c r="AD273" i="2" s="1"/>
  <c r="AE273" i="2" a="1"/>
  <c r="AE273" i="2" s="1"/>
  <c r="AF273" i="2" a="1"/>
  <c r="AF273" i="2" s="1"/>
  <c r="AG273" i="2" a="1"/>
  <c r="AG273" i="2" s="1"/>
  <c r="AH273" i="2" a="1"/>
  <c r="AH273" i="2" s="1"/>
  <c r="AJ273" i="2" a="1"/>
  <c r="AJ273" i="2" s="1"/>
  <c r="AK273" i="2" s="1" a="1"/>
  <c r="AK273" i="2" s="1"/>
  <c r="AN273" i="2"/>
  <c r="W274" i="2" a="1"/>
  <c r="W274" i="2" s="1"/>
  <c r="X274" i="2" a="1"/>
  <c r="X274" i="2" s="1"/>
  <c r="Y274" i="2" a="1"/>
  <c r="Y274" i="2" s="1"/>
  <c r="Z274" i="2" a="1"/>
  <c r="Z274" i="2" s="1"/>
  <c r="AA274" i="2" a="1"/>
  <c r="AA274" i="2" s="1"/>
  <c r="AB274" i="2" a="1"/>
  <c r="AB274" i="2" s="1"/>
  <c r="AC274" i="2" a="1"/>
  <c r="AC274" i="2" s="1"/>
  <c r="AD274" i="2" a="1"/>
  <c r="AD274" i="2" s="1"/>
  <c r="AE274" i="2" a="1"/>
  <c r="AE274" i="2" s="1"/>
  <c r="AF274" i="2" a="1"/>
  <c r="AF274" i="2" s="1"/>
  <c r="AG274" i="2" a="1"/>
  <c r="AG274" i="2" s="1"/>
  <c r="AH274" i="2" a="1"/>
  <c r="AH274" i="2" s="1"/>
  <c r="AJ274" i="2" a="1"/>
  <c r="AJ274" i="2" s="1"/>
  <c r="AK274" i="2" s="1" a="1"/>
  <c r="AK274" i="2" s="1"/>
  <c r="AN274" i="2"/>
  <c r="W275" i="2" a="1"/>
  <c r="W275" i="2" s="1"/>
  <c r="X275" i="2" a="1"/>
  <c r="X275" i="2" s="1"/>
  <c r="Y275" i="2" a="1"/>
  <c r="Y275" i="2" s="1"/>
  <c r="Z275" i="2" a="1"/>
  <c r="Z275" i="2" s="1"/>
  <c r="AA275" i="2" a="1"/>
  <c r="AA275" i="2" s="1"/>
  <c r="AB275" i="2" a="1"/>
  <c r="AB275" i="2" s="1"/>
  <c r="AC275" i="2" a="1"/>
  <c r="AC275" i="2" s="1"/>
  <c r="AD275" i="2" a="1"/>
  <c r="AD275" i="2" s="1"/>
  <c r="AE275" i="2" a="1"/>
  <c r="AE275" i="2" s="1"/>
  <c r="AF275" i="2" a="1"/>
  <c r="AF275" i="2" s="1"/>
  <c r="AG275" i="2" a="1"/>
  <c r="AG275" i="2" s="1"/>
  <c r="AH275" i="2" a="1"/>
  <c r="AH275" i="2" s="1"/>
  <c r="AJ275" i="2" a="1"/>
  <c r="AJ275" i="2" s="1"/>
  <c r="AK275" i="2" s="1" a="1"/>
  <c r="AK275" i="2" s="1"/>
  <c r="AN275" i="2"/>
  <c r="W276" i="2" a="1"/>
  <c r="W276" i="2" s="1"/>
  <c r="X276" i="2" a="1"/>
  <c r="X276" i="2" s="1"/>
  <c r="Y276" i="2" a="1"/>
  <c r="Y276" i="2" s="1"/>
  <c r="Z276" i="2" a="1"/>
  <c r="Z276" i="2" s="1"/>
  <c r="AA276" i="2" a="1"/>
  <c r="AA276" i="2" s="1"/>
  <c r="AB276" i="2" a="1"/>
  <c r="AB276" i="2" s="1"/>
  <c r="AC276" i="2" a="1"/>
  <c r="AC276" i="2" s="1"/>
  <c r="AD276" i="2" a="1"/>
  <c r="AD276" i="2" s="1"/>
  <c r="AE276" i="2" a="1"/>
  <c r="AE276" i="2" s="1"/>
  <c r="AF276" i="2" a="1"/>
  <c r="AF276" i="2" s="1"/>
  <c r="AG276" i="2" a="1"/>
  <c r="AG276" i="2" s="1"/>
  <c r="AH276" i="2" a="1"/>
  <c r="AH276" i="2" s="1"/>
  <c r="AJ276" i="2" a="1"/>
  <c r="AJ276" i="2" s="1"/>
  <c r="AK276" i="2" s="1" a="1"/>
  <c r="AK276" i="2" s="1"/>
  <c r="AN276" i="2"/>
  <c r="W277" i="2" a="1"/>
  <c r="W277" i="2" s="1"/>
  <c r="X277" i="2" a="1"/>
  <c r="X277" i="2" s="1"/>
  <c r="Y277" i="2" a="1"/>
  <c r="Y277" i="2" s="1"/>
  <c r="Z277" i="2" a="1"/>
  <c r="Z277" i="2" s="1"/>
  <c r="AA277" i="2" a="1"/>
  <c r="AA277" i="2" s="1"/>
  <c r="AB277" i="2" a="1"/>
  <c r="AB277" i="2" s="1"/>
  <c r="AC277" i="2" a="1"/>
  <c r="AC277" i="2" s="1"/>
  <c r="AD277" i="2" a="1"/>
  <c r="AD277" i="2" s="1"/>
  <c r="AE277" i="2" a="1"/>
  <c r="AE277" i="2" s="1"/>
  <c r="AF277" i="2" a="1"/>
  <c r="AF277" i="2" s="1"/>
  <c r="AG277" i="2" a="1"/>
  <c r="AG277" i="2" s="1"/>
  <c r="AH277" i="2" a="1"/>
  <c r="AH277" i="2" s="1"/>
  <c r="AJ277" i="2" a="1"/>
  <c r="AJ277" i="2" s="1"/>
  <c r="AK277" i="2" s="1" a="1"/>
  <c r="AK277" i="2" s="1"/>
  <c r="AN277" i="2"/>
  <c r="W278" i="2" a="1"/>
  <c r="W278" i="2" s="1"/>
  <c r="X278" i="2" a="1"/>
  <c r="X278" i="2" s="1"/>
  <c r="Y278" i="2" a="1"/>
  <c r="Y278" i="2" s="1"/>
  <c r="Z278" i="2" a="1"/>
  <c r="Z278" i="2" s="1"/>
  <c r="AA278" i="2" a="1"/>
  <c r="AA278" i="2" s="1"/>
  <c r="AB278" i="2" a="1"/>
  <c r="AB278" i="2" s="1"/>
  <c r="AC278" i="2" a="1"/>
  <c r="AC278" i="2" s="1"/>
  <c r="AD278" i="2" a="1"/>
  <c r="AD278" i="2" s="1"/>
  <c r="AE278" i="2" a="1"/>
  <c r="AE278" i="2" s="1"/>
  <c r="AF278" i="2" a="1"/>
  <c r="AF278" i="2" s="1"/>
  <c r="AG278" i="2" a="1"/>
  <c r="AG278" i="2" s="1"/>
  <c r="AH278" i="2" a="1"/>
  <c r="AH278" i="2" s="1"/>
  <c r="AJ278" i="2" a="1"/>
  <c r="AJ278" i="2" s="1"/>
  <c r="AK278" i="2" s="1" a="1"/>
  <c r="AK278" i="2" s="1"/>
  <c r="AN278" i="2"/>
  <c r="W279" i="2" a="1"/>
  <c r="W279" i="2" s="1"/>
  <c r="X279" i="2" a="1"/>
  <c r="X279" i="2" s="1"/>
  <c r="Y279" i="2" a="1"/>
  <c r="Y279" i="2" s="1"/>
  <c r="Z279" i="2" a="1"/>
  <c r="Z279" i="2" s="1"/>
  <c r="AA279" i="2" a="1"/>
  <c r="AA279" i="2" s="1"/>
  <c r="AB279" i="2" a="1"/>
  <c r="AB279" i="2" s="1"/>
  <c r="AC279" i="2" a="1"/>
  <c r="AC279" i="2" s="1"/>
  <c r="AD279" i="2" a="1"/>
  <c r="AD279" i="2" s="1"/>
  <c r="AE279" i="2" a="1"/>
  <c r="AE279" i="2" s="1"/>
  <c r="AF279" i="2" a="1"/>
  <c r="AF279" i="2" s="1"/>
  <c r="AG279" i="2" a="1"/>
  <c r="AG279" i="2" s="1"/>
  <c r="AH279" i="2" a="1"/>
  <c r="AH279" i="2" s="1"/>
  <c r="AJ279" i="2" a="1"/>
  <c r="AJ279" i="2" s="1"/>
  <c r="AK279" i="2" s="1" a="1"/>
  <c r="AK279" i="2" s="1"/>
  <c r="AN279" i="2"/>
  <c r="W280" i="2" a="1"/>
  <c r="W280" i="2" s="1"/>
  <c r="X280" i="2" a="1"/>
  <c r="X280" i="2" s="1"/>
  <c r="Y280" i="2" a="1"/>
  <c r="Y280" i="2" s="1"/>
  <c r="Z280" i="2" a="1"/>
  <c r="Z280" i="2" s="1"/>
  <c r="AA280" i="2" a="1"/>
  <c r="AA280" i="2" s="1"/>
  <c r="AB280" i="2" a="1"/>
  <c r="AB280" i="2" s="1"/>
  <c r="AC280" i="2" a="1"/>
  <c r="AC280" i="2" s="1"/>
  <c r="AD280" i="2" a="1"/>
  <c r="AD280" i="2" s="1"/>
  <c r="AE280" i="2" a="1"/>
  <c r="AE280" i="2" s="1"/>
  <c r="AF280" i="2" a="1"/>
  <c r="AF280" i="2" s="1"/>
  <c r="AG280" i="2" a="1"/>
  <c r="AG280" i="2" s="1"/>
  <c r="AH280" i="2" a="1"/>
  <c r="AH280" i="2" s="1"/>
  <c r="AJ280" i="2" a="1"/>
  <c r="AJ280" i="2" s="1"/>
  <c r="AK280" i="2" s="1" a="1"/>
  <c r="AK280" i="2" s="1"/>
  <c r="AN280" i="2"/>
  <c r="W281" i="2" a="1"/>
  <c r="W281" i="2" s="1"/>
  <c r="X281" i="2" a="1"/>
  <c r="X281" i="2" s="1"/>
  <c r="Y281" i="2" a="1"/>
  <c r="Y281" i="2" s="1"/>
  <c r="Z281" i="2" a="1"/>
  <c r="Z281" i="2" s="1"/>
  <c r="AA281" i="2" a="1"/>
  <c r="AA281" i="2" s="1"/>
  <c r="AB281" i="2" a="1"/>
  <c r="AB281" i="2" s="1"/>
  <c r="AC281" i="2" a="1"/>
  <c r="AC281" i="2" s="1"/>
  <c r="AD281" i="2" a="1"/>
  <c r="AD281" i="2" s="1"/>
  <c r="AE281" i="2" a="1"/>
  <c r="AE281" i="2" s="1"/>
  <c r="AF281" i="2" a="1"/>
  <c r="AF281" i="2" s="1"/>
  <c r="AG281" i="2" a="1"/>
  <c r="AG281" i="2" s="1"/>
  <c r="AH281" i="2" a="1"/>
  <c r="AH281" i="2" s="1"/>
  <c r="AJ281" i="2" a="1"/>
  <c r="AJ281" i="2" s="1"/>
  <c r="AK281" i="2" s="1" a="1"/>
  <c r="AK281" i="2" s="1"/>
  <c r="AN281" i="2"/>
  <c r="W282" i="2" a="1"/>
  <c r="W282" i="2" s="1"/>
  <c r="X282" i="2" a="1"/>
  <c r="X282" i="2" s="1"/>
  <c r="Y282" i="2" a="1"/>
  <c r="Y282" i="2" s="1"/>
  <c r="Z282" i="2" a="1"/>
  <c r="Z282" i="2" s="1"/>
  <c r="AA282" i="2" a="1"/>
  <c r="AA282" i="2" s="1"/>
  <c r="AB282" i="2" a="1"/>
  <c r="AB282" i="2" s="1"/>
  <c r="AC282" i="2" a="1"/>
  <c r="AC282" i="2" s="1"/>
  <c r="AD282" i="2" a="1"/>
  <c r="AD282" i="2" s="1"/>
  <c r="AE282" i="2" a="1"/>
  <c r="AE282" i="2" s="1"/>
  <c r="AF282" i="2" a="1"/>
  <c r="AF282" i="2" s="1"/>
  <c r="AG282" i="2" a="1"/>
  <c r="AG282" i="2" s="1"/>
  <c r="AH282" i="2" a="1"/>
  <c r="AH282" i="2" s="1"/>
  <c r="AJ282" i="2" a="1"/>
  <c r="AJ282" i="2" s="1"/>
  <c r="AK282" i="2" s="1" a="1"/>
  <c r="AK282" i="2" s="1"/>
  <c r="AN282" i="2"/>
  <c r="W283" i="2" a="1"/>
  <c r="W283" i="2" s="1"/>
  <c r="X283" i="2" a="1"/>
  <c r="X283" i="2" s="1"/>
  <c r="Y283" i="2" a="1"/>
  <c r="Y283" i="2" s="1"/>
  <c r="Z283" i="2" a="1"/>
  <c r="Z283" i="2" s="1"/>
  <c r="AA283" i="2" a="1"/>
  <c r="AA283" i="2" s="1"/>
  <c r="AB283" i="2" a="1"/>
  <c r="AB283" i="2" s="1"/>
  <c r="AC283" i="2" a="1"/>
  <c r="AC283" i="2" s="1"/>
  <c r="AD283" i="2" a="1"/>
  <c r="AD283" i="2" s="1"/>
  <c r="AE283" i="2" a="1"/>
  <c r="AE283" i="2" s="1"/>
  <c r="AF283" i="2" a="1"/>
  <c r="AF283" i="2" s="1"/>
  <c r="AG283" i="2" a="1"/>
  <c r="AG283" i="2" s="1"/>
  <c r="AH283" i="2" a="1"/>
  <c r="AH283" i="2" s="1"/>
  <c r="AJ283" i="2" a="1"/>
  <c r="AJ283" i="2" s="1"/>
  <c r="AK283" i="2" s="1" a="1"/>
  <c r="AK283" i="2" s="1"/>
  <c r="AN283" i="2"/>
  <c r="W284" i="2" a="1"/>
  <c r="W284" i="2" s="1"/>
  <c r="X284" i="2" a="1"/>
  <c r="X284" i="2" s="1"/>
  <c r="Y284" i="2" a="1"/>
  <c r="Y284" i="2" s="1"/>
  <c r="Z284" i="2" a="1"/>
  <c r="Z284" i="2" s="1"/>
  <c r="AA284" i="2" a="1"/>
  <c r="AA284" i="2" s="1"/>
  <c r="AB284" i="2" a="1"/>
  <c r="AB284" i="2" s="1"/>
  <c r="AC284" i="2" a="1"/>
  <c r="AC284" i="2" s="1"/>
  <c r="AD284" i="2" a="1"/>
  <c r="AD284" i="2" s="1"/>
  <c r="AE284" i="2" a="1"/>
  <c r="AE284" i="2" s="1"/>
  <c r="AF284" i="2" a="1"/>
  <c r="AF284" i="2" s="1"/>
  <c r="AG284" i="2" a="1"/>
  <c r="AG284" i="2" s="1"/>
  <c r="AH284" i="2" a="1"/>
  <c r="AH284" i="2" s="1"/>
  <c r="AJ284" i="2" a="1"/>
  <c r="AJ284" i="2" s="1"/>
  <c r="AK284" i="2" s="1" a="1"/>
  <c r="AK284" i="2" s="1"/>
  <c r="AN284" i="2"/>
  <c r="W285" i="2" a="1"/>
  <c r="W285" i="2" s="1"/>
  <c r="X285" i="2" a="1"/>
  <c r="X285" i="2" s="1"/>
  <c r="Y285" i="2" a="1"/>
  <c r="Y285" i="2" s="1"/>
  <c r="Z285" i="2" a="1"/>
  <c r="Z285" i="2" s="1"/>
  <c r="AA285" i="2" a="1"/>
  <c r="AA285" i="2" s="1"/>
  <c r="AB285" i="2" a="1"/>
  <c r="AB285" i="2" s="1"/>
  <c r="AC285" i="2" a="1"/>
  <c r="AC285" i="2" s="1"/>
  <c r="AD285" i="2" a="1"/>
  <c r="AD285" i="2" s="1"/>
  <c r="AE285" i="2" a="1"/>
  <c r="AE285" i="2" s="1"/>
  <c r="AF285" i="2" a="1"/>
  <c r="AF285" i="2" s="1"/>
  <c r="AG285" i="2" a="1"/>
  <c r="AG285" i="2" s="1"/>
  <c r="AH285" i="2" a="1"/>
  <c r="AH285" i="2" s="1"/>
  <c r="AJ285" i="2" a="1"/>
  <c r="AJ285" i="2" s="1"/>
  <c r="AK285" i="2" s="1" a="1"/>
  <c r="AK285" i="2" s="1"/>
  <c r="AN285" i="2"/>
  <c r="W286" i="2" a="1"/>
  <c r="W286" i="2" s="1"/>
  <c r="X286" i="2" a="1"/>
  <c r="X286" i="2" s="1"/>
  <c r="Y286" i="2" a="1"/>
  <c r="Y286" i="2" s="1"/>
  <c r="Z286" i="2" a="1"/>
  <c r="Z286" i="2" s="1"/>
  <c r="AA286" i="2" a="1"/>
  <c r="AA286" i="2" s="1"/>
  <c r="AB286" i="2" a="1"/>
  <c r="AB286" i="2" s="1"/>
  <c r="AC286" i="2" a="1"/>
  <c r="AC286" i="2" s="1"/>
  <c r="AD286" i="2" a="1"/>
  <c r="AD286" i="2" s="1"/>
  <c r="AE286" i="2" a="1"/>
  <c r="AE286" i="2" s="1"/>
  <c r="AF286" i="2" a="1"/>
  <c r="AF286" i="2" s="1"/>
  <c r="AG286" i="2" a="1"/>
  <c r="AG286" i="2" s="1"/>
  <c r="AH286" i="2" a="1"/>
  <c r="AH286" i="2" s="1"/>
  <c r="AJ286" i="2" a="1"/>
  <c r="AJ286" i="2" s="1"/>
  <c r="AK286" i="2" s="1" a="1"/>
  <c r="AK286" i="2" s="1"/>
  <c r="AN286" i="2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J210" i="2" a="1"/>
  <c r="AJ210" i="2" s="1"/>
  <c r="AK210" i="2" s="1" a="1"/>
  <c r="AK210" i="2" s="1"/>
  <c r="AN210" i="2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J211" i="2" a="1"/>
  <c r="AJ211" i="2" s="1"/>
  <c r="AK211" i="2" s="1" a="1"/>
  <c r="AK211" i="2" s="1"/>
  <c r="AN211" i="2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J212" i="2" a="1"/>
  <c r="AJ212" i="2" s="1"/>
  <c r="AK212" i="2" s="1" a="1"/>
  <c r="AK212" i="2" s="1"/>
  <c r="AN212" i="2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J213" i="2" a="1"/>
  <c r="AJ213" i="2" s="1"/>
  <c r="AK213" i="2" s="1" a="1"/>
  <c r="AK213" i="2" s="1"/>
  <c r="AN213" i="2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J214" i="2" a="1"/>
  <c r="AJ214" i="2" s="1"/>
  <c r="AK214" i="2" s="1" a="1"/>
  <c r="AK214" i="2" s="1"/>
  <c r="AN214" i="2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J215" i="2" a="1"/>
  <c r="AJ215" i="2" s="1"/>
  <c r="AK215" i="2" s="1" a="1"/>
  <c r="AK215" i="2" s="1"/>
  <c r="AN215" i="2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J216" i="2" a="1"/>
  <c r="AJ216" i="2" s="1"/>
  <c r="AK216" i="2" s="1" a="1"/>
  <c r="AK216" i="2" s="1"/>
  <c r="AN216" i="2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J217" i="2" a="1"/>
  <c r="AJ217" i="2" s="1"/>
  <c r="AK217" i="2" s="1" a="1"/>
  <c r="AK217" i="2" s="1"/>
  <c r="AN217" i="2"/>
  <c r="W218" i="2" a="1"/>
  <c r="W218" i="2" s="1"/>
  <c r="X218" i="2" a="1"/>
  <c r="X218" i="2" s="1"/>
  <c r="Y218" i="2" a="1"/>
  <c r="Y218" i="2" s="1"/>
  <c r="Z218" i="2" a="1"/>
  <c r="Z218" i="2" s="1"/>
  <c r="AA218" i="2" a="1"/>
  <c r="AA218" i="2" s="1"/>
  <c r="AB218" i="2" a="1"/>
  <c r="AB218" i="2" s="1"/>
  <c r="AC218" i="2" a="1"/>
  <c r="AC218" i="2" s="1"/>
  <c r="AD218" i="2" a="1"/>
  <c r="AD218" i="2" s="1"/>
  <c r="AE218" i="2" a="1"/>
  <c r="AE218" i="2" s="1"/>
  <c r="AF218" i="2" a="1"/>
  <c r="AF218" i="2" s="1"/>
  <c r="AG218" i="2" a="1"/>
  <c r="AG218" i="2" s="1"/>
  <c r="AH218" i="2" a="1"/>
  <c r="AH218" i="2" s="1"/>
  <c r="AJ218" i="2" a="1"/>
  <c r="AJ218" i="2" s="1"/>
  <c r="AK218" i="2" s="1" a="1"/>
  <c r="AK218" i="2" s="1"/>
  <c r="AN218" i="2"/>
  <c r="W219" i="2" a="1"/>
  <c r="W219" i="2" s="1"/>
  <c r="X219" i="2" a="1"/>
  <c r="X219" i="2" s="1"/>
  <c r="Y219" i="2" a="1"/>
  <c r="Y219" i="2" s="1"/>
  <c r="Z219" i="2" a="1"/>
  <c r="Z219" i="2" s="1"/>
  <c r="AA219" i="2" a="1"/>
  <c r="AA219" i="2" s="1"/>
  <c r="AB219" i="2" a="1"/>
  <c r="AB219" i="2" s="1"/>
  <c r="AC219" i="2" a="1"/>
  <c r="AC219" i="2" s="1"/>
  <c r="AD219" i="2" a="1"/>
  <c r="AD219" i="2" s="1"/>
  <c r="AE219" i="2" a="1"/>
  <c r="AE219" i="2" s="1"/>
  <c r="AF219" i="2" a="1"/>
  <c r="AF219" i="2" s="1"/>
  <c r="AG219" i="2" a="1"/>
  <c r="AG219" i="2" s="1"/>
  <c r="AH219" i="2" a="1"/>
  <c r="AH219" i="2" s="1"/>
  <c r="AJ219" i="2" a="1"/>
  <c r="AJ219" i="2" s="1"/>
  <c r="AK219" i="2" s="1" a="1"/>
  <c r="AK219" i="2" s="1"/>
  <c r="AN219" i="2"/>
  <c r="W220" i="2" a="1"/>
  <c r="W220" i="2" s="1"/>
  <c r="X220" i="2" a="1"/>
  <c r="X220" i="2" s="1"/>
  <c r="Y220" i="2" a="1"/>
  <c r="Y220" i="2" s="1"/>
  <c r="Z220" i="2" a="1"/>
  <c r="Z220" i="2" s="1"/>
  <c r="AA220" i="2" a="1"/>
  <c r="AA220" i="2" s="1"/>
  <c r="AB220" i="2" a="1"/>
  <c r="AB220" i="2" s="1"/>
  <c r="AC220" i="2" a="1"/>
  <c r="AC220" i="2" s="1"/>
  <c r="AD220" i="2" a="1"/>
  <c r="AD220" i="2" s="1"/>
  <c r="AE220" i="2" a="1"/>
  <c r="AE220" i="2" s="1"/>
  <c r="AF220" i="2" a="1"/>
  <c r="AF220" i="2" s="1"/>
  <c r="AG220" i="2" a="1"/>
  <c r="AG220" i="2" s="1"/>
  <c r="AH220" i="2" a="1"/>
  <c r="AH220" i="2" s="1"/>
  <c r="AJ220" i="2" a="1"/>
  <c r="AJ220" i="2" s="1"/>
  <c r="AK220" i="2" s="1" a="1"/>
  <c r="AK220" i="2" s="1"/>
  <c r="AN220" i="2"/>
  <c r="W221" i="2" a="1"/>
  <c r="W221" i="2" s="1"/>
  <c r="X221" i="2" a="1"/>
  <c r="X221" i="2" s="1"/>
  <c r="Y221" i="2" a="1"/>
  <c r="Y221" i="2" s="1"/>
  <c r="Z221" i="2" a="1"/>
  <c r="Z221" i="2" s="1"/>
  <c r="AA221" i="2" a="1"/>
  <c r="AA221" i="2" s="1"/>
  <c r="AB221" i="2" a="1"/>
  <c r="AB221" i="2" s="1"/>
  <c r="AC221" i="2" a="1"/>
  <c r="AC221" i="2" s="1"/>
  <c r="AD221" i="2" a="1"/>
  <c r="AD221" i="2" s="1"/>
  <c r="AE221" i="2" a="1"/>
  <c r="AE221" i="2" s="1"/>
  <c r="AF221" i="2" a="1"/>
  <c r="AF221" i="2" s="1"/>
  <c r="AG221" i="2" a="1"/>
  <c r="AG221" i="2" s="1"/>
  <c r="AH221" i="2" a="1"/>
  <c r="AH221" i="2" s="1"/>
  <c r="AJ221" i="2" a="1"/>
  <c r="AJ221" i="2" s="1"/>
  <c r="AK221" i="2" s="1" a="1"/>
  <c r="AK221" i="2" s="1"/>
  <c r="AN221" i="2"/>
  <c r="W222" i="2" a="1"/>
  <c r="W222" i="2" s="1"/>
  <c r="X222" i="2" a="1"/>
  <c r="X222" i="2" s="1"/>
  <c r="Y222" i="2" a="1"/>
  <c r="Y222" i="2" s="1"/>
  <c r="Z222" i="2" a="1"/>
  <c r="Z222" i="2" s="1"/>
  <c r="AA222" i="2" a="1"/>
  <c r="AA222" i="2" s="1"/>
  <c r="AB222" i="2" a="1"/>
  <c r="AB222" i="2" s="1"/>
  <c r="AC222" i="2" a="1"/>
  <c r="AC222" i="2" s="1"/>
  <c r="AD222" i="2" a="1"/>
  <c r="AD222" i="2" s="1"/>
  <c r="AE222" i="2" a="1"/>
  <c r="AE222" i="2" s="1"/>
  <c r="AF222" i="2" a="1"/>
  <c r="AF222" i="2" s="1"/>
  <c r="AG222" i="2" a="1"/>
  <c r="AG222" i="2" s="1"/>
  <c r="AH222" i="2" a="1"/>
  <c r="AH222" i="2" s="1"/>
  <c r="AJ222" i="2" a="1"/>
  <c r="AJ222" i="2" s="1"/>
  <c r="AK222" i="2" s="1" a="1"/>
  <c r="AK222" i="2" s="1"/>
  <c r="AN222" i="2"/>
  <c r="W223" i="2" a="1"/>
  <c r="W223" i="2" s="1"/>
  <c r="X223" i="2" a="1"/>
  <c r="X223" i="2" s="1"/>
  <c r="Y223" i="2" a="1"/>
  <c r="Y223" i="2" s="1"/>
  <c r="Z223" i="2" a="1"/>
  <c r="Z223" i="2" s="1"/>
  <c r="AA223" i="2" a="1"/>
  <c r="AA223" i="2" s="1"/>
  <c r="AB223" i="2" a="1"/>
  <c r="AB223" i="2" s="1"/>
  <c r="AC223" i="2" a="1"/>
  <c r="AC223" i="2" s="1"/>
  <c r="AD223" i="2" a="1"/>
  <c r="AD223" i="2" s="1"/>
  <c r="AE223" i="2" a="1"/>
  <c r="AE223" i="2" s="1"/>
  <c r="AF223" i="2" a="1"/>
  <c r="AF223" i="2" s="1"/>
  <c r="AG223" i="2" a="1"/>
  <c r="AG223" i="2" s="1"/>
  <c r="AH223" i="2" a="1"/>
  <c r="AH223" i="2" s="1"/>
  <c r="AJ223" i="2" a="1"/>
  <c r="AJ223" i="2" s="1"/>
  <c r="AK223" i="2" s="1" a="1"/>
  <c r="AK223" i="2" s="1"/>
  <c r="AN223" i="2"/>
  <c r="W224" i="2" a="1"/>
  <c r="W224" i="2" s="1"/>
  <c r="X224" i="2" a="1"/>
  <c r="X224" i="2" s="1"/>
  <c r="Y224" i="2" a="1"/>
  <c r="Y224" i="2" s="1"/>
  <c r="Z224" i="2" a="1"/>
  <c r="Z224" i="2" s="1"/>
  <c r="AA224" i="2" a="1"/>
  <c r="AA224" i="2" s="1"/>
  <c r="AB224" i="2" a="1"/>
  <c r="AB224" i="2" s="1"/>
  <c r="AC224" i="2" a="1"/>
  <c r="AC224" i="2" s="1"/>
  <c r="AD224" i="2" a="1"/>
  <c r="AD224" i="2" s="1"/>
  <c r="AE224" i="2" a="1"/>
  <c r="AE224" i="2" s="1"/>
  <c r="AF224" i="2" a="1"/>
  <c r="AF224" i="2" s="1"/>
  <c r="AG224" i="2" a="1"/>
  <c r="AG224" i="2" s="1"/>
  <c r="AH224" i="2" a="1"/>
  <c r="AH224" i="2" s="1"/>
  <c r="AJ224" i="2" a="1"/>
  <c r="AJ224" i="2" s="1"/>
  <c r="AK224" i="2" s="1" a="1"/>
  <c r="AK224" i="2" s="1"/>
  <c r="AN224" i="2"/>
  <c r="W225" i="2" a="1"/>
  <c r="W225" i="2" s="1"/>
  <c r="X225" i="2" a="1"/>
  <c r="X225" i="2" s="1"/>
  <c r="Y225" i="2" a="1"/>
  <c r="Y225" i="2" s="1"/>
  <c r="Z225" i="2" a="1"/>
  <c r="Z225" i="2" s="1"/>
  <c r="AA225" i="2" a="1"/>
  <c r="AA225" i="2" s="1"/>
  <c r="AB225" i="2" a="1"/>
  <c r="AB225" i="2" s="1"/>
  <c r="AC225" i="2" a="1"/>
  <c r="AC225" i="2" s="1"/>
  <c r="AD225" i="2" a="1"/>
  <c r="AD225" i="2" s="1"/>
  <c r="AE225" i="2" a="1"/>
  <c r="AE225" i="2" s="1"/>
  <c r="AF225" i="2" a="1"/>
  <c r="AF225" i="2" s="1"/>
  <c r="AG225" i="2" a="1"/>
  <c r="AG225" i="2" s="1"/>
  <c r="AH225" i="2" a="1"/>
  <c r="AH225" i="2" s="1"/>
  <c r="AJ225" i="2" a="1"/>
  <c r="AJ225" i="2" s="1"/>
  <c r="AK225" i="2" s="1" a="1"/>
  <c r="AK225" i="2" s="1"/>
  <c r="AN225" i="2"/>
  <c r="W226" i="2" a="1"/>
  <c r="W226" i="2" s="1"/>
  <c r="X226" i="2" a="1"/>
  <c r="X226" i="2" s="1"/>
  <c r="Y226" i="2" a="1"/>
  <c r="Y226" i="2" s="1"/>
  <c r="Z226" i="2" a="1"/>
  <c r="Z226" i="2" s="1"/>
  <c r="AA226" i="2" a="1"/>
  <c r="AA226" i="2" s="1"/>
  <c r="AB226" i="2" a="1"/>
  <c r="AB226" i="2" s="1"/>
  <c r="AC226" i="2" a="1"/>
  <c r="AC226" i="2" s="1"/>
  <c r="AD226" i="2" a="1"/>
  <c r="AD226" i="2" s="1"/>
  <c r="AE226" i="2" a="1"/>
  <c r="AE226" i="2" s="1"/>
  <c r="AF226" i="2" a="1"/>
  <c r="AF226" i="2" s="1"/>
  <c r="AG226" i="2" a="1"/>
  <c r="AG226" i="2" s="1"/>
  <c r="AH226" i="2" a="1"/>
  <c r="AH226" i="2" s="1"/>
  <c r="AJ226" i="2" a="1"/>
  <c r="AJ226" i="2" s="1"/>
  <c r="AK226" i="2" s="1" a="1"/>
  <c r="AK226" i="2" s="1"/>
  <c r="AN226" i="2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J227" i="2" a="1"/>
  <c r="AJ227" i="2" s="1"/>
  <c r="AK227" i="2" s="1" a="1"/>
  <c r="AK227" i="2" s="1"/>
  <c r="AN227" i="2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J228" i="2" a="1"/>
  <c r="AJ228" i="2" s="1"/>
  <c r="AK228" i="2" s="1" a="1"/>
  <c r="AK228" i="2" s="1"/>
  <c r="AN228" i="2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J229" i="2" a="1"/>
  <c r="AJ229" i="2" s="1"/>
  <c r="AK229" i="2" s="1" a="1"/>
  <c r="AK229" i="2" s="1"/>
  <c r="AN229" i="2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J230" i="2" a="1"/>
  <c r="AJ230" i="2" s="1"/>
  <c r="AK230" i="2" s="1" a="1"/>
  <c r="AK230" i="2" s="1"/>
  <c r="AN230" i="2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J231" i="2" a="1"/>
  <c r="AJ231" i="2" s="1"/>
  <c r="AK231" i="2" s="1" a="1"/>
  <c r="AK231" i="2" s="1"/>
  <c r="AN231" i="2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J232" i="2" a="1"/>
  <c r="AJ232" i="2" s="1"/>
  <c r="AK232" i="2" s="1" a="1"/>
  <c r="AK232" i="2" s="1"/>
  <c r="AN232" i="2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J233" i="2" a="1"/>
  <c r="AJ233" i="2" s="1"/>
  <c r="AK233" i="2" s="1" a="1"/>
  <c r="AK233" i="2" s="1"/>
  <c r="AN233" i="2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J234" i="2" a="1"/>
  <c r="AJ234" i="2" s="1"/>
  <c r="AK234" i="2" s="1" a="1"/>
  <c r="AK234" i="2" s="1"/>
  <c r="AN234" i="2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J235" i="2" a="1"/>
  <c r="AJ235" i="2" s="1"/>
  <c r="AK235" i="2" s="1" a="1"/>
  <c r="AK235" i="2" s="1"/>
  <c r="AN235" i="2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J236" i="2" a="1"/>
  <c r="AJ236" i="2" s="1"/>
  <c r="AK236" i="2" s="1" a="1"/>
  <c r="AK236" i="2" s="1"/>
  <c r="AN236" i="2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J237" i="2" a="1"/>
  <c r="AJ237" i="2" s="1"/>
  <c r="AK237" i="2" s="1" a="1"/>
  <c r="AK237" i="2" s="1"/>
  <c r="AN237" i="2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J238" i="2" a="1"/>
  <c r="AJ238" i="2" s="1"/>
  <c r="AK238" i="2" s="1" a="1"/>
  <c r="AK238" i="2" s="1"/>
  <c r="AN238" i="2"/>
  <c r="M179" i="1"/>
  <c r="L179" i="1"/>
  <c r="H179" i="1"/>
  <c r="L160" i="1"/>
  <c r="H160" i="1"/>
  <c r="L159" i="1"/>
  <c r="H159" i="1"/>
  <c r="M158" i="1"/>
  <c r="L158" i="1"/>
  <c r="H158" i="1"/>
  <c r="M156" i="1"/>
  <c r="L156" i="1"/>
  <c r="H156" i="1"/>
  <c r="M149" i="1"/>
  <c r="L149" i="1"/>
  <c r="H149" i="1"/>
  <c r="L130" i="1"/>
  <c r="H130" i="1"/>
  <c r="L129" i="1"/>
  <c r="H129" i="1"/>
  <c r="M128" i="1"/>
  <c r="L128" i="1"/>
  <c r="H128" i="1"/>
  <c r="M126" i="1"/>
  <c r="L126" i="1"/>
  <c r="H126" i="1"/>
  <c r="M119" i="1"/>
  <c r="L119" i="1"/>
  <c r="H119" i="1"/>
  <c r="L100" i="1"/>
  <c r="H100" i="1"/>
  <c r="L99" i="1"/>
  <c r="H99" i="1"/>
  <c r="M98" i="1"/>
  <c r="L98" i="1"/>
  <c r="H98" i="1"/>
  <c r="M96" i="1"/>
  <c r="L96" i="1"/>
  <c r="H96" i="1"/>
  <c r="M89" i="1"/>
  <c r="L89" i="1"/>
  <c r="H89" i="1"/>
  <c r="L70" i="1"/>
  <c r="H70" i="1"/>
  <c r="L69" i="1"/>
  <c r="H69" i="1"/>
  <c r="M68" i="1"/>
  <c r="L68" i="1"/>
  <c r="H68" i="1"/>
  <c r="M66" i="1"/>
  <c r="L66" i="1"/>
  <c r="H66" i="1"/>
  <c r="M59" i="1"/>
  <c r="L59" i="1"/>
  <c r="H59" i="1"/>
  <c r="L40" i="1"/>
  <c r="H40" i="1"/>
  <c r="L39" i="1"/>
  <c r="H39" i="1"/>
  <c r="M38" i="1"/>
  <c r="L38" i="1"/>
  <c r="H38" i="1"/>
  <c r="M36" i="1"/>
  <c r="L36" i="1"/>
  <c r="H36" i="1"/>
  <c r="T3" i="1" a="1"/>
  <c r="T3" i="1" s="1"/>
  <c r="T182" i="1" a="1"/>
  <c r="T182" i="1" s="1"/>
  <c r="T181" i="1" a="1"/>
  <c r="T181" i="1" s="1"/>
  <c r="T180" i="1" a="1"/>
  <c r="T180" i="1" s="1"/>
  <c r="T179" i="1" a="1"/>
  <c r="T179" i="1" s="1"/>
  <c r="T178" i="1" a="1"/>
  <c r="T178" i="1" s="1"/>
  <c r="T177" i="1" a="1"/>
  <c r="T177" i="1" s="1"/>
  <c r="T176" i="1" a="1"/>
  <c r="T176" i="1" s="1"/>
  <c r="T175" i="1" a="1"/>
  <c r="T175" i="1" s="1"/>
  <c r="T174" i="1" a="1"/>
  <c r="T174" i="1" s="1"/>
  <c r="T173" i="1" a="1"/>
  <c r="T173" i="1" s="1"/>
  <c r="T172" i="1" a="1"/>
  <c r="T172" i="1" s="1"/>
  <c r="T171" i="1" a="1"/>
  <c r="T171" i="1" s="1"/>
  <c r="T170" i="1" a="1"/>
  <c r="T170" i="1" s="1"/>
  <c r="T169" i="1" a="1"/>
  <c r="T169" i="1" s="1"/>
  <c r="T168" i="1" a="1"/>
  <c r="T168" i="1" s="1"/>
  <c r="T167" i="1" a="1"/>
  <c r="T167" i="1" s="1"/>
  <c r="T166" i="1" a="1"/>
  <c r="T166" i="1" s="1"/>
  <c r="T165" i="1" a="1"/>
  <c r="T165" i="1" s="1"/>
  <c r="T164" i="1" a="1"/>
  <c r="T164" i="1" s="1"/>
  <c r="T163" i="1" a="1"/>
  <c r="T163" i="1" s="1"/>
  <c r="T162" i="1" a="1"/>
  <c r="T162" i="1" s="1"/>
  <c r="T161" i="1" a="1"/>
  <c r="T161" i="1" s="1"/>
  <c r="T160" i="1" a="1"/>
  <c r="T160" i="1" s="1"/>
  <c r="T159" i="1" a="1"/>
  <c r="T159" i="1" s="1"/>
  <c r="T158" i="1" a="1"/>
  <c r="T158" i="1" s="1"/>
  <c r="T157" i="1" a="1"/>
  <c r="T157" i="1" s="1"/>
  <c r="T156" i="1" a="1"/>
  <c r="T156" i="1" s="1"/>
  <c r="T155" i="1" a="1"/>
  <c r="T155" i="1" s="1"/>
  <c r="T152" i="1" a="1"/>
  <c r="T152" i="1" s="1"/>
  <c r="T151" i="1" a="1"/>
  <c r="T151" i="1" s="1"/>
  <c r="T150" i="1" a="1"/>
  <c r="T150" i="1" s="1"/>
  <c r="T149" i="1" a="1"/>
  <c r="T149" i="1" s="1"/>
  <c r="T148" i="1" a="1"/>
  <c r="T148" i="1" s="1"/>
  <c r="T147" i="1" a="1"/>
  <c r="T147" i="1" s="1"/>
  <c r="T146" i="1" a="1"/>
  <c r="T146" i="1" s="1"/>
  <c r="T145" i="1" a="1"/>
  <c r="T145" i="1" s="1"/>
  <c r="T144" i="1" a="1"/>
  <c r="T144" i="1" s="1"/>
  <c r="T143" i="1" a="1"/>
  <c r="T143" i="1" s="1"/>
  <c r="T142" i="1" a="1"/>
  <c r="T142" i="1" s="1"/>
  <c r="T141" i="1" a="1"/>
  <c r="T141" i="1" s="1"/>
  <c r="T140" i="1" a="1"/>
  <c r="T140" i="1" s="1"/>
  <c r="T139" i="1" a="1"/>
  <c r="T139" i="1" s="1"/>
  <c r="T138" i="1" a="1"/>
  <c r="T138" i="1" s="1"/>
  <c r="T137" i="1" a="1"/>
  <c r="T137" i="1" s="1"/>
  <c r="T136" i="1" a="1"/>
  <c r="T136" i="1" s="1"/>
  <c r="T135" i="1" a="1"/>
  <c r="T135" i="1" s="1"/>
  <c r="T134" i="1" a="1"/>
  <c r="T134" i="1" s="1"/>
  <c r="T133" i="1" a="1"/>
  <c r="T133" i="1" s="1"/>
  <c r="T132" i="1" a="1"/>
  <c r="T132" i="1" s="1"/>
  <c r="T131" i="1" a="1"/>
  <c r="T131" i="1" s="1"/>
  <c r="T130" i="1" a="1"/>
  <c r="T130" i="1" s="1"/>
  <c r="T129" i="1" a="1"/>
  <c r="T129" i="1" s="1"/>
  <c r="T128" i="1" a="1"/>
  <c r="T128" i="1" s="1"/>
  <c r="T127" i="1" a="1"/>
  <c r="T127" i="1" s="1"/>
  <c r="T126" i="1" a="1"/>
  <c r="T126" i="1" s="1"/>
  <c r="T125" i="1" a="1"/>
  <c r="T125" i="1" s="1"/>
  <c r="T122" i="1" a="1"/>
  <c r="T122" i="1" s="1"/>
  <c r="T121" i="1" a="1"/>
  <c r="T121" i="1" s="1"/>
  <c r="T120" i="1" a="1"/>
  <c r="T120" i="1" s="1"/>
  <c r="T119" i="1" a="1"/>
  <c r="T119" i="1" s="1"/>
  <c r="T118" i="1" a="1"/>
  <c r="T118" i="1" s="1"/>
  <c r="T117" i="1" a="1"/>
  <c r="T117" i="1" s="1"/>
  <c r="T116" i="1" a="1"/>
  <c r="T116" i="1" s="1"/>
  <c r="T115" i="1" a="1"/>
  <c r="T115" i="1" s="1"/>
  <c r="T114" i="1" a="1"/>
  <c r="T114" i="1" s="1"/>
  <c r="T113" i="1" a="1"/>
  <c r="T113" i="1" s="1"/>
  <c r="T112" i="1" a="1"/>
  <c r="T112" i="1" s="1"/>
  <c r="T111" i="1" a="1"/>
  <c r="T111" i="1" s="1"/>
  <c r="T110" i="1" a="1"/>
  <c r="T110" i="1" s="1"/>
  <c r="T109" i="1" a="1"/>
  <c r="T109" i="1" s="1"/>
  <c r="T108" i="1" a="1"/>
  <c r="T108" i="1" s="1"/>
  <c r="T107" i="1" a="1"/>
  <c r="T107" i="1" s="1"/>
  <c r="T106" i="1" a="1"/>
  <c r="T106" i="1" s="1"/>
  <c r="T105" i="1" a="1"/>
  <c r="T105" i="1" s="1"/>
  <c r="T104" i="1" a="1"/>
  <c r="T104" i="1" s="1"/>
  <c r="T103" i="1" a="1"/>
  <c r="T103" i="1" s="1"/>
  <c r="T102" i="1" a="1"/>
  <c r="T102" i="1" s="1"/>
  <c r="T101" i="1" a="1"/>
  <c r="T101" i="1" s="1"/>
  <c r="T100" i="1" a="1"/>
  <c r="T100" i="1" s="1"/>
  <c r="T99" i="1" a="1"/>
  <c r="T99" i="1" s="1"/>
  <c r="T98" i="1" a="1"/>
  <c r="T98" i="1" s="1"/>
  <c r="T97" i="1" a="1"/>
  <c r="T97" i="1" s="1"/>
  <c r="T96" i="1" a="1"/>
  <c r="T96" i="1" s="1"/>
  <c r="T95" i="1" a="1"/>
  <c r="T95" i="1" s="1"/>
  <c r="T92" i="1" a="1"/>
  <c r="T92" i="1" s="1"/>
  <c r="T91" i="1" a="1"/>
  <c r="T91" i="1" s="1"/>
  <c r="T90" i="1" a="1"/>
  <c r="T90" i="1" s="1"/>
  <c r="T89" i="1" a="1"/>
  <c r="T89" i="1" s="1"/>
  <c r="T88" i="1" a="1"/>
  <c r="T88" i="1" s="1"/>
  <c r="T87" i="1" a="1"/>
  <c r="T87" i="1" s="1"/>
  <c r="T86" i="1" a="1"/>
  <c r="T86" i="1" s="1"/>
  <c r="T85" i="1" a="1"/>
  <c r="T85" i="1" s="1"/>
  <c r="T84" i="1" a="1"/>
  <c r="T84" i="1" s="1"/>
  <c r="T83" i="1" a="1"/>
  <c r="T83" i="1" s="1"/>
  <c r="T82" i="1" a="1"/>
  <c r="T82" i="1" s="1"/>
  <c r="T81" i="1" a="1"/>
  <c r="T81" i="1" s="1"/>
  <c r="T80" i="1" a="1"/>
  <c r="T80" i="1" s="1"/>
  <c r="T79" i="1" a="1"/>
  <c r="T79" i="1" s="1"/>
  <c r="T78" i="1" a="1"/>
  <c r="T78" i="1" s="1"/>
  <c r="T77" i="1" a="1"/>
  <c r="T77" i="1" s="1"/>
  <c r="T76" i="1" a="1"/>
  <c r="T76" i="1" s="1"/>
  <c r="T75" i="1" a="1"/>
  <c r="T75" i="1" s="1"/>
  <c r="T74" i="1" a="1"/>
  <c r="T74" i="1" s="1"/>
  <c r="T73" i="1" a="1"/>
  <c r="T73" i="1" s="1"/>
  <c r="T72" i="1" a="1"/>
  <c r="T72" i="1" s="1"/>
  <c r="T71" i="1" a="1"/>
  <c r="T71" i="1" s="1"/>
  <c r="T70" i="1" a="1"/>
  <c r="T70" i="1" s="1"/>
  <c r="T69" i="1" a="1"/>
  <c r="T69" i="1" s="1"/>
  <c r="T68" i="1" a="1"/>
  <c r="T68" i="1" s="1"/>
  <c r="T67" i="1" a="1"/>
  <c r="T67" i="1" s="1"/>
  <c r="T66" i="1" a="1"/>
  <c r="T66" i="1" s="1"/>
  <c r="T65" i="1" a="1"/>
  <c r="T65" i="1" s="1"/>
  <c r="T62" i="1" a="1"/>
  <c r="T62" i="1" s="1"/>
  <c r="T61" i="1" a="1"/>
  <c r="T61" i="1" s="1"/>
  <c r="T60" i="1" a="1"/>
  <c r="T60" i="1" s="1"/>
  <c r="T59" i="1" a="1"/>
  <c r="T59" i="1" s="1"/>
  <c r="T58" i="1" a="1"/>
  <c r="T58" i="1" s="1"/>
  <c r="T57" i="1" a="1"/>
  <c r="T57" i="1" s="1"/>
  <c r="T56" i="1" a="1"/>
  <c r="T56" i="1" s="1"/>
  <c r="T55" i="1" a="1"/>
  <c r="T55" i="1" s="1"/>
  <c r="T54" i="1" a="1"/>
  <c r="T54" i="1" s="1"/>
  <c r="T53" i="1" a="1"/>
  <c r="T53" i="1" s="1"/>
  <c r="T52" i="1" a="1"/>
  <c r="T52" i="1" s="1"/>
  <c r="T51" i="1" a="1"/>
  <c r="T51" i="1" s="1"/>
  <c r="T50" i="1" a="1"/>
  <c r="T50" i="1" s="1"/>
  <c r="T49" i="1" a="1"/>
  <c r="T49" i="1" s="1"/>
  <c r="T48" i="1" a="1"/>
  <c r="T48" i="1" s="1"/>
  <c r="T47" i="1" a="1"/>
  <c r="T47" i="1" s="1"/>
  <c r="T46" i="1" a="1"/>
  <c r="T46" i="1" s="1"/>
  <c r="T45" i="1" a="1"/>
  <c r="T45" i="1" s="1"/>
  <c r="T44" i="1" a="1"/>
  <c r="T44" i="1" s="1"/>
  <c r="T43" i="1" a="1"/>
  <c r="T43" i="1" s="1"/>
  <c r="T42" i="1" a="1"/>
  <c r="T42" i="1" s="1"/>
  <c r="T41" i="1" a="1"/>
  <c r="T41" i="1" s="1"/>
  <c r="T40" i="1" a="1"/>
  <c r="T40" i="1" s="1"/>
  <c r="T39" i="1" a="1"/>
  <c r="T39" i="1" s="1"/>
  <c r="T38" i="1" a="1"/>
  <c r="T38" i="1" s="1"/>
  <c r="T37" i="1" a="1"/>
  <c r="T37" i="1" s="1"/>
  <c r="T36" i="1" a="1"/>
  <c r="T36" i="1" s="1"/>
  <c r="T35" i="1" a="1"/>
  <c r="T35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G28" i="4" l="1"/>
  <c r="H28" i="4"/>
  <c r="P28" i="4"/>
  <c r="M28" i="4"/>
  <c r="O28" i="4"/>
  <c r="N28" i="4"/>
  <c r="L28" i="4"/>
  <c r="K28" i="4"/>
  <c r="J28" i="4"/>
  <c r="I28" i="4"/>
  <c r="M27" i="4"/>
  <c r="AI171" i="2"/>
  <c r="AI245" i="2"/>
  <c r="AI181" i="2"/>
  <c r="AI163" i="2"/>
  <c r="AI248" i="2"/>
  <c r="AI165" i="2"/>
  <c r="AI252" i="2"/>
  <c r="AI168" i="2"/>
  <c r="AI205" i="2"/>
  <c r="AI187" i="2"/>
  <c r="AI251" i="2"/>
  <c r="AI189" i="2"/>
  <c r="AI173" i="2"/>
  <c r="AI197" i="2"/>
  <c r="AI182" i="2"/>
  <c r="AI208" i="2"/>
  <c r="AI170" i="2"/>
  <c r="AI190" i="2"/>
  <c r="AI210" i="2"/>
  <c r="AI224" i="2"/>
  <c r="AI283" i="2"/>
  <c r="AI232" i="2"/>
  <c r="AI279" i="2"/>
  <c r="AI206" i="2"/>
  <c r="AI202" i="2"/>
  <c r="AI220" i="2"/>
  <c r="AI275" i="2"/>
  <c r="AI271" i="2"/>
  <c r="AI228" i="2"/>
  <c r="AI267" i="2"/>
  <c r="AI218" i="2"/>
  <c r="AI263" i="2"/>
  <c r="AI236" i="2"/>
  <c r="AI214" i="2"/>
  <c r="AI259" i="2"/>
  <c r="AI235" i="2"/>
  <c r="AI231" i="2"/>
  <c r="AI227" i="2"/>
  <c r="AI223" i="2"/>
  <c r="AI219" i="2"/>
  <c r="AI215" i="2"/>
  <c r="AI211" i="2"/>
  <c r="AI284" i="2"/>
  <c r="AI280" i="2"/>
  <c r="AI276" i="2"/>
  <c r="AI272" i="2"/>
  <c r="AI268" i="2"/>
  <c r="AI264" i="2"/>
  <c r="AI260" i="2"/>
  <c r="AI238" i="2"/>
  <c r="AI234" i="2"/>
  <c r="AI230" i="2"/>
  <c r="AI226" i="2"/>
  <c r="AI222" i="2"/>
  <c r="AI216" i="2"/>
  <c r="AI212" i="2"/>
  <c r="AI285" i="2"/>
  <c r="AI281" i="2"/>
  <c r="AI277" i="2"/>
  <c r="AI273" i="2"/>
  <c r="AI269" i="2"/>
  <c r="AI265" i="2"/>
  <c r="AI261" i="2"/>
  <c r="AI237" i="2"/>
  <c r="AI233" i="2"/>
  <c r="AI229" i="2"/>
  <c r="AI225" i="2"/>
  <c r="AI221" i="2"/>
  <c r="AI217" i="2"/>
  <c r="AI213" i="2"/>
  <c r="AI286" i="2"/>
  <c r="AI282" i="2"/>
  <c r="AI278" i="2"/>
  <c r="AI274" i="2"/>
  <c r="AI270" i="2"/>
  <c r="AI266" i="2"/>
  <c r="AI262" i="2"/>
  <c r="AI258" i="2"/>
  <c r="AI179" i="2"/>
  <c r="AI314" i="2"/>
  <c r="AI306" i="2"/>
  <c r="AI298" i="2"/>
  <c r="AI290" i="2"/>
  <c r="AI242" i="2"/>
  <c r="AI167" i="2"/>
  <c r="AI309" i="2"/>
  <c r="AI301" i="2"/>
  <c r="AI293" i="2"/>
  <c r="AI256" i="2"/>
  <c r="AI241" i="2"/>
  <c r="AI193" i="2"/>
  <c r="AI311" i="2"/>
  <c r="AI308" i="2"/>
  <c r="AI303" i="2"/>
  <c r="AI300" i="2"/>
  <c r="AI295" i="2"/>
  <c r="AI292" i="2"/>
  <c r="AI287" i="2"/>
  <c r="AI255" i="2"/>
  <c r="AI246" i="2"/>
  <c r="AI209" i="2"/>
  <c r="AI196" i="2"/>
  <c r="AI188" i="2"/>
  <c r="AI185" i="2"/>
  <c r="AI315" i="2"/>
  <c r="AI312" i="2"/>
  <c r="AI307" i="2"/>
  <c r="AI304" i="2"/>
  <c r="AI299" i="2"/>
  <c r="AI296" i="2"/>
  <c r="AI291" i="2"/>
  <c r="AI288" i="2"/>
  <c r="AI253" i="2"/>
  <c r="AI249" i="2"/>
  <c r="AI310" i="2"/>
  <c r="AI302" i="2"/>
  <c r="AI294" i="2"/>
  <c r="AI257" i="2"/>
  <c r="AI254" i="2"/>
  <c r="AI250" i="2"/>
  <c r="AI200" i="2"/>
  <c r="AI313" i="2"/>
  <c r="AI305" i="2"/>
  <c r="AI297" i="2"/>
  <c r="AI289" i="2"/>
  <c r="AI247" i="2"/>
  <c r="AI203" i="2"/>
  <c r="AI195" i="2"/>
  <c r="AI240" i="2"/>
  <c r="AI207" i="2"/>
  <c r="AI183" i="2"/>
  <c r="AI178" i="2"/>
  <c r="AI172" i="2"/>
  <c r="AI243" i="2"/>
  <c r="AI192" i="2"/>
  <c r="AI175" i="2"/>
  <c r="AI164" i="2"/>
  <c r="AI180" i="2"/>
  <c r="AI177" i="2"/>
  <c r="AI174" i="2"/>
  <c r="AI166" i="2"/>
  <c r="AI162" i="2"/>
  <c r="AI244" i="2"/>
  <c r="AI204" i="2"/>
  <c r="AI201" i="2"/>
  <c r="AI199" i="2"/>
  <c r="AI194" i="2"/>
  <c r="AI184" i="2"/>
  <c r="AI198" i="2"/>
  <c r="AI239" i="2"/>
  <c r="AI191" i="2"/>
  <c r="AI186" i="2"/>
  <c r="AI176" i="2"/>
  <c r="AI169" i="2"/>
  <c r="Q28" i="4" l="1"/>
  <c r="M29" i="1"/>
  <c r="L29" i="1"/>
  <c r="H29" i="1"/>
  <c r="H8" i="1"/>
  <c r="L8" i="1"/>
  <c r="L7" i="1"/>
  <c r="H7" i="1"/>
  <c r="M6" i="1"/>
  <c r="L6" i="1"/>
  <c r="H6" i="1"/>
  <c r="M4" i="1"/>
  <c r="L4" i="1"/>
  <c r="H4" i="1"/>
  <c r="G18" i="4" l="1"/>
  <c r="G19" i="4"/>
  <c r="H18" i="4" l="1"/>
  <c r="G16" i="4" l="1"/>
  <c r="H16" i="4"/>
  <c r="H17" i="4"/>
  <c r="G17" i="4"/>
  <c r="P21" i="4"/>
  <c r="P10" i="4"/>
  <c r="P9" i="4"/>
  <c r="H21" i="4"/>
  <c r="G21" i="4"/>
  <c r="E3" i="4" l="1"/>
  <c r="S21" i="4" l="1"/>
  <c r="R21" i="4"/>
  <c r="O21" i="4"/>
  <c r="N21" i="4"/>
  <c r="M21" i="4"/>
  <c r="L21" i="4"/>
  <c r="K21" i="4"/>
  <c r="J21" i="4"/>
  <c r="I21" i="4"/>
  <c r="E5" i="4"/>
  <c r="Q21" i="4" l="1"/>
  <c r="G9" i="4" l="1"/>
  <c r="G10" i="4"/>
  <c r="G27" i="4"/>
  <c r="G20" i="4"/>
  <c r="G32" i="4"/>
  <c r="G15" i="4"/>
  <c r="G12" i="4"/>
  <c r="G11" i="4"/>
  <c r="G13" i="4"/>
  <c r="G31" i="4"/>
  <c r="G14" i="4"/>
  <c r="G29" i="4" l="1"/>
  <c r="M19" i="4"/>
  <c r="L19" i="4"/>
  <c r="I19" i="4"/>
  <c r="N19" i="4"/>
  <c r="O19" i="4"/>
  <c r="P19" i="4"/>
  <c r="J19" i="4"/>
  <c r="K19" i="4"/>
  <c r="P17" i="4"/>
  <c r="J17" i="4"/>
  <c r="K17" i="4"/>
  <c r="O17" i="4"/>
  <c r="L17" i="4"/>
  <c r="M17" i="4"/>
  <c r="I17" i="4"/>
  <c r="N17" i="4"/>
  <c r="H32" i="4"/>
  <c r="H31" i="4"/>
  <c r="P14" i="4"/>
  <c r="P15" i="4"/>
  <c r="P13" i="4"/>
  <c r="P27" i="4"/>
  <c r="P24" i="4"/>
  <c r="P20" i="4"/>
  <c r="S12" i="4"/>
  <c r="H15" i="4"/>
  <c r="H20" i="4"/>
  <c r="H9" i="4"/>
  <c r="H10" i="4"/>
  <c r="H27" i="4"/>
  <c r="H12" i="4"/>
  <c r="J31" i="4"/>
  <c r="J32" i="4"/>
  <c r="P32" i="4"/>
  <c r="K32" i="4"/>
  <c r="N32" i="4"/>
  <c r="L32" i="4"/>
  <c r="H11" i="4"/>
  <c r="H14" i="4"/>
  <c r="H13" i="4"/>
  <c r="L31" i="4"/>
  <c r="I31" i="4"/>
  <c r="O31" i="4"/>
  <c r="N31" i="4"/>
  <c r="P31" i="4"/>
  <c r="K10" i="4"/>
  <c r="J15" i="4"/>
  <c r="L10" i="4"/>
  <c r="I10" i="4"/>
  <c r="N10" i="4"/>
  <c r="N15" i="4"/>
  <c r="O32" i="4"/>
  <c r="K31" i="4"/>
  <c r="I32" i="4"/>
  <c r="G33" i="4"/>
  <c r="J27" i="4"/>
  <c r="K20" i="4"/>
  <c r="J10" i="4"/>
  <c r="I20" i="4"/>
  <c r="I15" i="4"/>
  <c r="I24" i="4"/>
  <c r="L24" i="4"/>
  <c r="L15" i="4"/>
  <c r="N13" i="4"/>
  <c r="O20" i="4"/>
  <c r="J24" i="4"/>
  <c r="O24" i="4"/>
  <c r="M15" i="4"/>
  <c r="L14" i="4"/>
  <c r="O13" i="4"/>
  <c r="L27" i="4"/>
  <c r="I13" i="4"/>
  <c r="M14" i="4"/>
  <c r="O15" i="4"/>
  <c r="I14" i="4"/>
  <c r="N14" i="4"/>
  <c r="J20" i="4"/>
  <c r="I27" i="4"/>
  <c r="N27" i="4"/>
  <c r="M24" i="4"/>
  <c r="M29" i="4" s="1"/>
  <c r="O14" i="4"/>
  <c r="M12" i="4"/>
  <c r="O10" i="4"/>
  <c r="K13" i="4"/>
  <c r="J13" i="4"/>
  <c r="O27" i="4"/>
  <c r="K24" i="4"/>
  <c r="N24" i="4"/>
  <c r="L20" i="4"/>
  <c r="K15" i="4"/>
  <c r="L13" i="4"/>
  <c r="M20" i="4"/>
  <c r="K14" i="4"/>
  <c r="J14" i="4"/>
  <c r="M13" i="4"/>
  <c r="N20" i="4"/>
  <c r="K27" i="4"/>
  <c r="G22" i="4"/>
  <c r="I12" i="4"/>
  <c r="L12" i="4"/>
  <c r="N12" i="4"/>
  <c r="K12" i="4"/>
  <c r="N9" i="4"/>
  <c r="M9" i="4"/>
  <c r="K9" i="4"/>
  <c r="P29" i="4" l="1"/>
  <c r="L29" i="4"/>
  <c r="O29" i="4"/>
  <c r="J29" i="4"/>
  <c r="I29" i="4"/>
  <c r="K29" i="4"/>
  <c r="N29" i="4"/>
  <c r="Q19" i="4"/>
  <c r="Q17" i="4"/>
  <c r="H33" i="4"/>
  <c r="J12" i="4"/>
  <c r="P12" i="4"/>
  <c r="R31" i="4"/>
  <c r="R33" i="4" s="1"/>
  <c r="P11" i="4"/>
  <c r="R14" i="4"/>
  <c r="P33" i="4"/>
  <c r="S14" i="4"/>
  <c r="L9" i="4"/>
  <c r="S10" i="4"/>
  <c r="R10" i="4"/>
  <c r="M32" i="4"/>
  <c r="Q32" i="4" s="1"/>
  <c r="S31" i="4"/>
  <c r="S33" i="4" s="1"/>
  <c r="M31" i="4"/>
  <c r="O33" i="4"/>
  <c r="G35" i="4"/>
  <c r="N33" i="4"/>
  <c r="L33" i="4"/>
  <c r="J33" i="4"/>
  <c r="I33" i="4"/>
  <c r="K33" i="4"/>
  <c r="L11" i="4"/>
  <c r="I9" i="4"/>
  <c r="M11" i="4"/>
  <c r="J9" i="4"/>
  <c r="N11" i="4"/>
  <c r="Q10" i="4"/>
  <c r="O11" i="4"/>
  <c r="Q13" i="4"/>
  <c r="Q20" i="4"/>
  <c r="K11" i="4"/>
  <c r="I11" i="4"/>
  <c r="O12" i="4"/>
  <c r="Q14" i="4"/>
  <c r="J11" i="4"/>
  <c r="O9" i="4"/>
  <c r="Q27" i="4"/>
  <c r="Q24" i="4"/>
  <c r="Q29" i="4" s="1"/>
  <c r="Q15" i="4"/>
  <c r="Q31" i="4" l="1"/>
  <c r="Q33" i="4" s="1"/>
  <c r="S22" i="4"/>
  <c r="S35" i="4" s="1"/>
  <c r="M33" i="4"/>
  <c r="Q12" i="4"/>
  <c r="Q9" i="4"/>
  <c r="Q11" i="4"/>
  <c r="R12" i="4" l="1"/>
  <c r="R22" i="4" s="1"/>
  <c r="R35" i="4" s="1"/>
  <c r="H24" i="4"/>
  <c r="H29" i="4" s="1"/>
  <c r="H19" i="4"/>
  <c r="H22" i="4" s="1"/>
  <c r="AK2" i="2" l="1"/>
  <c r="H35" i="4"/>
  <c r="P18" i="4" l="1"/>
  <c r="K18" i="4"/>
  <c r="O18" i="4"/>
  <c r="J18" i="4"/>
  <c r="L18" i="4"/>
  <c r="M18" i="4"/>
  <c r="N18" i="4"/>
  <c r="I18" i="4"/>
  <c r="AH2" i="2"/>
  <c r="P16" i="4"/>
  <c r="AC2" i="2"/>
  <c r="X2" i="2"/>
  <c r="AD2" i="2"/>
  <c r="L16" i="4"/>
  <c r="AG2" i="2"/>
  <c r="O16" i="4"/>
  <c r="AE2" i="2"/>
  <c r="M16" i="4"/>
  <c r="Y2" i="2"/>
  <c r="AA2" i="2"/>
  <c r="J16" i="4"/>
  <c r="Z2" i="2"/>
  <c r="AB2" i="2"/>
  <c r="K16" i="4"/>
  <c r="I16" i="4"/>
  <c r="AF2" i="2"/>
  <c r="N16" i="4"/>
  <c r="W2" i="2"/>
  <c r="P22" i="4" l="1"/>
  <c r="P35" i="4" s="1"/>
  <c r="J22" i="4"/>
  <c r="J35" i="4" s="1"/>
  <c r="K22" i="4"/>
  <c r="K35" i="4" s="1"/>
  <c r="N22" i="4"/>
  <c r="N35" i="4" s="1"/>
  <c r="M22" i="4"/>
  <c r="M35" i="4" s="1"/>
  <c r="O22" i="4"/>
  <c r="O35" i="4" s="1"/>
  <c r="L22" i="4"/>
  <c r="L35" i="4" s="1"/>
  <c r="Q18" i="4"/>
  <c r="Q16" i="4"/>
  <c r="I22" i="4"/>
  <c r="I35" i="4" s="1"/>
  <c r="AI2" i="2"/>
  <c r="Q22" i="4" l="1"/>
  <c r="Q35" i="4" s="1"/>
  <c r="AJ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<sst xmlns="http://schemas.openxmlformats.org/spreadsheetml/2006/main" count="7892" uniqueCount="254">
  <si>
    <t xml:space="preserve">Category </t>
  </si>
  <si>
    <t xml:space="preserve">Activités </t>
  </si>
  <si>
    <t>Riz</t>
  </si>
  <si>
    <t>Mais Concassé</t>
  </si>
  <si>
    <t>Mais en Grain</t>
  </si>
  <si>
    <t>LS</t>
  </si>
  <si>
    <t xml:space="preserve">Huile </t>
  </si>
  <si>
    <t>MNP</t>
  </si>
  <si>
    <t xml:space="preserve">LNS-sq/Nutributter </t>
  </si>
  <si>
    <t>Cash</t>
  </si>
  <si>
    <t>Full ration</t>
  </si>
  <si>
    <t>Half-ration</t>
  </si>
  <si>
    <t>URT 1</t>
  </si>
  <si>
    <t>Early Recovery - FFA</t>
  </si>
  <si>
    <t>MAM treatment 2</t>
  </si>
  <si>
    <t>HIV/TB</t>
  </si>
  <si>
    <t>MAM prevention Child</t>
  </si>
  <si>
    <t>MAM prevention PLW</t>
  </si>
  <si>
    <t>HH protection ration</t>
  </si>
  <si>
    <t>NPA 1</t>
  </si>
  <si>
    <t xml:space="preserve">NPA1 - MAM Prevention Child </t>
  </si>
  <si>
    <t xml:space="preserve">NPA1-  MAM Prevention PL/W </t>
  </si>
  <si>
    <t>Stunting Prevention Child 2</t>
  </si>
  <si>
    <t xml:space="preserve"> </t>
  </si>
  <si>
    <t>Stunting prevention Fortification CHILD</t>
  </si>
  <si>
    <t xml:space="preserve">Stunting Prevention Fortification PLW </t>
  </si>
  <si>
    <t>SMP 1</t>
  </si>
  <si>
    <t xml:space="preserve">School Meals -  CBT </t>
  </si>
  <si>
    <t>School Meals - Food</t>
  </si>
  <si>
    <t>SMS 1</t>
  </si>
  <si>
    <t>DRR- FOOD</t>
  </si>
  <si>
    <t>DRR-CBT</t>
  </si>
  <si>
    <t>Sorgho</t>
  </si>
  <si>
    <t>CSB++</t>
  </si>
  <si>
    <t>P Doz</t>
  </si>
  <si>
    <t>CSB+</t>
  </si>
  <si>
    <t>P Sup</t>
  </si>
  <si>
    <t>Activity Type</t>
  </si>
  <si>
    <t>Resiliance</t>
  </si>
  <si>
    <t>Nutrition</t>
  </si>
  <si>
    <t>GFD</t>
  </si>
  <si>
    <t>IK</t>
  </si>
  <si>
    <t>Modality</t>
  </si>
  <si>
    <t>Mois</t>
  </si>
  <si>
    <t>WBS</t>
  </si>
  <si>
    <t xml:space="preserve">Activite ref Pipeline </t>
  </si>
  <si>
    <t>Activité tag-1 (COMET)</t>
  </si>
  <si>
    <t>Antenne</t>
  </si>
  <si>
    <t>Sous Bureau</t>
  </si>
  <si>
    <t>Corridor</t>
  </si>
  <si>
    <t>Region</t>
  </si>
  <si>
    <t>District</t>
  </si>
  <si>
    <t>Partenaires</t>
  </si>
  <si>
    <t>COMMUNE</t>
  </si>
  <si>
    <t xml:space="preserve">PDFs </t>
  </si>
  <si>
    <t xml:space="preserve">Modalites </t>
  </si>
  <si>
    <t>Total bénéficiaires</t>
  </si>
  <si>
    <t>Commentaire</t>
  </si>
  <si>
    <t>Circonscription scolaire</t>
  </si>
  <si>
    <t>FITAHIA</t>
  </si>
  <si>
    <t>ORN ANOSY</t>
  </si>
  <si>
    <t>ACF</t>
  </si>
  <si>
    <t>ORN AA</t>
  </si>
  <si>
    <t>ONG FIHAMY</t>
  </si>
  <si>
    <t>ORN ANDROY</t>
  </si>
  <si>
    <t>CARITAS</t>
  </si>
  <si>
    <t>SALFA TOLIARA</t>
  </si>
  <si>
    <t>FIHAMY</t>
  </si>
  <si>
    <t>YPA</t>
  </si>
  <si>
    <t>SPC</t>
  </si>
  <si>
    <t>SALFA EJEDA</t>
  </si>
  <si>
    <t>MMDS</t>
  </si>
  <si>
    <t>TBD</t>
  </si>
  <si>
    <t>TODISOA</t>
  </si>
  <si>
    <t>CDD</t>
  </si>
  <si>
    <t>TEF</t>
  </si>
  <si>
    <t>ADRA</t>
  </si>
  <si>
    <t>SAF FJKM</t>
  </si>
  <si>
    <t>ANKOSI</t>
  </si>
  <si>
    <t>NY TANINTSIKA</t>
  </si>
  <si>
    <t>ACCADEMIS</t>
  </si>
  <si>
    <t>WFP DIRECT</t>
  </si>
  <si>
    <t>CRS</t>
  </si>
  <si>
    <t>ASS ANKOSI</t>
  </si>
  <si>
    <t>CP Acronym</t>
  </si>
  <si>
    <t>CP Long</t>
  </si>
  <si>
    <t>Action Conte de la Faim</t>
  </si>
  <si>
    <t>Adventist Development Relief Agency</t>
  </si>
  <si>
    <t>Young People Association</t>
  </si>
  <si>
    <t>GRADE</t>
  </si>
  <si>
    <t>SMP1</t>
  </si>
  <si>
    <t>Ambovombe</t>
  </si>
  <si>
    <t>Manakara</t>
  </si>
  <si>
    <t>Antananarivo</t>
  </si>
  <si>
    <t>Ampanihy</t>
  </si>
  <si>
    <t>Atsimo Andrefana</t>
  </si>
  <si>
    <t>URT1</t>
  </si>
  <si>
    <t>Taolagnaro</t>
  </si>
  <si>
    <t>MAM treatment (Children)</t>
  </si>
  <si>
    <t>Tuléar</t>
  </si>
  <si>
    <t>NPA1</t>
  </si>
  <si>
    <t>Stunting Prevention Child</t>
  </si>
  <si>
    <t>Ifotaka</t>
  </si>
  <si>
    <t>Sampona</t>
  </si>
  <si>
    <t>Tanandava</t>
  </si>
  <si>
    <t xml:space="preserve">Menages </t>
  </si>
  <si>
    <t>Male</t>
  </si>
  <si>
    <t xml:space="preserve">Female </t>
  </si>
  <si>
    <t>Act</t>
  </si>
  <si>
    <t>Sch</t>
  </si>
  <si>
    <t>Voucher</t>
  </si>
  <si>
    <t>Hybrid-Sch</t>
  </si>
  <si>
    <t>Cash-MGA</t>
  </si>
  <si>
    <t>Cash-USD</t>
  </si>
  <si>
    <t>Total - Food</t>
  </si>
  <si>
    <t>Jour</t>
  </si>
  <si>
    <t>Mgmt</t>
  </si>
  <si>
    <t>Stunting Prevention  (PLW)</t>
  </si>
  <si>
    <t>Annee</t>
  </si>
  <si>
    <t>nd</t>
  </si>
  <si>
    <t>Bureau</t>
  </si>
  <si>
    <t>All Bureaus</t>
  </si>
  <si>
    <t>Juillet</t>
  </si>
  <si>
    <t>September</t>
  </si>
  <si>
    <t>Octobre</t>
  </si>
  <si>
    <t>Novembre</t>
  </si>
  <si>
    <t>Août</t>
  </si>
  <si>
    <t>Décembre</t>
  </si>
  <si>
    <t>Janvier</t>
  </si>
  <si>
    <t>Février</t>
  </si>
  <si>
    <t>Mars</t>
  </si>
  <si>
    <t>Avril</t>
  </si>
  <si>
    <t>Mai</t>
  </si>
  <si>
    <t>Juin</t>
  </si>
  <si>
    <t>Distribution Plan</t>
  </si>
  <si>
    <t xml:space="preserve">GD Cyclone </t>
  </si>
  <si>
    <t xml:space="preserve">GFD Drought </t>
  </si>
  <si>
    <t>LNS</t>
  </si>
  <si>
    <t>Total MT</t>
  </si>
  <si>
    <t>Beneficiaries</t>
  </si>
  <si>
    <t>GRAND TOTAL</t>
  </si>
  <si>
    <t>Sub Total</t>
  </si>
  <si>
    <t>Mod</t>
  </si>
  <si>
    <t xml:space="preserve">Version </t>
  </si>
  <si>
    <t>Cash (Ar)</t>
  </si>
  <si>
    <t>Cash (US$)</t>
  </si>
  <si>
    <t>Activities</t>
  </si>
  <si>
    <t>HHS</t>
  </si>
  <si>
    <t>Active</t>
  </si>
  <si>
    <t>DFM</t>
  </si>
  <si>
    <t>MAM PrevMa (Children)</t>
  </si>
  <si>
    <t>MAM PrevMa (PLW)</t>
  </si>
  <si>
    <t>Behara</t>
  </si>
  <si>
    <t>Rate</t>
  </si>
  <si>
    <t>Month</t>
  </si>
  <si>
    <t>Trans Rate (Ar)</t>
  </si>
  <si>
    <t>MAM PrevMa (Children)-Cash</t>
  </si>
  <si>
    <t>MAM PrevMa (PLW)-Cash</t>
  </si>
  <si>
    <t>amboasary</t>
  </si>
  <si>
    <t>NPA_STUN:Prevention of Stunting</t>
  </si>
  <si>
    <t>Toliara</t>
  </si>
  <si>
    <t>FOTADREVO</t>
  </si>
  <si>
    <t>BETEZA HAUT</t>
  </si>
  <si>
    <t>ANARABEMOKO</t>
  </si>
  <si>
    <t>TANANTSOA</t>
  </si>
  <si>
    <t>BEKISENY</t>
  </si>
  <si>
    <t>ANIVORANO CENTRE</t>
  </si>
  <si>
    <t>ANIVORANO I</t>
  </si>
  <si>
    <t>AMBALATANY</t>
  </si>
  <si>
    <t>ANDRANOMILITSE</t>
  </si>
  <si>
    <t>BESAKOA</t>
  </si>
  <si>
    <t>ASONJO II</t>
  </si>
  <si>
    <t>BEBAKAKA</t>
  </si>
  <si>
    <t>ANTOHABATO</t>
  </si>
  <si>
    <t>BELINJO</t>
  </si>
  <si>
    <t>SETA I</t>
  </si>
  <si>
    <t>AMBILANY HAUT</t>
  </si>
  <si>
    <t>BETENY</t>
  </si>
  <si>
    <t>ANDRANOTSIRIRY</t>
  </si>
  <si>
    <t>AMBONDROMENA</t>
  </si>
  <si>
    <t>BEAMALO</t>
  </si>
  <si>
    <t>BEVARO</t>
  </si>
  <si>
    <t>ITAMPOLO</t>
  </si>
  <si>
    <t>ANKILIBORY NORD</t>
  </si>
  <si>
    <t>TANINDRATO</t>
  </si>
  <si>
    <t>ANKILITELO II</t>
  </si>
  <si>
    <t>ANJABELITSAKY</t>
  </si>
  <si>
    <t>VOMBE</t>
  </si>
  <si>
    <t>ANDRANOVAO</t>
  </si>
  <si>
    <t>ANJANOMASINTSOA</t>
  </si>
  <si>
    <t>MALANGERIAKY</t>
  </si>
  <si>
    <t>BESELY NORD</t>
  </si>
  <si>
    <t>BEFOLOTSE</t>
  </si>
  <si>
    <t>TSIANDRIONA NORD</t>
  </si>
  <si>
    <t>TONGANORO</t>
  </si>
  <si>
    <t>MAROLINTA</t>
  </si>
  <si>
    <t>ITAMPOLO II</t>
  </si>
  <si>
    <t>ANKITIKITIKY</t>
  </si>
  <si>
    <t>VOROJA</t>
  </si>
  <si>
    <t>AMPITANAKYY</t>
  </si>
  <si>
    <t>ANDROIMPANO</t>
  </si>
  <si>
    <t>BESELY SUD</t>
  </si>
  <si>
    <t>TSIANDRIONA SUD</t>
  </si>
  <si>
    <t>AMBALATSIMIVIKY</t>
  </si>
  <si>
    <t>ANDROIPANO</t>
  </si>
  <si>
    <t>AMBOLISOGNE</t>
  </si>
  <si>
    <t>AGNAVOHA</t>
  </si>
  <si>
    <t>ANKATRAFAY</t>
  </si>
  <si>
    <t>TANANDAVA 1</t>
  </si>
  <si>
    <t>ANALAFANTSIKY</t>
  </si>
  <si>
    <t>ANAVOHA CENTRE</t>
  </si>
  <si>
    <t>MANDABE ANKILIMARO</t>
  </si>
  <si>
    <t>anosy</t>
  </si>
  <si>
    <t xml:space="preserve">Amboasary </t>
  </si>
  <si>
    <t>MIEBA</t>
  </si>
  <si>
    <t>ANDAVABAZA</t>
  </si>
  <si>
    <t>BERENTY</t>
  </si>
  <si>
    <t>ANDREGNARA</t>
  </si>
  <si>
    <t>ANKIRIKIRIKE</t>
  </si>
  <si>
    <t>MAROMENA CENTRE</t>
  </si>
  <si>
    <t>BEFAITSY</t>
  </si>
  <si>
    <t>FANDIOVA</t>
  </si>
  <si>
    <t>Berano</t>
  </si>
  <si>
    <t>MANITSEVO</t>
  </si>
  <si>
    <t>AMPOTOBATO CENTRE</t>
  </si>
  <si>
    <t>ANDAVABOAY MAROMENIKE</t>
  </si>
  <si>
    <t>BERANO VILLE</t>
  </si>
  <si>
    <t>IFOTAKA CENTRE</t>
  </si>
  <si>
    <t>IFOTAKA DP</t>
  </si>
  <si>
    <t>FENOAIVO</t>
  </si>
  <si>
    <t>BEKIRIA CENTRE</t>
  </si>
  <si>
    <t>ANJAMAHAVELO</t>
  </si>
  <si>
    <t>TSARAMPIOKY</t>
  </si>
  <si>
    <t xml:space="preserve">TANANDAVA </t>
  </si>
  <si>
    <t>AMBATOMENA</t>
  </si>
  <si>
    <t>MAROLOHA</t>
  </si>
  <si>
    <t>ANTSOVELA</t>
  </si>
  <si>
    <t>SAMPONA CENTRE</t>
  </si>
  <si>
    <t>ANKILIDOGA</t>
  </si>
  <si>
    <t>ELANJA CENTRE</t>
  </si>
  <si>
    <t>VAHAVOLA CENTRE</t>
  </si>
  <si>
    <t>MANINDRA CENTRE</t>
  </si>
  <si>
    <t>MANDRAPASY</t>
  </si>
  <si>
    <t>SIHANAKARA</t>
  </si>
  <si>
    <t>Stunting Prevention PLW AMP</t>
  </si>
  <si>
    <t>Stunting Prevention PLW AMB</t>
  </si>
  <si>
    <t>ANDROY</t>
  </si>
  <si>
    <t>SIHANAMARO</t>
  </si>
  <si>
    <t>A</t>
  </si>
  <si>
    <t>ANOSY</t>
  </si>
  <si>
    <t>TSIVORY</t>
  </si>
  <si>
    <t>Tsivory</t>
  </si>
  <si>
    <t>NPA2</t>
  </si>
  <si>
    <t>NPA3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</si>
</sst>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_-[$Ar]\ * #,##0_-;\-[$Ar]\ * #,##0_-;_-[$Ar]\ * &quot;-&quot;_-;_-@_-" x16r2:formatCode16="_-[$Ar-mg-MG]\ * #,##0_-;\-[$Ar-mg-MG]\ * #,##0_-;_-[$Ar-mg-MG]\ * &quot;-&quot;_-;_-@_-"/>
    <numFmt numFmtId="167" formatCode="[$$-409]#,##0"/>
    <numFmt numFmtId="168" formatCode="_(* #,##0.000_);_(* \(#,##0.000\);_(* &quot;-&quot;??_);_(@_)"/>
    <numFmt numFmtId="169" formatCode="0.0"/>
    <numFmt numFmtId="170" formatCode="_-[$Ar]\ * #,##0.00_-;\-[$Ar]\ * #,##0.00_-;_-[$Ar]\ * &quot;-&quot;??_-;_-@_-" x16r2:formatCode16="_-[$Ar-mg-MG]\ * #,##0.00_-;\-[$Ar-mg-MG]\ * #,##0.00_-;_-[$Ar-mg-MG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sz val="9"/>
      <color rgb="FF000000"/>
      <name val="Roboto"/>
    </font>
    <font>
      <b/>
      <sz val="2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16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2" xfId="0" applyFont="1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  <xf numFmtId="0" fontId="0" fillId="0" borderId="3" xfId="0" applyBorder="1" applyAlignment="1">
      <alignment horizontal="center"/>
    </xf>
    <xf numFmtId="166" fontId="0" fillId="0" borderId="0" xfId="0" applyNumberFormat="1"/>
    <xf numFmtId="164" fontId="2" fillId="2" borderId="1" xfId="1" applyFont="1" applyFill="1" applyBorder="1" applyAlignment="1">
      <alignment horizontal="center"/>
    </xf>
    <xf numFmtId="0" fontId="0" fillId="3" borderId="6" xfId="0" applyFill="1" applyBorder="1"/>
    <xf numFmtId="0" fontId="0" fillId="3" borderId="0" xfId="0" applyFill="1"/>
    <xf numFmtId="0" fontId="2" fillId="2" borderId="21" xfId="0" applyFont="1" applyFill="1" applyBorder="1"/>
    <xf numFmtId="0" fontId="2" fillId="2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" xfId="0" applyBorder="1"/>
    <xf numFmtId="165" fontId="0" fillId="0" borderId="15" xfId="1" applyNumberFormat="1" applyFont="1" applyBorder="1"/>
    <xf numFmtId="165" fontId="0" fillId="0" borderId="15" xfId="0" applyNumberFormat="1" applyBorder="1"/>
    <xf numFmtId="0" fontId="0" fillId="0" borderId="15" xfId="0" applyBorder="1" applyAlignment="1">
      <alignment horizontal="center"/>
    </xf>
    <xf numFmtId="164" fontId="0" fillId="0" borderId="15" xfId="1" quotePrefix="1" applyFont="1" applyBorder="1"/>
    <xf numFmtId="164" fontId="0" fillId="0" borderId="15" xfId="1" applyFont="1" applyBorder="1"/>
    <xf numFmtId="168" fontId="0" fillId="0" borderId="15" xfId="1" applyNumberFormat="1" applyFont="1" applyBorder="1"/>
    <xf numFmtId="166" fontId="0" fillId="0" borderId="15" xfId="0" applyNumberFormat="1" applyBorder="1"/>
    <xf numFmtId="167" fontId="0" fillId="0" borderId="27" xfId="0" applyNumberFormat="1" applyBorder="1"/>
    <xf numFmtId="17" fontId="0" fillId="0" borderId="14" xfId="0" applyNumberFormat="1" applyBorder="1" applyAlignment="1">
      <alignment horizontal="center"/>
    </xf>
    <xf numFmtId="0" fontId="8" fillId="0" borderId="0" xfId="0" applyFont="1"/>
    <xf numFmtId="0" fontId="0" fillId="0" borderId="0" xfId="0" quotePrefix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169" fontId="2" fillId="0" borderId="1" xfId="0" applyNumberFormat="1" applyFont="1" applyBorder="1" applyAlignment="1" applyProtection="1">
      <alignment horizontal="center" vertical="center"/>
      <protection locked="0"/>
    </xf>
    <xf numFmtId="0" fontId="5" fillId="0" borderId="0" xfId="2" applyFont="1" applyProtection="1">
      <protection locked="0"/>
    </xf>
    <xf numFmtId="0" fontId="4" fillId="0" borderId="0" xfId="2" applyProtection="1">
      <protection locked="0"/>
    </xf>
    <xf numFmtId="0" fontId="2" fillId="0" borderId="0" xfId="0" applyFont="1" applyProtection="1">
      <protection locked="0"/>
    </xf>
    <xf numFmtId="0" fontId="7" fillId="5" borderId="1" xfId="2" applyFont="1" applyFill="1" applyBorder="1" applyAlignment="1" applyProtection="1">
      <alignment horizontal="center" vertical="center"/>
      <protection locked="0"/>
    </xf>
    <xf numFmtId="0" fontId="6" fillId="6" borderId="1" xfId="2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65" fontId="2" fillId="8" borderId="1" xfId="1" applyNumberFormat="1" applyFont="1" applyFill="1" applyBorder="1" applyProtection="1">
      <protection hidden="1"/>
    </xf>
    <xf numFmtId="164" fontId="2" fillId="8" borderId="1" xfId="1" applyFont="1" applyFill="1" applyBorder="1" applyProtection="1">
      <protection hidden="1"/>
    </xf>
    <xf numFmtId="166" fontId="2" fillId="8" borderId="1" xfId="0" applyNumberFormat="1" applyFont="1" applyFill="1" applyBorder="1" applyProtection="1">
      <protection hidden="1"/>
    </xf>
    <xf numFmtId="167" fontId="2" fillId="8" borderId="1" xfId="0" applyNumberFormat="1" applyFont="1" applyFill="1" applyBorder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6" fillId="4" borderId="1" xfId="2" applyFont="1" applyFill="1" applyBorder="1" applyAlignment="1">
      <alignment horizontal="center" vertical="center"/>
    </xf>
    <xf numFmtId="164" fontId="0" fillId="0" borderId="0" xfId="0" applyNumberFormat="1"/>
    <xf numFmtId="0" fontId="11" fillId="0" borderId="1" xfId="0" applyFont="1" applyBorder="1" applyAlignment="1" applyProtection="1">
      <alignment horizontal="center"/>
      <protection hidden="1"/>
    </xf>
    <xf numFmtId="165" fontId="11" fillId="0" borderId="1" xfId="1" applyNumberFormat="1" applyFont="1" applyBorder="1" applyAlignment="1" applyProtection="1">
      <alignment horizontal="center"/>
      <protection hidden="1"/>
    </xf>
    <xf numFmtId="165" fontId="11" fillId="0" borderId="1" xfId="1" quotePrefix="1" applyNumberFormat="1" applyFont="1" applyBorder="1" applyProtection="1">
      <protection hidden="1"/>
    </xf>
    <xf numFmtId="164" fontId="11" fillId="0" borderId="1" xfId="1" applyFont="1" applyBorder="1" applyProtection="1">
      <protection hidden="1"/>
    </xf>
    <xf numFmtId="166" fontId="11" fillId="0" borderId="1" xfId="0" applyNumberFormat="1" applyFont="1" applyBorder="1" applyProtection="1">
      <protection hidden="1"/>
    </xf>
    <xf numFmtId="167" fontId="11" fillId="0" borderId="1" xfId="0" applyNumberFormat="1" applyFont="1" applyBorder="1" applyProtection="1">
      <protection hidden="1"/>
    </xf>
    <xf numFmtId="0" fontId="11" fillId="0" borderId="20" xfId="0" applyFont="1" applyBorder="1" applyAlignment="1" applyProtection="1">
      <alignment horizontal="center"/>
      <protection hidden="1"/>
    </xf>
    <xf numFmtId="165" fontId="11" fillId="0" borderId="20" xfId="1" applyNumberFormat="1" applyFont="1" applyBorder="1" applyAlignment="1" applyProtection="1">
      <alignment horizontal="center"/>
      <protection hidden="1"/>
    </xf>
    <xf numFmtId="165" fontId="0" fillId="2" borderId="1" xfId="1" applyNumberFormat="1" applyFont="1" applyFill="1" applyBorder="1" applyAlignment="1">
      <alignment horizontal="center"/>
    </xf>
    <xf numFmtId="165" fontId="0" fillId="0" borderId="4" xfId="1" applyNumberFormat="1" applyFont="1" applyBorder="1"/>
    <xf numFmtId="165" fontId="0" fillId="0" borderId="7" xfId="1" applyNumberFormat="1" applyFont="1" applyBorder="1"/>
    <xf numFmtId="164" fontId="0" fillId="2" borderId="1" xfId="1" applyNumberFormat="1" applyFont="1" applyFill="1" applyBorder="1" applyAlignment="1">
      <alignment horizontal="center"/>
    </xf>
    <xf numFmtId="164" fontId="0" fillId="0" borderId="8" xfId="1" quotePrefix="1" applyNumberFormat="1" applyFont="1" applyBorder="1"/>
    <xf numFmtId="164" fontId="0" fillId="0" borderId="9" xfId="1" quotePrefix="1" applyNumberFormat="1" applyFont="1" applyBorder="1"/>
    <xf numFmtId="164" fontId="0" fillId="0" borderId="0" xfId="1" applyNumberFormat="1" applyFont="1"/>
    <xf numFmtId="170" fontId="0" fillId="0" borderId="0" xfId="0" applyNumberFormat="1"/>
    <xf numFmtId="0" fontId="0" fillId="0" borderId="15" xfId="0" applyFill="1" applyBorder="1"/>
    <xf numFmtId="0" fontId="0" fillId="0" borderId="0" xfId="0" applyFill="1"/>
    <xf numFmtId="0" fontId="11" fillId="0" borderId="1" xfId="0" applyFont="1" applyBorder="1" applyAlignment="1" applyProtection="1">
      <alignment horizontal="center"/>
      <protection hidden="1"/>
    </xf>
    <xf numFmtId="0" fontId="0" fillId="9" borderId="3" xfId="0" applyFill="1" applyBorder="1"/>
    <xf numFmtId="17" fontId="0" fillId="9" borderId="14" xfId="0" applyNumberForma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0" xfId="0" applyFill="1"/>
    <xf numFmtId="0" fontId="0" fillId="9" borderId="8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164" fontId="0" fillId="9" borderId="8" xfId="1" quotePrefix="1" applyNumberFormat="1" applyFont="1" applyFill="1" applyBorder="1"/>
    <xf numFmtId="0" fontId="0" fillId="9" borderId="8" xfId="0" applyFill="1" applyBorder="1"/>
    <xf numFmtId="0" fontId="0" fillId="9" borderId="4" xfId="0" applyFill="1" applyBorder="1"/>
    <xf numFmtId="165" fontId="0" fillId="9" borderId="4" xfId="1" applyNumberFormat="1" applyFont="1" applyFill="1" applyBorder="1"/>
    <xf numFmtId="0" fontId="11" fillId="9" borderId="20" xfId="0" applyFont="1" applyFill="1" applyBorder="1" applyAlignment="1" applyProtection="1">
      <alignment horizontal="center"/>
      <protection hidden="1"/>
    </xf>
    <xf numFmtId="165" fontId="11" fillId="9" borderId="1" xfId="1" quotePrefix="1" applyNumberFormat="1" applyFont="1" applyFill="1" applyBorder="1" applyProtection="1">
      <protection hidden="1"/>
    </xf>
    <xf numFmtId="164" fontId="11" fillId="9" borderId="1" xfId="1" applyFont="1" applyFill="1" applyBorder="1" applyProtection="1">
      <protection hidden="1"/>
    </xf>
    <xf numFmtId="0" fontId="0" fillId="10" borderId="15" xfId="0" applyFill="1" applyBorder="1"/>
    <xf numFmtId="164" fontId="0" fillId="10" borderId="15" xfId="1" applyFont="1" applyFill="1" applyBorder="1"/>
    <xf numFmtId="164" fontId="0" fillId="9" borderId="15" xfId="1" applyFont="1" applyFill="1" applyBorder="1"/>
    <xf numFmtId="164" fontId="0" fillId="0" borderId="15" xfId="1" quotePrefix="1" applyFont="1" applyFill="1" applyBorder="1"/>
    <xf numFmtId="165" fontId="0" fillId="0" borderId="15" xfId="1" applyNumberFormat="1" applyFont="1" applyFill="1" applyBorder="1"/>
    <xf numFmtId="164" fontId="0" fillId="0" borderId="15" xfId="1" applyFont="1" applyFill="1" applyBorder="1"/>
    <xf numFmtId="168" fontId="0" fillId="0" borderId="15" xfId="1" applyNumberFormat="1" applyFont="1" applyFill="1" applyBorder="1"/>
    <xf numFmtId="166" fontId="0" fillId="0" borderId="15" xfId="0" applyNumberFormat="1" applyFill="1" applyBorder="1"/>
    <xf numFmtId="17" fontId="0" fillId="11" borderId="14" xfId="0" applyNumberFormat="1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5" xfId="0" applyFill="1" applyBorder="1"/>
    <xf numFmtId="0" fontId="0" fillId="11" borderId="0" xfId="0" applyFill="1"/>
    <xf numFmtId="164" fontId="0" fillId="11" borderId="15" xfId="1" quotePrefix="1" applyFont="1" applyFill="1" applyBorder="1"/>
    <xf numFmtId="165" fontId="0" fillId="11" borderId="15" xfId="1" applyNumberFormat="1" applyFont="1" applyFill="1" applyBorder="1"/>
    <xf numFmtId="164" fontId="0" fillId="11" borderId="15" xfId="1" applyFont="1" applyFill="1" applyBorder="1"/>
    <xf numFmtId="168" fontId="0" fillId="11" borderId="15" xfId="1" applyNumberFormat="1" applyFont="1" applyFill="1" applyBorder="1"/>
    <xf numFmtId="166" fontId="0" fillId="11" borderId="15" xfId="0" applyNumberFormat="1" applyFill="1" applyBorder="1"/>
    <xf numFmtId="167" fontId="0" fillId="11" borderId="27" xfId="0" applyNumberFormat="1" applyFill="1" applyBorder="1"/>
    <xf numFmtId="17" fontId="0" fillId="11" borderId="31" xfId="0" applyNumberFormat="1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0" fontId="0" fillId="11" borderId="32" xfId="0" applyFill="1" applyBorder="1"/>
    <xf numFmtId="168" fontId="0" fillId="11" borderId="32" xfId="1" applyNumberFormat="1" applyFont="1" applyFill="1" applyBorder="1"/>
    <xf numFmtId="166" fontId="0" fillId="11" borderId="32" xfId="0" applyNumberFormat="1" applyFill="1" applyBorder="1"/>
    <xf numFmtId="167" fontId="0" fillId="11" borderId="33" xfId="0" applyNumberFormat="1" applyFill="1" applyBorder="1"/>
    <xf numFmtId="17" fontId="0" fillId="0" borderId="15" xfId="0" applyNumberFormat="1" applyBorder="1" applyAlignment="1">
      <alignment horizontal="center"/>
    </xf>
    <xf numFmtId="164" fontId="0" fillId="0" borderId="15" xfId="0" applyNumberFormat="1" applyBorder="1"/>
    <xf numFmtId="167" fontId="0" fillId="0" borderId="15" xfId="0" applyNumberFormat="1" applyBorder="1"/>
    <xf numFmtId="0" fontId="0" fillId="0" borderId="15" xfId="1" applyNumberFormat="1" applyFont="1" applyBorder="1"/>
    <xf numFmtId="0" fontId="0" fillId="11" borderId="15" xfId="1" applyNumberFormat="1" applyFont="1" applyFill="1" applyBorder="1"/>
    <xf numFmtId="164" fontId="0" fillId="11" borderId="15" xfId="0" applyNumberFormat="1" applyFill="1" applyBorder="1"/>
    <xf numFmtId="165" fontId="0" fillId="11" borderId="15" xfId="0" applyNumberFormat="1" applyFill="1" applyBorder="1"/>
    <xf numFmtId="167" fontId="0" fillId="11" borderId="15" xfId="0" applyNumberFormat="1" applyFill="1" applyBorder="1"/>
    <xf numFmtId="0" fontId="0" fillId="0" borderId="30" xfId="0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10" borderId="0" xfId="0" applyFill="1" applyBorder="1"/>
    <xf numFmtId="164" fontId="0" fillId="11" borderId="32" xfId="0" applyNumberFormat="1" applyFill="1" applyBorder="1"/>
    <xf numFmtId="165" fontId="0" fillId="11" borderId="32" xfId="0" applyNumberFormat="1" applyFill="1" applyBorder="1"/>
    <xf numFmtId="0" fontId="0" fillId="0" borderId="0" xfId="0" applyBorder="1" applyAlignment="1">
      <alignment horizontal="center"/>
    </xf>
    <xf numFmtId="0" fontId="0" fillId="11" borderId="30" xfId="0" applyFill="1" applyBorder="1"/>
    <xf numFmtId="167" fontId="0" fillId="0" borderId="15" xfId="0" applyNumberFormat="1" applyFill="1" applyBorder="1"/>
    <xf numFmtId="0" fontId="0" fillId="0" borderId="0" xfId="0" applyAlignment="1">
      <alignment horizontal="right"/>
    </xf>
    <xf numFmtId="1" fontId="0" fillId="0" borderId="15" xfId="0" applyNumberFormat="1" applyBorder="1" applyAlignment="1">
      <alignment horizontal="right"/>
    </xf>
    <xf numFmtId="1" fontId="0" fillId="11" borderId="15" xfId="0" applyNumberFormat="1" applyFill="1" applyBorder="1" applyAlignment="1">
      <alignment horizontal="right"/>
    </xf>
    <xf numFmtId="1" fontId="0" fillId="11" borderId="32" xfId="0" applyNumberFormat="1" applyFill="1" applyBorder="1" applyAlignment="1">
      <alignment horizontal="right"/>
    </xf>
    <xf numFmtId="1" fontId="0" fillId="0" borderId="15" xfId="0" applyNumberFormat="1" applyFill="1" applyBorder="1" applyAlignment="1">
      <alignment horizontal="right" vertical="center"/>
    </xf>
    <xf numFmtId="1" fontId="0" fillId="11" borderId="15" xfId="0" applyNumberFormat="1" applyFill="1" applyBorder="1" applyAlignment="1">
      <alignment horizontal="right" vertical="center"/>
    </xf>
    <xf numFmtId="0" fontId="10" fillId="0" borderId="0" xfId="0" applyFont="1" applyAlignment="1" applyProtection="1">
      <alignment horizont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/>
      <protection hidden="1"/>
    </xf>
    <xf numFmtId="0" fontId="3" fillId="7" borderId="10" xfId="0" applyFont="1" applyFill="1" applyBorder="1" applyAlignment="1" applyProtection="1">
      <alignment horizontal="center"/>
      <protection hidden="1"/>
    </xf>
    <xf numFmtId="0" fontId="3" fillId="7" borderId="28" xfId="0" applyFont="1" applyFill="1" applyBorder="1" applyAlignment="1" applyProtection="1">
      <alignment horizontal="center"/>
      <protection hidden="1"/>
    </xf>
    <xf numFmtId="0" fontId="3" fillId="7" borderId="29" xfId="0" applyFont="1" applyFill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center"/>
      <protection hidden="1"/>
    </xf>
    <xf numFmtId="0" fontId="11" fillId="9" borderId="1" xfId="0" applyFont="1" applyFill="1" applyBorder="1" applyAlignment="1" applyProtection="1">
      <alignment horizontal="center"/>
      <protection hidden="1"/>
    </xf>
    <xf numFmtId="0" fontId="11" fillId="0" borderId="10" xfId="0" applyFont="1" applyBorder="1" applyAlignment="1" applyProtection="1">
      <alignment horizontal="center"/>
      <protection hidden="1"/>
    </xf>
    <xf numFmtId="0" fontId="11" fillId="0" borderId="28" xfId="0" applyFont="1" applyBorder="1" applyAlignment="1" applyProtection="1">
      <alignment horizontal="center"/>
      <protection hidden="1"/>
    </xf>
    <xf numFmtId="0" fontId="11" fillId="0" borderId="29" xfId="0" applyFont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 2" xfId="2" xr:uid="{4BE27677-A5F3-4196-8219-DE7A8B4D0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449202</xdr:colOff>
      <xdr:row>1</xdr:row>
      <xdr:rowOff>0</xdr:rowOff>
    </xdr:from>
    <xdr:to>
      <xdr:col>2</xdr:col>
      <xdr:colOff>577849</xdr:colOff>
      <xdr:row>1</xdr:row>
      <xdr:rowOff>141909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6C5F19FF-7D8D-4158-826A-7FB44943CACC}"/>
            </a:ext>
          </a:extLst>
        </xdr:cNvPr>
        <xdr:cNvSpPr/>
      </xdr:nvSpPr>
      <xdr:spPr>
        <a:xfrm rot="5400000">
          <a:off x="1144246" y="352706"/>
          <a:ext cx="186359" cy="128647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G\st\HON%20-%202021\PL%20Project%20S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"/>
      <sheetName val="inv"/>
      <sheetName val="CP yr"/>
      <sheetName val="ALL"/>
      <sheetName val="SDAT"/>
      <sheetName val="Ops"/>
      <sheetName val="SUM"/>
      <sheetName val="exp1"/>
      <sheetName val="ref"/>
      <sheetName val="ref1"/>
      <sheetName val="Desc"/>
      <sheetName val="SI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All</v>
          </cell>
          <cell r="R3">
            <v>2019</v>
          </cell>
          <cell r="V3" t="str">
            <v>All Offices</v>
          </cell>
        </row>
        <row r="4">
          <cell r="B4" t="str">
            <v>Active</v>
          </cell>
          <cell r="R4">
            <v>2020</v>
          </cell>
          <cell r="V4" t="str">
            <v>BOS</v>
          </cell>
        </row>
        <row r="5">
          <cell r="B5" t="str">
            <v>Expired</v>
          </cell>
          <cell r="R5">
            <v>2021</v>
          </cell>
          <cell r="V5" t="str">
            <v>GAR</v>
          </cell>
        </row>
        <row r="6">
          <cell r="B6" t="str">
            <v>Aden Req</v>
          </cell>
          <cell r="R6">
            <v>2022</v>
          </cell>
          <cell r="V6" t="str">
            <v>GAL</v>
          </cell>
        </row>
        <row r="7">
          <cell r="R7">
            <v>2023</v>
          </cell>
        </row>
        <row r="8">
          <cell r="R8">
            <v>2024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2648-1A20-4E4E-9677-298BA4F508BD}">
  <sheetPr codeName="Sheet2"/>
  <dimension ref="B1:S35"/>
  <sheetViews>
    <sheetView showGridLines="0" tabSelected="1" zoomScale="85" zoomScaleNormal="85" workbookViewId="0">
      <pane xSplit="7" ySplit="8" topLeftCell="H24" activePane="bottomRight" state="frozen"/>
      <selection activeCell="M10" sqref="M10"/>
      <selection pane="topRight" activeCell="M10" sqref="M10"/>
      <selection pane="bottomLeft" activeCell="M10" sqref="M10"/>
      <selection pane="bottomRight" activeCell="C5" sqref="C5"/>
    </sheetView>
  </sheetViews>
  <sheetFormatPr defaultColWidth="8.6328125" defaultRowHeight="14.5" x14ac:dyDescent="0.35"/>
  <cols>
    <col min="1" max="1" width="1" style="53" customWidth="1"/>
    <col min="2" max="2" width="7.453125" style="53" customWidth="1"/>
    <col min="3" max="3" width="12.08984375" style="53" bestFit="1" customWidth="1"/>
    <col min="4" max="4" width="5.453125" style="53" customWidth="1"/>
    <col min="5" max="5" width="6.90625" style="54" customWidth="1"/>
    <col min="6" max="6" width="9.36328125" style="54" customWidth="1"/>
    <col min="7" max="7" width="12.54296875" style="53" customWidth="1"/>
    <col min="8" max="8" width="9.54296875" style="53" customWidth="1"/>
    <col min="9" max="9" width="10.90625" style="53" customWidth="1"/>
    <col min="10" max="15" width="8.6328125" style="53"/>
    <col min="16" max="16" width="10.08984375" style="53" customWidth="1"/>
    <col min="17" max="17" width="10.90625" style="53" customWidth="1"/>
    <col min="18" max="18" width="17.90625" style="53" customWidth="1"/>
    <col min="19" max="19" width="11.453125" style="53" customWidth="1"/>
    <col min="20" max="16384" width="8.6328125" style="53"/>
  </cols>
  <sheetData>
    <row r="1" spans="2:19" ht="19.5" x14ac:dyDescent="0.45">
      <c r="F1" s="55"/>
      <c r="R1" s="56" t="s">
        <v>143</v>
      </c>
      <c r="S1" s="57">
        <v>1.3</v>
      </c>
    </row>
    <row r="2" spans="2:19" x14ac:dyDescent="0.35">
      <c r="B2" s="58" t="s">
        <v>119</v>
      </c>
      <c r="C2" s="59"/>
    </row>
    <row r="3" spans="2:19" ht="18.649999999999999" customHeight="1" x14ac:dyDescent="0.35">
      <c r="B3" s="71" t="s">
        <v>120</v>
      </c>
      <c r="C3" s="61" t="s">
        <v>121</v>
      </c>
      <c r="E3" s="156" t="str">
        <f>IF($C$3="","",IF(C3="Tulear","Tulear",IF(C3="Ambovombe","Ambovombe",IF(C3="Antananarivo","Antananarivo",IF(C3="Ampanihy","Ampanihy",IF(C3="Manakara","Manakara",IF(C3="All Bureaus","Madagascar")))))))</f>
        <v>Madagascar</v>
      </c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</row>
    <row r="4" spans="2:19" ht="17.149999999999999" customHeight="1" x14ac:dyDescent="0.35">
      <c r="B4" s="71" t="s">
        <v>118</v>
      </c>
      <c r="C4" s="62">
        <v>2023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</row>
    <row r="5" spans="2:19" ht="19.5" x14ac:dyDescent="0.45">
      <c r="B5" s="71" t="s">
        <v>43</v>
      </c>
      <c r="C5" s="62" t="s">
        <v>128</v>
      </c>
      <c r="E5" s="155" t="str">
        <f>IF(C3="","",IF(E3="Madagascar","Country Office Summary",IF(E3="Antananarivo","Area Summary","Sub Office Summary")))</f>
        <v>Country Office Summary</v>
      </c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</row>
    <row r="6" spans="2:19" ht="19.5" x14ac:dyDescent="0.45">
      <c r="E6" s="157" t="s">
        <v>134</v>
      </c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</row>
    <row r="8" spans="2:19" s="60" customFormat="1" x14ac:dyDescent="0.35">
      <c r="B8" s="159" t="s">
        <v>146</v>
      </c>
      <c r="C8" s="160"/>
      <c r="D8" s="161"/>
      <c r="E8" s="63" t="s">
        <v>44</v>
      </c>
      <c r="F8" s="63" t="s">
        <v>142</v>
      </c>
      <c r="G8" s="63" t="s">
        <v>139</v>
      </c>
      <c r="H8" s="63" t="s">
        <v>147</v>
      </c>
      <c r="I8" s="64" t="s">
        <v>2</v>
      </c>
      <c r="J8" s="64" t="s">
        <v>5</v>
      </c>
      <c r="K8" s="64" t="s">
        <v>6</v>
      </c>
      <c r="L8" s="64" t="s">
        <v>36</v>
      </c>
      <c r="M8" s="64" t="s">
        <v>35</v>
      </c>
      <c r="N8" s="64" t="s">
        <v>33</v>
      </c>
      <c r="O8" s="64" t="s">
        <v>34</v>
      </c>
      <c r="P8" s="64" t="s">
        <v>137</v>
      </c>
      <c r="Q8" s="64" t="s">
        <v>138</v>
      </c>
      <c r="R8" s="63" t="s">
        <v>144</v>
      </c>
      <c r="S8" s="63" t="s">
        <v>145</v>
      </c>
    </row>
    <row r="9" spans="2:19" hidden="1" x14ac:dyDescent="0.35">
      <c r="B9" s="162" t="s">
        <v>135</v>
      </c>
      <c r="C9" s="162"/>
      <c r="D9" s="162"/>
      <c r="E9" s="73" t="s">
        <v>96</v>
      </c>
      <c r="F9" s="74" t="s">
        <v>41</v>
      </c>
      <c r="G9" s="75">
        <f t="shared" ref="G9:G21" si="0">IF($C$3="","",IF($C$4="","",IF($C$5="","",IF($C$3&lt;&gt;"All Bureaus",SUMIFS(d_bnf,D_mod,F9,d_act,B9,d_yr,$C$4,d_mth,$C$5,d_SO,$C$3,d_stats,"A"),SUMIFS(d_bnf,D_mod,F9,d_act,B9,d_yr,$C$4,d_mth,$C$5,d_stats,"a")))))</f>
        <v>0</v>
      </c>
      <c r="H9" s="75">
        <f t="shared" ref="H9:H21" si="1">IF($C$3="","",IF($C$4="","",IF($C$5="","",IF($C$3&lt;&gt;"All Bureaus",SUMIFS(d_hhs,D_mod,F9,d_act,B9,d_yr,$C$4,d_mth,$C$5,d_SO,$C$3,d_stats,"a"),SUMIFS(d_hhs,D_mod,F9,d_act,B9,d_yr,$C$4,d_mth,$C$5,d_stats,"a")))))</f>
        <v>0</v>
      </c>
      <c r="I9" s="76">
        <f t="shared" ref="I9:I21" si="2">IF($C$3="","",IF($C$4="","",IF($C$5="","",IF($C$3&lt;&gt;"All Bureaus",SUMIFS(d_riz,D_mod,F9,d_act,B9,d_yr,$C$4,d_mth,$C$5,d_SO,$C$3),SUMIFS(d_riz,D_mod,F9,d_act,B9,d_yr,$C$4,d_mth,$C$5)))))</f>
        <v>0</v>
      </c>
      <c r="J9" s="76">
        <f t="shared" ref="J9:J21" si="3">IF($C$3="","",IF($C$4="","",IF($C$5="","",IF($C$3&lt;&gt;"All Bureaus",SUMIFS(d_ls,D_mod,F9,d_act,B9,d_yr,$C$4,d_mth,$C$5,d_SO,$C$3),SUMIFS(d_ls,D_mod,F9,d_act,B9,d_yr,$C$4,d_mth,$C$5)))))</f>
        <v>0</v>
      </c>
      <c r="K9" s="76">
        <f t="shared" ref="K9:K21" si="4">IF($C$3="","",IF($C$4="","",IF($C$5="","",IF($C$3&lt;&gt;"All Bureaus",SUMIFS(d_hu,D_mod,F9,d_act,B9,d_yr,$C$4,d_mth,$C$5,d_SO,$C$3),SUMIFS(d_hu,D_mod,F9,d_act,B9,d_yr,$C$4,d_mth,$C$5)))))</f>
        <v>0</v>
      </c>
      <c r="L9" s="76">
        <f t="shared" ref="L9:L21" si="5">IF($C$3="","",IF($C$4="","",IF($C$5="","",IF($C$3&lt;&gt;"All Bureaus",SUMIFS(d_sup,D_mod,F9,d_act,B9,d_yr,$C$4,d_mth,$C$5,d_SO,$C$3),SUMIFS(d_sup,D_mod,F9,d_act,B9,d_yr,$C$4,d_mth,$C$5)))))</f>
        <v>0</v>
      </c>
      <c r="M9" s="76">
        <f t="shared" ref="M9:M21" si="6">IF($C$3="","",IF($C$4="","",IF($C$5="","",IF($C$3&lt;&gt;"All Bureaus",SUMIFS(d_csb1,D_mod,F9,d_act,B9,d_yr,$C$4,d_mth,$C$5,d_SO,$C$3),SUMIFS(d_csb1,D_mod,F9,d_act,B9,d_yr,$C$4,d_mth,$C$5)))))</f>
        <v>0</v>
      </c>
      <c r="N9" s="76">
        <f t="shared" ref="N9:N21" si="7">IF($C$3="","",IF($C$4="","",IF($C$5="","",IF($C$3&lt;&gt;"All Bureaus",SUMIFS(d_csb2,D_mod,F9,d_act,B9,d_yr,$C$4,d_mth,$C$5,d_SO,$C$3),SUMIFS(d_csb2,D_mod,F9,d_act,B9,d_yr,$C$4,d_mth,$C$5)))))</f>
        <v>0</v>
      </c>
      <c r="O9" s="76">
        <f t="shared" ref="O9:O21" si="8">IF($C$3="","",IF($C$4="","",IF($C$5="","",IF($C$3&lt;&gt;"All Bureaus",SUMIFS(d_doz,D_mod,F9,d_act,B9,d_yr,$C$4,d_mth,$C$5,d_SO,$C$3),SUMIFS(d_doz,D_mod,F9,d_act,B9,d_yr,$C$4,d_mth,$C$5)))))</f>
        <v>0</v>
      </c>
      <c r="P9" s="76">
        <f t="shared" ref="P9:P21" si="9">IF($C$3="","",IF($C$4="","",IF($C$5="","",IF($C$3&lt;&gt;"All Bureaus",SUMIFS(d_lns,D_mod,F9,d_act,B9,d_yr,$C$4,d_mth,$C$5,d_SO,$C$3),SUMIFS(d_lns,D_mod,F9,d_act,B9,d_yr,$C$4,d_mth,$C$5)))))</f>
        <v>0</v>
      </c>
      <c r="Q9" s="76">
        <f t="shared" ref="Q9:Q21" si="10">SUM(I9:P9)</f>
        <v>0</v>
      </c>
      <c r="R9" s="77"/>
      <c r="S9" s="78"/>
    </row>
    <row r="10" spans="2:19" hidden="1" x14ac:dyDescent="0.35">
      <c r="B10" s="162" t="s">
        <v>135</v>
      </c>
      <c r="C10" s="162"/>
      <c r="D10" s="162"/>
      <c r="E10" s="73" t="s">
        <v>96</v>
      </c>
      <c r="F10" s="74" t="s">
        <v>9</v>
      </c>
      <c r="G10" s="75">
        <f t="shared" si="0"/>
        <v>0</v>
      </c>
      <c r="H10" s="75">
        <f t="shared" si="1"/>
        <v>0</v>
      </c>
      <c r="I10" s="76">
        <f t="shared" si="2"/>
        <v>0</v>
      </c>
      <c r="J10" s="76">
        <f t="shared" si="3"/>
        <v>0</v>
      </c>
      <c r="K10" s="76">
        <f t="shared" si="4"/>
        <v>0</v>
      </c>
      <c r="L10" s="76">
        <f t="shared" si="5"/>
        <v>0</v>
      </c>
      <c r="M10" s="76">
        <f>IF($C$3="","",IF($C$4="","",IF($C$5="","",IF($C$3&lt;&gt;"All Bureaus",SUMIFS(d_csb1,D_mod,F10,d_act,B10,d_yr,$C$4,d_mth,$C$5,d_SO,$C$3),SUMIFS(d_csb1,D_mod,F10,d_act,B10,d_yr,$C$4,d_mth,$C$5)))))</f>
        <v>0</v>
      </c>
      <c r="N10" s="76">
        <f t="shared" si="7"/>
        <v>0</v>
      </c>
      <c r="O10" s="76">
        <f t="shared" si="8"/>
        <v>0</v>
      </c>
      <c r="P10" s="76">
        <f t="shared" si="9"/>
        <v>0</v>
      </c>
      <c r="Q10" s="76">
        <f t="shared" si="10"/>
        <v>0</v>
      </c>
      <c r="R10" s="77">
        <f>IF($C$3="","",IF($C$4="","",IF($C$5="","",IF($C$3&lt;&gt;"All Bureaus",SUMIFS(d_mga,D_mod,F10,d_act,B10,d_yr,$C$4,d_mth,$C$5,d_SO,$C$3),SUMIFS(d_mga,D_mod,F10,d_act,B10,d_yr,$C$4,d_mth,$C$5)))))</f>
        <v>0</v>
      </c>
      <c r="S10" s="78">
        <f>IF($C$3="","",IF($C$4="","",IF($C$5="","",IF($C$3&lt;&gt;"All Bureaus",SUMIFS(d_usd,D_mod,F10,d_act,B10,d_yr,$C$4,d_mth,$C$5,d_SO,$C$3),SUMIFS(d_usd,D_mod,F10,d_act,B10,d_yr,$C$4,d_mth,$C$5)))))</f>
        <v>0</v>
      </c>
    </row>
    <row r="11" spans="2:19" hidden="1" x14ac:dyDescent="0.35">
      <c r="B11" s="162" t="s">
        <v>136</v>
      </c>
      <c r="C11" s="162"/>
      <c r="D11" s="162"/>
      <c r="E11" s="73" t="s">
        <v>96</v>
      </c>
      <c r="F11" s="74" t="s">
        <v>41</v>
      </c>
      <c r="G11" s="75">
        <f t="shared" si="0"/>
        <v>0</v>
      </c>
      <c r="H11" s="75">
        <f t="shared" si="1"/>
        <v>0</v>
      </c>
      <c r="I11" s="76">
        <f t="shared" si="2"/>
        <v>0</v>
      </c>
      <c r="J11" s="76">
        <f t="shared" si="3"/>
        <v>0</v>
      </c>
      <c r="K11" s="76">
        <f t="shared" si="4"/>
        <v>0</v>
      </c>
      <c r="L11" s="76">
        <f t="shared" si="5"/>
        <v>0</v>
      </c>
      <c r="M11" s="76">
        <f t="shared" si="6"/>
        <v>0</v>
      </c>
      <c r="N11" s="76">
        <f t="shared" si="7"/>
        <v>0</v>
      </c>
      <c r="O11" s="76">
        <f t="shared" si="8"/>
        <v>0</v>
      </c>
      <c r="P11" s="76">
        <f t="shared" si="9"/>
        <v>0</v>
      </c>
      <c r="Q11" s="76">
        <f t="shared" si="10"/>
        <v>0</v>
      </c>
      <c r="R11" s="77"/>
      <c r="S11" s="78"/>
    </row>
    <row r="12" spans="2:19" hidden="1" x14ac:dyDescent="0.35">
      <c r="B12" s="162" t="s">
        <v>136</v>
      </c>
      <c r="C12" s="162"/>
      <c r="D12" s="162"/>
      <c r="E12" s="73" t="s">
        <v>96</v>
      </c>
      <c r="F12" s="74" t="s">
        <v>9</v>
      </c>
      <c r="G12" s="75">
        <f t="shared" si="0"/>
        <v>0</v>
      </c>
      <c r="H12" s="75">
        <f t="shared" si="1"/>
        <v>0</v>
      </c>
      <c r="I12" s="76">
        <f t="shared" si="2"/>
        <v>0</v>
      </c>
      <c r="J12" s="76">
        <f t="shared" si="3"/>
        <v>0</v>
      </c>
      <c r="K12" s="76">
        <f t="shared" si="4"/>
        <v>0</v>
      </c>
      <c r="L12" s="76">
        <f t="shared" si="5"/>
        <v>0</v>
      </c>
      <c r="M12" s="76">
        <f t="shared" si="6"/>
        <v>0</v>
      </c>
      <c r="N12" s="76">
        <f t="shared" si="7"/>
        <v>0</v>
      </c>
      <c r="O12" s="76">
        <f t="shared" si="8"/>
        <v>0</v>
      </c>
      <c r="P12" s="76">
        <f t="shared" si="9"/>
        <v>0</v>
      </c>
      <c r="Q12" s="76">
        <f t="shared" si="10"/>
        <v>0</v>
      </c>
      <c r="R12" s="77">
        <f>IF($C$3="","",IF($C$4="","",IF($C$5="","",IF($C$3&lt;&gt;"All Bureaus",SUMIFS(d_mga,D_mod,F12,d_act,B12,d_yr,$C$4,d_mth,$C$5,d_SO,$C$3),SUMIFS(d_mga,D_mod,F12,d_act,B12,d_yr,$C$4,d_mth,$C$5)))))</f>
        <v>0</v>
      </c>
      <c r="S12" s="78">
        <f>IF($C$3="","",IF($C$4="","",IF($C$5="","",IF($C$3&lt;&gt;"All Bureaus",SUMIFS(d_usd,D_mod,F12,d_act,B12,d_yr,$C$4,d_mth,$C$5,d_SO,$C$3),SUMIFS(d_usd,D_mod,F12,d_act,B12,d_yr,$C$4,d_mth,$C$5)))))</f>
        <v>0</v>
      </c>
    </row>
    <row r="13" spans="2:19" hidden="1" x14ac:dyDescent="0.35">
      <c r="B13" s="162" t="s">
        <v>13</v>
      </c>
      <c r="C13" s="162"/>
      <c r="D13" s="162"/>
      <c r="E13" s="73" t="s">
        <v>96</v>
      </c>
      <c r="F13" s="74" t="s">
        <v>41</v>
      </c>
      <c r="G13" s="75">
        <f t="shared" si="0"/>
        <v>0</v>
      </c>
      <c r="H13" s="75">
        <f t="shared" si="1"/>
        <v>0</v>
      </c>
      <c r="I13" s="76">
        <f t="shared" si="2"/>
        <v>0</v>
      </c>
      <c r="J13" s="76">
        <f t="shared" si="3"/>
        <v>0</v>
      </c>
      <c r="K13" s="76">
        <f t="shared" si="4"/>
        <v>0</v>
      </c>
      <c r="L13" s="76">
        <f t="shared" si="5"/>
        <v>0</v>
      </c>
      <c r="M13" s="76">
        <f t="shared" si="6"/>
        <v>0</v>
      </c>
      <c r="N13" s="76">
        <f t="shared" si="7"/>
        <v>0</v>
      </c>
      <c r="O13" s="76">
        <f t="shared" si="8"/>
        <v>0</v>
      </c>
      <c r="P13" s="76">
        <f t="shared" si="9"/>
        <v>0</v>
      </c>
      <c r="Q13" s="76">
        <f t="shared" si="10"/>
        <v>0</v>
      </c>
      <c r="R13" s="77"/>
      <c r="S13" s="78"/>
    </row>
    <row r="14" spans="2:19" hidden="1" x14ac:dyDescent="0.35">
      <c r="B14" s="162" t="s">
        <v>13</v>
      </c>
      <c r="C14" s="162"/>
      <c r="D14" s="162"/>
      <c r="E14" s="73" t="s">
        <v>96</v>
      </c>
      <c r="F14" s="74" t="s">
        <v>9</v>
      </c>
      <c r="G14" s="75">
        <f t="shared" si="0"/>
        <v>0</v>
      </c>
      <c r="H14" s="75">
        <f t="shared" si="1"/>
        <v>0</v>
      </c>
      <c r="I14" s="76">
        <f t="shared" si="2"/>
        <v>0</v>
      </c>
      <c r="J14" s="76">
        <f t="shared" si="3"/>
        <v>0</v>
      </c>
      <c r="K14" s="76">
        <f t="shared" si="4"/>
        <v>0</v>
      </c>
      <c r="L14" s="76">
        <f t="shared" si="5"/>
        <v>0</v>
      </c>
      <c r="M14" s="76">
        <f t="shared" si="6"/>
        <v>0</v>
      </c>
      <c r="N14" s="76">
        <f t="shared" si="7"/>
        <v>0</v>
      </c>
      <c r="O14" s="76">
        <f t="shared" si="8"/>
        <v>0</v>
      </c>
      <c r="P14" s="76">
        <f t="shared" si="9"/>
        <v>0</v>
      </c>
      <c r="Q14" s="76">
        <f t="shared" si="10"/>
        <v>0</v>
      </c>
      <c r="R14" s="77">
        <f>IF($C$3="","",IF($C$4="","",IF($C$5="","",IF($C$3&lt;&gt;"All Bureaus",SUMIFS(d_mga,D_mod,F14,d_act,B14,d_yr,$C$4,d_mth,$C$5,d_SO,$C$3),SUMIFS(d_mga,D_mod,F14,d_act,B14,d_yr,$C$4,d_mth,$C$5)))))</f>
        <v>0</v>
      </c>
      <c r="S14" s="78">
        <f>IF($C$3="","",IF($C$4="","",IF($C$5="","",IF($C$3&lt;&gt;"All Bureaus",SUMIFS(d_usd,D_mod,F14,d_act,B14,d_yr,$C$4,d_mth,$C$5,d_SO,$C$3),SUMIFS(d_usd,D_mod,F14,d_act,B14,d_yr,$C$4,d_mth,$C$5)))))</f>
        <v>0</v>
      </c>
    </row>
    <row r="15" spans="2:19" hidden="1" x14ac:dyDescent="0.35">
      <c r="B15" s="164" t="s">
        <v>98</v>
      </c>
      <c r="C15" s="165"/>
      <c r="D15" s="166"/>
      <c r="E15" s="73" t="s">
        <v>96</v>
      </c>
      <c r="F15" s="74" t="s">
        <v>41</v>
      </c>
      <c r="G15" s="75">
        <f t="shared" si="0"/>
        <v>0</v>
      </c>
      <c r="H15" s="75">
        <f t="shared" si="1"/>
        <v>0</v>
      </c>
      <c r="I15" s="76">
        <f t="shared" si="2"/>
        <v>0</v>
      </c>
      <c r="J15" s="76">
        <f t="shared" si="3"/>
        <v>0</v>
      </c>
      <c r="K15" s="76">
        <f t="shared" si="4"/>
        <v>0</v>
      </c>
      <c r="L15" s="76">
        <f t="shared" si="5"/>
        <v>0</v>
      </c>
      <c r="M15" s="76">
        <f t="shared" si="6"/>
        <v>0</v>
      </c>
      <c r="N15" s="76">
        <f t="shared" si="7"/>
        <v>0</v>
      </c>
      <c r="O15" s="76">
        <f t="shared" si="8"/>
        <v>0</v>
      </c>
      <c r="P15" s="76">
        <f t="shared" si="9"/>
        <v>0</v>
      </c>
      <c r="Q15" s="76">
        <f t="shared" si="10"/>
        <v>0</v>
      </c>
      <c r="R15" s="77"/>
      <c r="S15" s="78"/>
    </row>
    <row r="16" spans="2:19" hidden="1" x14ac:dyDescent="0.35">
      <c r="B16" s="162" t="s">
        <v>150</v>
      </c>
      <c r="C16" s="162"/>
      <c r="D16" s="162"/>
      <c r="E16" s="73" t="s">
        <v>96</v>
      </c>
      <c r="F16" s="74" t="s">
        <v>41</v>
      </c>
      <c r="G16" s="75">
        <f t="shared" ref="G16" si="11">IF($C$3="","",IF($C$4="","",IF($C$5="","",IF($C$3&lt;&gt;"All Bureaus",SUMIFS(d_bnf,D_mod,F16,d_act,B16,d_yr,$C$4,d_mth,$C$5,d_SO,$C$3,d_stats,"A"),SUMIFS(d_bnf,D_mod,F16,d_act,B16,d_yr,$C$4,d_mth,$C$5,d_stats,"a")))))</f>
        <v>0</v>
      </c>
      <c r="H16" s="75">
        <f t="shared" ref="H16" si="12">IF($C$3="","",IF($C$4="","",IF($C$5="","",IF($C$3&lt;&gt;"All Bureaus",SUMIFS(d_hhs,D_mod,F16,d_act,B16,d_yr,$C$4,d_mth,$C$5,d_SO,$C$3,d_stats,"a"),SUMIFS(d_hhs,D_mod,F16,d_act,B16,d_yr,$C$4,d_mth,$C$5,d_stats,"a")))))</f>
        <v>0</v>
      </c>
      <c r="I16" s="76">
        <f t="shared" ref="I16" si="13">IF($C$3="","",IF($C$4="","",IF($C$5="","",IF($C$3&lt;&gt;"All Bureaus",SUMIFS(d_riz,D_mod,F16,d_act,B16,d_yr,$C$4,d_mth,$C$5,d_SO,$C$3),SUMIFS(d_riz,D_mod,F16,d_act,B16,d_yr,$C$4,d_mth,$C$5)))))</f>
        <v>0</v>
      </c>
      <c r="J16" s="76">
        <f t="shared" ref="J16" si="14">IF($C$3="","",IF($C$4="","",IF($C$5="","",IF($C$3&lt;&gt;"All Bureaus",SUMIFS(d_ls,D_mod,F16,d_act,B16,d_yr,$C$4,d_mth,$C$5,d_SO,$C$3),SUMIFS(d_ls,D_mod,F16,d_act,B16,d_yr,$C$4,d_mth,$C$5)))))</f>
        <v>0</v>
      </c>
      <c r="K16" s="76">
        <f t="shared" ref="K16" si="15">IF($C$3="","",IF($C$4="","",IF($C$5="","",IF($C$3&lt;&gt;"All Bureaus",SUMIFS(d_hu,D_mod,F16,d_act,B16,d_yr,$C$4,d_mth,$C$5,d_SO,$C$3),SUMIFS(d_hu,D_mod,F16,d_act,B16,d_yr,$C$4,d_mth,$C$5)))))</f>
        <v>0</v>
      </c>
      <c r="L16" s="76">
        <f t="shared" ref="L16" si="16">IF($C$3="","",IF($C$4="","",IF($C$5="","",IF($C$3&lt;&gt;"All Bureaus",SUMIFS(d_sup,D_mod,F16,d_act,B16,d_yr,$C$4,d_mth,$C$5,d_SO,$C$3),SUMIFS(d_sup,D_mod,F16,d_act,B16,d_yr,$C$4,d_mth,$C$5)))))</f>
        <v>0</v>
      </c>
      <c r="M16" s="76">
        <f t="shared" ref="M16" si="17">IF($C$3="","",IF($C$4="","",IF($C$5="","",IF($C$3&lt;&gt;"All Bureaus",SUMIFS(d_csb1,D_mod,F16,d_act,B16,d_yr,$C$4,d_mth,$C$5,d_SO,$C$3),SUMIFS(d_csb1,D_mod,F16,d_act,B16,d_yr,$C$4,d_mth,$C$5)))))</f>
        <v>0</v>
      </c>
      <c r="N16" s="76">
        <f t="shared" ref="N16" si="18">IF($C$3="","",IF($C$4="","",IF($C$5="","",IF($C$3&lt;&gt;"All Bureaus",SUMIFS(d_csb2,D_mod,F16,d_act,B16,d_yr,$C$4,d_mth,$C$5,d_SO,$C$3),SUMIFS(d_csb2,D_mod,F16,d_act,B16,d_yr,$C$4,d_mth,$C$5)))))</f>
        <v>0</v>
      </c>
      <c r="O16" s="76">
        <f t="shared" ref="O16" si="19">IF($C$3="","",IF($C$4="","",IF($C$5="","",IF($C$3&lt;&gt;"All Bureaus",SUMIFS(d_doz,D_mod,F16,d_act,B16,d_yr,$C$4,d_mth,$C$5,d_SO,$C$3),SUMIFS(d_doz,D_mod,F16,d_act,B16,d_yr,$C$4,d_mth,$C$5)))))</f>
        <v>0</v>
      </c>
      <c r="P16" s="76">
        <f t="shared" si="9"/>
        <v>0</v>
      </c>
      <c r="Q16" s="76">
        <f t="shared" ref="Q16" si="20">SUM(I16:P16)</f>
        <v>0</v>
      </c>
      <c r="R16" s="77"/>
      <c r="S16" s="78"/>
    </row>
    <row r="17" spans="2:19" hidden="1" x14ac:dyDescent="0.35">
      <c r="B17" s="162" t="s">
        <v>151</v>
      </c>
      <c r="C17" s="162"/>
      <c r="D17" s="162"/>
      <c r="E17" s="73" t="s">
        <v>96</v>
      </c>
      <c r="F17" s="74" t="s">
        <v>41</v>
      </c>
      <c r="G17" s="75">
        <f t="shared" si="0"/>
        <v>0</v>
      </c>
      <c r="H17" s="75">
        <f t="shared" si="1"/>
        <v>0</v>
      </c>
      <c r="I17" s="76">
        <f t="shared" si="2"/>
        <v>0</v>
      </c>
      <c r="J17" s="76">
        <f t="shared" si="3"/>
        <v>0</v>
      </c>
      <c r="K17" s="76">
        <f t="shared" si="4"/>
        <v>0</v>
      </c>
      <c r="L17" s="76">
        <f t="shared" si="5"/>
        <v>0</v>
      </c>
      <c r="M17" s="76">
        <f t="shared" si="6"/>
        <v>0</v>
      </c>
      <c r="N17" s="76">
        <f t="shared" si="7"/>
        <v>0</v>
      </c>
      <c r="O17" s="76">
        <f t="shared" si="8"/>
        <v>0</v>
      </c>
      <c r="P17" s="76">
        <f t="shared" si="9"/>
        <v>0</v>
      </c>
      <c r="Q17" s="76">
        <f t="shared" si="10"/>
        <v>0</v>
      </c>
      <c r="R17" s="77"/>
      <c r="S17" s="78"/>
    </row>
    <row r="18" spans="2:19" hidden="1" x14ac:dyDescent="0.35">
      <c r="B18" s="162" t="s">
        <v>156</v>
      </c>
      <c r="C18" s="162"/>
      <c r="D18" s="162"/>
      <c r="E18" s="73" t="s">
        <v>96</v>
      </c>
      <c r="F18" s="74" t="s">
        <v>41</v>
      </c>
      <c r="G18" s="75">
        <f t="shared" ref="G18:G19" si="21">IF($C$3="","",IF($C$4="","",IF($C$5="","",IF($C$3&lt;&gt;"All Bureaus",SUMIFS(d_bnf,D_mod,F18,d_act,B18,d_yr,$C$4,d_mth,$C$5,d_SO,$C$3,d_stats,"A"),SUMIFS(d_bnf,D_mod,F18,d_act,B18,d_yr,$C$4,d_mth,$C$5,d_stats,"a")))))</f>
        <v>0</v>
      </c>
      <c r="H18" s="75">
        <f t="shared" ref="H18:H19" si="22">IF($C$3="","",IF($C$4="","",IF($C$5="","",IF($C$3&lt;&gt;"All Bureaus",SUMIFS(d_hhs,D_mod,F18,d_act,B18,d_yr,$C$4,d_mth,$C$5,d_SO,$C$3,d_stats,"a"),SUMIFS(d_hhs,D_mod,F18,d_act,B18,d_yr,$C$4,d_mth,$C$5,d_stats,"a")))))</f>
        <v>0</v>
      </c>
      <c r="I18" s="76">
        <f t="shared" ref="I18:I19" si="23">IF($C$3="","",IF($C$4="","",IF($C$5="","",IF($C$3&lt;&gt;"All Bureaus",SUMIFS(d_riz,D_mod,F18,d_act,B18,d_yr,$C$4,d_mth,$C$5,d_SO,$C$3),SUMIFS(d_riz,D_mod,F18,d_act,B18,d_yr,$C$4,d_mth,$C$5)))))</f>
        <v>0</v>
      </c>
      <c r="J18" s="76">
        <f t="shared" ref="J18:J19" si="24">IF($C$3="","",IF($C$4="","",IF($C$5="","",IF($C$3&lt;&gt;"All Bureaus",SUMIFS(d_ls,D_mod,F18,d_act,B18,d_yr,$C$4,d_mth,$C$5,d_SO,$C$3),SUMIFS(d_ls,D_mod,F18,d_act,B18,d_yr,$C$4,d_mth,$C$5)))))</f>
        <v>0</v>
      </c>
      <c r="K18" s="76">
        <f t="shared" ref="K18:K19" si="25">IF($C$3="","",IF($C$4="","",IF($C$5="","",IF($C$3&lt;&gt;"All Bureaus",SUMIFS(d_hu,D_mod,F18,d_act,B18,d_yr,$C$4,d_mth,$C$5,d_SO,$C$3),SUMIFS(d_hu,D_mod,F18,d_act,B18,d_yr,$C$4,d_mth,$C$5)))))</f>
        <v>0</v>
      </c>
      <c r="L18" s="76">
        <f t="shared" ref="L18:L19" si="26">IF($C$3="","",IF($C$4="","",IF($C$5="","",IF($C$3&lt;&gt;"All Bureaus",SUMIFS(d_sup,D_mod,F18,d_act,B18,d_yr,$C$4,d_mth,$C$5,d_SO,$C$3),SUMIFS(d_sup,D_mod,F18,d_act,B18,d_yr,$C$4,d_mth,$C$5)))))</f>
        <v>0</v>
      </c>
      <c r="M18" s="76">
        <f t="shared" ref="M18:M19" si="27">IF($C$3="","",IF($C$4="","",IF($C$5="","",IF($C$3&lt;&gt;"All Bureaus",SUMIFS(d_csb1,D_mod,F18,d_act,B18,d_yr,$C$4,d_mth,$C$5,d_SO,$C$3),SUMIFS(d_csb1,D_mod,F18,d_act,B18,d_yr,$C$4,d_mth,$C$5)))))</f>
        <v>0</v>
      </c>
      <c r="N18" s="76">
        <f t="shared" ref="N18:N19" si="28">IF($C$3="","",IF($C$4="","",IF($C$5="","",IF($C$3&lt;&gt;"All Bureaus",SUMIFS(d_csb2,D_mod,F18,d_act,B18,d_yr,$C$4,d_mth,$C$5,d_SO,$C$3),SUMIFS(d_csb2,D_mod,F18,d_act,B18,d_yr,$C$4,d_mth,$C$5)))))</f>
        <v>0</v>
      </c>
      <c r="O18" s="76">
        <f t="shared" ref="O18:O19" si="29">IF($C$3="","",IF($C$4="","",IF($C$5="","",IF($C$3&lt;&gt;"All Bureaus",SUMIFS(d_doz,D_mod,F18,d_act,B18,d_yr,$C$4,d_mth,$C$5,d_SO,$C$3),SUMIFS(d_doz,D_mod,F18,d_act,B18,d_yr,$C$4,d_mth,$C$5)))))</f>
        <v>0</v>
      </c>
      <c r="P18" s="76">
        <f t="shared" si="9"/>
        <v>0</v>
      </c>
      <c r="Q18" s="76">
        <f t="shared" ref="Q18:Q19" si="30">SUM(I18:P18)</f>
        <v>0</v>
      </c>
      <c r="R18" s="77"/>
      <c r="S18" s="78"/>
    </row>
    <row r="19" spans="2:19" hidden="1" x14ac:dyDescent="0.35">
      <c r="B19" s="162" t="s">
        <v>157</v>
      </c>
      <c r="C19" s="162"/>
      <c r="D19" s="162"/>
      <c r="E19" s="73" t="s">
        <v>96</v>
      </c>
      <c r="F19" s="74" t="s">
        <v>41</v>
      </c>
      <c r="G19" s="75">
        <f t="shared" si="21"/>
        <v>0</v>
      </c>
      <c r="H19" s="75">
        <f t="shared" si="22"/>
        <v>0</v>
      </c>
      <c r="I19" s="76">
        <f t="shared" si="23"/>
        <v>0</v>
      </c>
      <c r="J19" s="76">
        <f t="shared" si="24"/>
        <v>0</v>
      </c>
      <c r="K19" s="76">
        <f t="shared" si="25"/>
        <v>0</v>
      </c>
      <c r="L19" s="76">
        <f t="shared" si="26"/>
        <v>0</v>
      </c>
      <c r="M19" s="76">
        <f t="shared" si="27"/>
        <v>0</v>
      </c>
      <c r="N19" s="76">
        <f t="shared" si="28"/>
        <v>0</v>
      </c>
      <c r="O19" s="76">
        <f t="shared" si="29"/>
        <v>0</v>
      </c>
      <c r="P19" s="76">
        <f t="shared" si="9"/>
        <v>0</v>
      </c>
      <c r="Q19" s="76">
        <f t="shared" si="30"/>
        <v>0</v>
      </c>
      <c r="R19" s="77"/>
      <c r="S19" s="78"/>
    </row>
    <row r="20" spans="2:19" hidden="1" x14ac:dyDescent="0.35">
      <c r="B20" s="162" t="s">
        <v>15</v>
      </c>
      <c r="C20" s="162"/>
      <c r="D20" s="162"/>
      <c r="E20" s="73" t="s">
        <v>96</v>
      </c>
      <c r="F20" s="74" t="s">
        <v>41</v>
      </c>
      <c r="G20" s="75">
        <f t="shared" si="0"/>
        <v>0</v>
      </c>
      <c r="H20" s="75">
        <f t="shared" si="1"/>
        <v>0</v>
      </c>
      <c r="I20" s="76">
        <f t="shared" si="2"/>
        <v>0</v>
      </c>
      <c r="J20" s="76">
        <f t="shared" si="3"/>
        <v>0</v>
      </c>
      <c r="K20" s="76">
        <f t="shared" si="4"/>
        <v>0</v>
      </c>
      <c r="L20" s="76">
        <f t="shared" si="5"/>
        <v>0</v>
      </c>
      <c r="M20" s="76">
        <f t="shared" si="6"/>
        <v>0</v>
      </c>
      <c r="N20" s="76">
        <f t="shared" si="7"/>
        <v>0</v>
      </c>
      <c r="O20" s="76">
        <f t="shared" si="8"/>
        <v>0</v>
      </c>
      <c r="P20" s="76">
        <f t="shared" si="9"/>
        <v>0</v>
      </c>
      <c r="Q20" s="76">
        <f t="shared" si="10"/>
        <v>0</v>
      </c>
      <c r="R20" s="77"/>
      <c r="S20" s="78"/>
    </row>
    <row r="21" spans="2:19" hidden="1" x14ac:dyDescent="0.35">
      <c r="B21" s="162" t="s">
        <v>15</v>
      </c>
      <c r="C21" s="162"/>
      <c r="D21" s="162"/>
      <c r="E21" s="79" t="s">
        <v>96</v>
      </c>
      <c r="F21" s="80" t="s">
        <v>9</v>
      </c>
      <c r="G21" s="75">
        <f t="shared" si="0"/>
        <v>0</v>
      </c>
      <c r="H21" s="75">
        <f t="shared" si="1"/>
        <v>0</v>
      </c>
      <c r="I21" s="76">
        <f t="shared" si="2"/>
        <v>0</v>
      </c>
      <c r="J21" s="76">
        <f t="shared" si="3"/>
        <v>0</v>
      </c>
      <c r="K21" s="76">
        <f t="shared" si="4"/>
        <v>0</v>
      </c>
      <c r="L21" s="76">
        <f t="shared" si="5"/>
        <v>0</v>
      </c>
      <c r="M21" s="76">
        <f t="shared" si="6"/>
        <v>0</v>
      </c>
      <c r="N21" s="76">
        <f t="shared" si="7"/>
        <v>0</v>
      </c>
      <c r="O21" s="76">
        <f t="shared" si="8"/>
        <v>0</v>
      </c>
      <c r="P21" s="76">
        <f t="shared" si="9"/>
        <v>0</v>
      </c>
      <c r="Q21" s="76">
        <f t="shared" si="10"/>
        <v>0</v>
      </c>
      <c r="R21" s="77">
        <f>IF($C$3="","",IF($C$4="","",IF($C$5="","",IF($C$3&lt;&gt;"All Bureaus",SUMIFS(d_mga,D_mod,F21,d_act,B21,d_yr,$C$4,d_mth,$C$5,d_SO,$C$3),SUMIFS(d_mga,D_mod,F21,d_act,B21,d_yr,$C$4,d_mth,$C$5)))))</f>
        <v>0</v>
      </c>
      <c r="S21" s="78">
        <f>IF($C$3="","",IF($C$4="","",IF($C$5="","",IF($C$3&lt;&gt;"All Bureaus",SUMIFS(d_usd,D_mod,F21,d_act,B21,d_yr,$C$4,d_mth,$C$5,d_SO,$C$3),SUMIFS(d_usd,D_mod,F21,d_act,B21,d_yr,$C$4,d_mth,$C$5)))))</f>
        <v>0</v>
      </c>
    </row>
    <row r="22" spans="2:19" s="60" customFormat="1" hidden="1" x14ac:dyDescent="0.35">
      <c r="B22" s="158" t="s">
        <v>141</v>
      </c>
      <c r="C22" s="158"/>
      <c r="D22" s="158"/>
      <c r="E22" s="158"/>
      <c r="F22" s="158"/>
      <c r="G22" s="65">
        <f>SUM(G9:G21)</f>
        <v>0</v>
      </c>
      <c r="H22" s="65">
        <f>SUM(H9:H21)</f>
        <v>0</v>
      </c>
      <c r="I22" s="66">
        <f t="shared" ref="I22:S22" si="31">SUM(I9:I21)</f>
        <v>0</v>
      </c>
      <c r="J22" s="66">
        <f t="shared" si="31"/>
        <v>0</v>
      </c>
      <c r="K22" s="66">
        <f t="shared" si="31"/>
        <v>0</v>
      </c>
      <c r="L22" s="66">
        <f t="shared" si="31"/>
        <v>0</v>
      </c>
      <c r="M22" s="66">
        <f t="shared" si="31"/>
        <v>0</v>
      </c>
      <c r="N22" s="66">
        <f t="shared" si="31"/>
        <v>0</v>
      </c>
      <c r="O22" s="66">
        <f t="shared" si="31"/>
        <v>0</v>
      </c>
      <c r="P22" s="66">
        <f t="shared" si="31"/>
        <v>0</v>
      </c>
      <c r="Q22" s="66">
        <f t="shared" si="31"/>
        <v>0</v>
      </c>
      <c r="R22" s="67">
        <f t="shared" si="31"/>
        <v>0</v>
      </c>
      <c r="S22" s="68">
        <f t="shared" si="31"/>
        <v>0</v>
      </c>
    </row>
    <row r="23" spans="2:19" hidden="1" x14ac:dyDescent="0.35">
      <c r="B23" s="69"/>
      <c r="C23" s="69"/>
      <c r="D23" s="69"/>
      <c r="E23" s="69"/>
      <c r="F23" s="70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 spans="2:19" x14ac:dyDescent="0.35">
      <c r="B24" s="162" t="s">
        <v>101</v>
      </c>
      <c r="C24" s="162"/>
      <c r="D24" s="162"/>
      <c r="E24" s="73" t="s">
        <v>100</v>
      </c>
      <c r="F24" s="73" t="s">
        <v>41</v>
      </c>
      <c r="G24" s="75">
        <f>IF($C$3="","",IF($C$4="","",IF($C$5="","",IF($C$3&lt;&gt;"All Bureaus",SUMIFS(d_bnf,D_mod,F24,d_act,B24,d_yr,$C$4,d_mth,$C$5,d_SO,$C$3,d_stats,"a"),SUMIFS(d_bnf,D_mod,F24,d_act,B24,d_yr,$C$4,d_mth,$C$5,d_stats,"a")))))</f>
        <v>0</v>
      </c>
      <c r="H24" s="75">
        <f>IF($C$3="","",IF($C$4="","",IF($C$5="","",IF($C$3&lt;&gt;"All Bureaus",SUMIFS(d_hhs,D_mod,F24,d_act,B24,d_yr,$C$4,d_mth,$C$5,d_SO,$C$3,d_stats,"a"),SUMIFS(d_hhs,D_mod,F24,d_act,B24,d_yr,$C$4,d_mth,$C$5,d_stats,"a")))))</f>
        <v>0</v>
      </c>
      <c r="I24" s="76">
        <f>IF($C$3="","",IF($C$4="","",IF($C$5="","",IF($C$3&lt;&gt;"All Bureaus",SUMIFS(d_riz,D_mod,F24,d_act,B24,d_yr,$C$4,d_mth,$C$5,d_SO,$C$3),SUMIFS(d_riz,D_mod,F24,d_act,B24,d_yr,$C$4,d_mth,$C$5)))))</f>
        <v>0</v>
      </c>
      <c r="J24" s="76">
        <f>IF($C$3="","",IF($C$4="","",IF($C$5="","",IF($C$3&lt;&gt;"All Bureaus",SUMIFS(d_ls,D_mod,F24,d_act,B24,d_yr,$C$4,d_mth,$C$5,d_SO,$C$3),SUMIFS(d_ls,D_mod,F24,d_act,B24,d_yr,$C$4,d_mth,$C$5)))))</f>
        <v>0</v>
      </c>
      <c r="K24" s="76">
        <f>IF($C$3="","",IF($C$4="","",IF($C$5="","",IF($C$3&lt;&gt;"All Bureaus",SUMIFS(d_hu,D_mod,F24,d_act,B24,d_yr,$C$4,d_mth,$C$5,d_SO,$C$3),SUMIFS(d_hu,D_mod,F24,d_act,B24,d_yr,$C$4,d_mth,$C$5)))))</f>
        <v>0</v>
      </c>
      <c r="L24" s="76">
        <f>IF($C$3="","",IF($C$4="","",IF($C$5="","",IF($C$3&lt;&gt;"All Bureaus",SUMIFS(d_sup,D_mod,F24,d_act,B24,d_yr,$C$4,d_mth,$C$5,d_SO,$C$3),SUMIFS(d_sup,D_mod,F24,d_act,B24,d_yr,$C$4,d_mth,$C$5)))))</f>
        <v>0</v>
      </c>
      <c r="M24" s="76">
        <f>IF($C$3="","",IF($C$4="","",IF($C$5="","",IF($C$3&lt;&gt;"All Bureaus",SUMIFS(d_csb1,D_mod,F24,d_act,B24,d_yr,$C$4,d_mth,$C$5,d_SO,$C$3),SUMIFS(d_csb1,D_mod,F24,d_act,B24,d_yr,$C$4,d_mth,$C$5)))))</f>
        <v>0</v>
      </c>
      <c r="N24" s="76">
        <f>IF($C$3="","",IF($C$4="","",IF($C$5="","",IF($C$3&lt;&gt;"All Bureaus",SUMIFS(d_csb2,D_mod,F24,d_act,B24,d_yr,$C$4,d_mth,$C$5,d_SO,$C$3),SUMIFS(d_csb2,D_mod,F24,d_act,B24,d_yr,$C$4,d_mth,$C$5)))))</f>
        <v>0</v>
      </c>
      <c r="O24" s="76">
        <f>IF($C$3="","",IF($C$4="","",IF($C$5="","",IF($C$3&lt;&gt;"All Bureaus",SUMIFS(d_doz,D_mod,F24,d_act,B24,d_yr,$C$4,d_mth,$C$5,d_SO,$C$3),SUMIFS(d_doz,D_mod,F24,d_act,B24,d_yr,$C$4,d_mth,$C$5)))))</f>
        <v>0</v>
      </c>
      <c r="P24" s="76">
        <f>IF($C$3="","",IF($C$4="","",IF($C$5="","",IF($C$3&lt;&gt;"All Bureaus",SUMIFS(d_lns,D_mod,F24,d_act,B24,d_yr,$C$4,d_mth,$C$5,d_SO,$C$3),SUMIFS(d_lns,D_mod,F24,d_act,B24,d_yr,$C$4,d_mth,$C$5)))))</f>
        <v>0</v>
      </c>
      <c r="Q24" s="76">
        <f>SUM(I24:P24)</f>
        <v>0</v>
      </c>
      <c r="R24" s="77"/>
      <c r="S24" s="78"/>
    </row>
    <row r="25" spans="2:19" x14ac:dyDescent="0.35">
      <c r="B25" s="162" t="s">
        <v>22</v>
      </c>
      <c r="C25" s="162"/>
      <c r="D25" s="162"/>
      <c r="E25" s="91" t="s">
        <v>252</v>
      </c>
      <c r="F25" s="91" t="s">
        <v>41</v>
      </c>
      <c r="G25" s="75">
        <f>IF($C$3="","",IF($C$4="","",IF($C$5="","",IF($C$3&lt;&gt;"All Bureaus",SUMIFS(d_bnf,D_mod,F25,d_act,B25,d_yr,$C$4,d_mth,$C$5,d_SO,$C$3,d_stats,"a"),SUMIFS(d_bnf,D_mod,F25,d_act,B25,d_yr,$C$4,d_mth,$C$5,d_stats,"a")))))</f>
        <v>23659.9</v>
      </c>
      <c r="H25" s="75">
        <f>IF($C$3="","",IF($C$4="","",IF($C$5="","",IF($C$3&lt;&gt;"All Bureaus",SUMIFS(d_hhs,D_mod,F25,d_act,B25,d_yr,$C$4,d_mth,$C$5,d_SO,$C$3,d_stats,"a"),SUMIFS(d_hhs,D_mod,F25,d_act,B25,d_yr,$C$4,d_mth,$C$5,d_stats,"a")))))</f>
        <v>23659.9</v>
      </c>
      <c r="I25" s="76">
        <f>IF($C$3="","",IF($C$4="","",IF($C$5="","",IF($C$3&lt;&gt;"All Bureaus",SUMIFS(d_riz,D_mod,F25,d_act,B25,d_yr,$C$4,d_mth,$C$5,d_SO,$C$3),SUMIFS(d_riz,D_mod,F25,d_act,B25,d_yr,$C$4,d_mth,$C$5)))))</f>
        <v>0</v>
      </c>
      <c r="J25" s="76">
        <f>IF($C$3="","",IF($C$4="","",IF($C$5="","",IF($C$3&lt;&gt;"All Bureaus",SUMIFS(d_ls,D_mod,F25,d_act,B25,d_yr,$C$4,d_mth,$C$5,d_SO,$C$3),SUMIFS(d_ls,D_mod,F25,d_act,B25,d_yr,$C$4,d_mth,$C$5)))))</f>
        <v>0</v>
      </c>
      <c r="K25" s="76">
        <f>IF($C$3="","",IF($C$4="","",IF($C$5="","",IF($C$3&lt;&gt;"All Bureaus",SUMIFS(d_hu,D_mod,F25,d_act,B25,d_yr,$C$4,d_mth,$C$5,d_SO,$C$3),SUMIFS(d_hu,D_mod,F25,d_act,B25,d_yr,$C$4,d_mth,$C$5)))))</f>
        <v>0</v>
      </c>
      <c r="L25" s="76">
        <f>IF($C$3="","",IF($C$4="","",IF($C$5="","",IF($C$3&lt;&gt;"All Bureaus",SUMIFS(d_sup,D_mod,F25,d_act,B25,d_yr,$C$4,d_mth,$C$5,d_SO,$C$3),SUMIFS(d_sup,D_mod,F25,d_act,B25,d_yr,$C$4,d_mth,$C$5)))))</f>
        <v>0</v>
      </c>
      <c r="M25" s="76">
        <f>IF($C$3="","",IF($C$4="","",IF($C$5="","",IF($C$3&lt;&gt;"All Bureaus",SUMIFS(d_csb1,D_mod,F25,d_act,B25,d_yr,$C$4,d_mth,$C$5,d_SO,$C$3),SUMIFS(d_csb1,D_mod,F25,d_act,B25,d_yr,$C$4,d_mth,$C$5)))))</f>
        <v>0</v>
      </c>
      <c r="N25" s="76">
        <f>IF($C$3="","",IF($C$4="","",IF($C$5="","",IF($C$3&lt;&gt;"All Bureaus",SUMIFS(d_csb2,D_mod,F25,d_act,B25,d_yr,$C$4,d_mth,$C$5,d_SO,$C$3),SUMIFS(d_csb2,D_mod,F25,d_act,B25,d_yr,$C$4,d_mth,$C$5)))))</f>
        <v>0</v>
      </c>
      <c r="O25" s="76">
        <f>IF($C$3="","",IF($C$4="","",IF($C$5="","",IF($C$3&lt;&gt;"All Bureaus",SUMIFS(d_doz,D_mod,F25,d_act,B25,d_yr,$C$4,d_mth,$C$5,d_SO,$C$3),SUMIFS(d_doz,D_mod,F25,d_act,B25,d_yr,$C$4,d_mth,$C$5)))))</f>
        <v>35.489849999999997</v>
      </c>
      <c r="P25" s="76">
        <f>IF($C$3="","",IF($C$4="","",IF($C$5="","",IF($C$3&lt;&gt;"All Bureaus",SUMIFS(d_lns,D_mod,F25,d_act,B25,d_yr,$C$4,d_mth,$C$5,d_SO,$C$3),SUMIFS(d_lns,D_mod,F25,d_act,B25,d_yr,$C$4,d_mth,$C$5)))))</f>
        <v>0</v>
      </c>
      <c r="Q25" s="76">
        <f>SUM(I25:P25)</f>
        <v>35.489849999999997</v>
      </c>
      <c r="R25" s="77"/>
      <c r="S25" s="78"/>
    </row>
    <row r="26" spans="2:19" x14ac:dyDescent="0.35">
      <c r="B26" s="162" t="s">
        <v>117</v>
      </c>
      <c r="C26" s="162"/>
      <c r="D26" s="162"/>
      <c r="E26" s="91" t="s">
        <v>253</v>
      </c>
      <c r="F26" s="91" t="s">
        <v>41</v>
      </c>
      <c r="G26" s="75">
        <f>IF($C$3="","",IF($C$4="","",IF($C$5="","",IF($C$3&lt;&gt;"All Bureaus",SUMIFS(d_bnf,D_mod,F26,d_act,B26,d_yr,$C$4,d_mth,$C$5,d_SO,$C$3,d_stats,"a"),SUMIFS(d_bnf,D_mod,F26,d_act,B26,d_yr,$C$4,d_mth,$C$5,d_stats,"a")))))</f>
        <v>0</v>
      </c>
      <c r="H26" s="75">
        <f>IF($C$3="","",IF($C$4="","",IF($C$5="","",IF($C$3&lt;&gt;"All Bureaus",SUMIFS(d_hhs,D_mod,F26,d_act,B26,d_yr,$C$4,d_mth,$C$5,d_SO,$C$3,d_stats,"a"),SUMIFS(d_hhs,D_mod,F26,d_act,B26,d_yr,$C$4,d_mth,$C$5,d_stats,"a")))))</f>
        <v>0</v>
      </c>
      <c r="I26" s="76">
        <f>IF($C$3="","",IF($C$4="","",IF($C$5="","",IF($C$3&lt;&gt;"All Bureaus",SUMIFS(d_riz,D_mod,F26,d_act,B26,d_yr,$C$4,d_mth,$C$5,d_SO,$C$3),SUMIFS(d_riz,D_mod,F26,d_act,B26,d_yr,$C$4,d_mth,$C$5)))))</f>
        <v>0</v>
      </c>
      <c r="J26" s="76">
        <f>IF($C$3="","",IF($C$4="","",IF($C$5="","",IF($C$3&lt;&gt;"All Bureaus",SUMIFS(d_ls,D_mod,F26,d_act,B26,d_yr,$C$4,d_mth,$C$5,d_SO,$C$3),SUMIFS(d_ls,D_mod,F26,d_act,B26,d_yr,$C$4,d_mth,$C$5)))))</f>
        <v>0</v>
      </c>
      <c r="K26" s="76">
        <f>IF($C$3="","",IF($C$4="","",IF($C$5="","",IF($C$3&lt;&gt;"All Bureaus",SUMIFS(d_hu,D_mod,F26,d_act,B26,d_yr,$C$4,d_mth,$C$5,d_SO,$C$3),SUMIFS(d_hu,D_mod,F26,d_act,B26,d_yr,$C$4,d_mth,$C$5)))))</f>
        <v>0</v>
      </c>
      <c r="L26" s="76">
        <f>IF($C$3="","",IF($C$4="","",IF($C$5="","",IF($C$3&lt;&gt;"All Bureaus",SUMIFS(d_sup,D_mod,F26,d_act,B26,d_yr,$C$4,d_mth,$C$5,d_SO,$C$3),SUMIFS(d_sup,D_mod,F26,d_act,B26,d_yr,$C$4,d_mth,$C$5)))))</f>
        <v>0</v>
      </c>
      <c r="M26" s="76">
        <f>IF($C$3="","",IF($C$4="","",IF($C$5="","",IF($C$3&lt;&gt;"All Bureaus",SUMIFS(d_csb1,D_mod,F26,d_act,B26,d_yr,$C$4,d_mth,$C$5,d_SO,$C$3),SUMIFS(d_csb1,D_mod,F26,d_act,B26,d_yr,$C$4,d_mth,$C$5)))))</f>
        <v>0</v>
      </c>
      <c r="N26" s="76">
        <f>IF($C$3="","",IF($C$4="","",IF($C$5="","",IF($C$3&lt;&gt;"All Bureaus",SUMIFS(d_csb2,D_mod,F26,d_act,B26,d_yr,$C$4,d_mth,$C$5,d_SO,$C$3),SUMIFS(d_csb2,D_mod,F26,d_act,B26,d_yr,$C$4,d_mth,$C$5)))))</f>
        <v>0</v>
      </c>
      <c r="O26" s="76">
        <f>IF($C$3="","",IF($C$4="","",IF($C$5="","",IF($C$3&lt;&gt;"All Bureaus",SUMIFS(d_doz,D_mod,F26,d_act,B26,d_yr,$C$4,d_mth,$C$5,d_SO,$C$3),SUMIFS(d_doz,D_mod,F26,d_act,B26,d_yr,$C$4,d_mth,$C$5)))))</f>
        <v>0</v>
      </c>
      <c r="P26" s="76">
        <f>IF($C$3="","",IF($C$4="","",IF($C$5="","",IF($C$3&lt;&gt;"All Bureaus",SUMIFS(d_lns,D_mod,F26,d_act,B26,d_yr,$C$4,d_mth,$C$5,d_SO,$C$3),SUMIFS(d_lns,D_mod,F26,d_act,B26,d_yr,$C$4,d_mth,$C$5)))))</f>
        <v>0</v>
      </c>
      <c r="Q26" s="76">
        <f>SUM(I26:P26)</f>
        <v>0</v>
      </c>
      <c r="R26" s="77"/>
      <c r="S26" s="78"/>
    </row>
    <row r="27" spans="2:19" x14ac:dyDescent="0.35">
      <c r="B27" s="163" t="s">
        <v>245</v>
      </c>
      <c r="C27" s="163"/>
      <c r="D27" s="163"/>
      <c r="E27" s="105" t="s">
        <v>100</v>
      </c>
      <c r="F27" s="105" t="s">
        <v>41</v>
      </c>
      <c r="G27" s="106">
        <f>IF($C$3="","",IF($C$4="","",IF($C$5="","",IF($C$3&lt;&gt;"All Bureaus",SUMIFS(d_bnf,D_mod,F27,d_act,B27,d_yr,$C$4,d_mth,$C$5,d_SO,$C$3,d_stats,"a"),SUMIFS(d_bnf,D_mod,F27,d_act,B27,d_yr,$C$4,d_mth,$C$5,d_stats,"a")))))</f>
        <v>17645</v>
      </c>
      <c r="H27" s="106">
        <f>IF($C$3="","",IF($C$4="","",IF($C$5="","",IF($C$3&lt;&gt;"All Bureaus",SUMIFS(d_hhs,D_mod,F27,d_act,B27,d_yr,$C$4,d_mth,$C$5,d_SO,$C$3,d_stats,"a"),SUMIFS(d_hhs,D_mod,F27,d_act,B27,d_yr,$C$4,d_mth,$C$5,d_stats,"a")))))</f>
        <v>17645</v>
      </c>
      <c r="I27" s="107">
        <f>IF($C$3="","",IF($C$4="","",IF($C$5="","",IF($C$3&lt;&gt;"All Bureaus",SUMIFS(d_riz,D_mod,F27,d_act,B27,d_yr,$C$4,d_mth,$C$5,d_SO,$C$3),SUMIFS(d_riz,D_mod,F27,d_act,B27,d_yr,$C$4,d_mth,$C$5)))))</f>
        <v>0</v>
      </c>
      <c r="J27" s="107">
        <f>IF($C$3="","",IF($C$4="","",IF($C$5="","",IF($C$3&lt;&gt;"All Bureaus",SUMIFS(d_ls,D_mod,F27,d_act,B27,d_yr,$C$4,d_mth,$C$5,d_SO,$C$3),SUMIFS(d_ls,D_mod,F27,d_act,B27,d_yr,$C$4,d_mth,$C$5)))))</f>
        <v>0</v>
      </c>
      <c r="K27" s="107">
        <f>IF($C$3="","",IF($C$4="","",IF($C$5="","",IF($C$3&lt;&gt;"All Bureaus",SUMIFS(d_hu,D_mod,F27,d_act,B27,d_yr,$C$4,d_mth,$C$5,d_SO,$C$3),SUMIFS(d_hu,D_mod,F27,d_act,B27,d_yr,$C$4,d_mth,$C$5)))))</f>
        <v>10.586999999999998</v>
      </c>
      <c r="L27" s="107">
        <f>IF($C$3="","",IF($C$4="","",IF($C$5="","",IF($C$3&lt;&gt;"All Bureaus",SUMIFS(d_sup,D_mod,F27,d_act,B27,d_yr,$C$4,d_mth,$C$5,d_SO,$C$3),SUMIFS(d_sup,D_mod,F27,d_act,B27,d_yr,$C$4,d_mth,$C$5)))))</f>
        <v>0</v>
      </c>
      <c r="M27" s="107">
        <f>IF($C$3="","",IF($C$4="","",IF($C$5="","",IF($C$3&lt;&gt;"All Bureaus",SUMIFS(d_csb1,D_mod,F27,d_act,B27,d_yr,$C$4,d_mth,$C$5,d_SO,$C$3),SUMIFS(d_csb1,D_mod,F27,d_act,B27,d_yr,$C$4,d_mth,$C$5)))))</f>
        <v>42.877349999999993</v>
      </c>
      <c r="N27" s="107">
        <f>IF($C$3="","",IF($C$4="","",IF($C$5="","",IF($C$3&lt;&gt;"All Bureaus",SUMIFS(d_csb2,D_mod,F27,d_act,B27,d_yr,$C$4,d_mth,$C$5,d_SO,$C$3),SUMIFS(d_csb2,D_mod,F27,d_act,B27,d_yr,$C$4,d_mth,$C$5)))))</f>
        <v>62.992649999999998</v>
      </c>
      <c r="O27" s="107">
        <f>IF($C$3="","",IF($C$4="","",IF($C$5="","",IF($C$3&lt;&gt;"All Bureaus",SUMIFS(d_doz,D_mod,F27,d_act,B27,d_yr,$C$4,d_mth,$C$5,d_SO,$C$3),SUMIFS(d_doz,D_mod,F27,d_act,B27,d_yr,$C$4,d_mth,$C$5)))))</f>
        <v>0</v>
      </c>
      <c r="P27" s="107">
        <f>IF($C$3="","",IF($C$4="","",IF($C$5="","",IF($C$3&lt;&gt;"All Bureaus",SUMIFS(d_lns,D_mod,F27,d_act,B27,d_yr,$C$4,d_mth,$C$5,d_SO,$C$3),SUMIFS(d_lns,D_mod,F27,d_act,B27,d_yr,$C$4,d_mth,$C$5)))))</f>
        <v>0</v>
      </c>
      <c r="Q27" s="107">
        <f>SUM(I27:P27)</f>
        <v>116.45699999999999</v>
      </c>
      <c r="R27" s="77"/>
      <c r="S27" s="78"/>
    </row>
    <row r="28" spans="2:19" x14ac:dyDescent="0.35">
      <c r="B28" s="163" t="s">
        <v>244</v>
      </c>
      <c r="C28" s="163"/>
      <c r="D28" s="163"/>
      <c r="E28" s="105" t="s">
        <v>100</v>
      </c>
      <c r="F28" s="105" t="s">
        <v>41</v>
      </c>
      <c r="G28" s="106">
        <f>IF($C$3="","",IF($C$4="","",IF($C$5="","",IF($C$3&lt;&gt;"All Bureaus",SUMIFS(d_bnf,D_mod,F28,d_act,B28,d_yr,$C$4,d_mth,$C$5,d_SO,$C$3,d_stats,"a"),SUMIFS(d_bnf,D_mod,F28,d_act,B28,d_yr,$C$4,d_mth,$C$5,d_stats,"a")))))</f>
        <v>10030.9</v>
      </c>
      <c r="H28" s="106">
        <f>IF($C$3="","",IF($C$4="","",IF($C$5="","",IF($C$3&lt;&gt;"All Bureaus",SUMIFS(d_hhs,D_mod,F28,d_act,B28,d_yr,$C$4,d_mth,$C$5,d_SO,$C$3,d_stats,"a"),SUMIFS(d_hhs,D_mod,F28,d_act,B28,d_yr,$C$4,d_mth,$C$5,d_stats,"a")))))</f>
        <v>10030.9</v>
      </c>
      <c r="I28" s="107">
        <f>IF($C$3="","",IF($C$4="","",IF($C$5="","",IF($C$3&lt;&gt;"All Bureaus",SUMIFS(d_riz,D_mod,F28,d_act,B28,d_yr,$C$4,d_mth,$C$5,d_SO,$C$3),SUMIFS(d_riz,D_mod,F28,d_act,B28,d_yr,$C$4,d_mth,$C$5)))))</f>
        <v>0</v>
      </c>
      <c r="J28" s="107">
        <f>IF($C$3="","",IF($C$4="","",IF($C$5="","",IF($C$3&lt;&gt;"All Bureaus",SUMIFS(d_ls,D_mod,F28,d_act,B28,d_yr,$C$4,d_mth,$C$5,d_SO,$C$3),SUMIFS(d_ls,D_mod,F28,d_act,B28,d_yr,$C$4,d_mth,$C$5)))))</f>
        <v>0</v>
      </c>
      <c r="K28" s="107">
        <f>IF($C$3="","",IF($C$4="","",IF($C$5="","",IF($C$3&lt;&gt;"All Bureaus",SUMIFS(d_hu,D_mod,F28,d_act,B28,d_yr,$C$4,d_mth,$C$5,d_SO,$C$3),SUMIFS(d_hu,D_mod,F28,d_act,B28,d_yr,$C$4,d_mth,$C$5)))))</f>
        <v>6.0185399999999998</v>
      </c>
      <c r="L28" s="107">
        <f>IF($C$3="","",IF($C$4="","",IF($C$5="","",IF($C$3&lt;&gt;"All Bureaus",SUMIFS(d_sup,D_mod,F28,d_act,B28,d_yr,$C$4,d_mth,$C$5,d_SO,$C$3),SUMIFS(d_sup,D_mod,F28,d_act,B28,d_yr,$C$4,d_mth,$C$5)))))</f>
        <v>0</v>
      </c>
      <c r="M28" s="107">
        <f>IF($C$3="","",IF($C$4="","",IF($C$5="","",IF($C$3&lt;&gt;"All Bureaus",SUMIFS(d_csb1,D_mod,F28,d_act,B28,d_yr,$C$4,d_mth,$C$5,d_SO,$C$3),SUMIFS(d_csb1,D_mod,F28,d_act,B28,d_yr,$C$4,d_mth,$C$5)))))</f>
        <v>55.671495000000014</v>
      </c>
      <c r="N28" s="107">
        <f>IF($C$3="","",IF($C$4="","",IF($C$5="","",IF($C$3&lt;&gt;"All Bureaus",SUMIFS(d_csb2,D_mod,F28,d_act,B28,d_yr,$C$4,d_mth,$C$5,d_SO,$C$3),SUMIFS(d_csb2,D_mod,F28,d_act,B28,d_yr,$C$4,d_mth,$C$5)))))</f>
        <v>4.5139050000000012</v>
      </c>
      <c r="O28" s="107">
        <f>IF($C$3="","",IF($C$4="","",IF($C$5="","",IF($C$3&lt;&gt;"All Bureaus",SUMIFS(d_doz,D_mod,F28,d_act,B28,d_yr,$C$4,d_mth,$C$5,d_SO,$C$3),SUMIFS(d_doz,D_mod,F28,d_act,B28,d_yr,$C$4,d_mth,$C$5)))))</f>
        <v>0</v>
      </c>
      <c r="P28" s="107">
        <f>IF($C$3="","",IF($C$4="","",IF($C$5="","",IF($C$3&lt;&gt;"All Bureaus",SUMIFS(d_lns,D_mod,F28,d_act,B28,d_yr,$C$4,d_mth,$C$5,d_SO,$C$3),SUMIFS(d_lns,D_mod,F28,d_act,B28,d_yr,$C$4,d_mth,$C$5)))))</f>
        <v>0</v>
      </c>
      <c r="Q28" s="107">
        <f>SUM(I28:P28)</f>
        <v>66.203940000000017</v>
      </c>
      <c r="R28" s="77"/>
      <c r="S28" s="78"/>
    </row>
    <row r="29" spans="2:19" s="60" customFormat="1" x14ac:dyDescent="0.35">
      <c r="B29" s="158" t="s">
        <v>141</v>
      </c>
      <c r="C29" s="158"/>
      <c r="D29" s="158"/>
      <c r="E29" s="158"/>
      <c r="F29" s="158"/>
      <c r="G29" s="65">
        <f t="shared" ref="G29:S29" si="32">SUM(G24:G28)</f>
        <v>51335.8</v>
      </c>
      <c r="H29" s="65">
        <f t="shared" si="32"/>
        <v>51335.8</v>
      </c>
      <c r="I29" s="66">
        <f t="shared" si="32"/>
        <v>0</v>
      </c>
      <c r="J29" s="66">
        <f t="shared" si="32"/>
        <v>0</v>
      </c>
      <c r="K29" s="66">
        <f t="shared" si="32"/>
        <v>16.605539999999998</v>
      </c>
      <c r="L29" s="66">
        <f t="shared" si="32"/>
        <v>0</v>
      </c>
      <c r="M29" s="66">
        <f t="shared" si="32"/>
        <v>98.548845</v>
      </c>
      <c r="N29" s="66">
        <f t="shared" si="32"/>
        <v>67.506554999999992</v>
      </c>
      <c r="O29" s="66">
        <f t="shared" si="32"/>
        <v>35.489849999999997</v>
      </c>
      <c r="P29" s="66">
        <f t="shared" si="32"/>
        <v>0</v>
      </c>
      <c r="Q29" s="66">
        <f t="shared" si="32"/>
        <v>218.15079</v>
      </c>
      <c r="R29" s="67">
        <f t="shared" si="32"/>
        <v>0</v>
      </c>
      <c r="S29" s="68">
        <f t="shared" si="32"/>
        <v>0</v>
      </c>
    </row>
    <row r="30" spans="2:19" x14ac:dyDescent="0.35">
      <c r="B30" s="69"/>
      <c r="C30" s="69"/>
      <c r="D30" s="69"/>
      <c r="E30" s="69"/>
      <c r="F30" s="70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</row>
    <row r="31" spans="2:19" x14ac:dyDescent="0.35">
      <c r="B31" s="162" t="s">
        <v>27</v>
      </c>
      <c r="C31" s="162"/>
      <c r="D31" s="162"/>
      <c r="E31" s="73" t="s">
        <v>90</v>
      </c>
      <c r="F31" s="73" t="s">
        <v>111</v>
      </c>
      <c r="G31" s="75">
        <f>IF($C$3="","",IF($C$4="","",IF($C$5="","",IF($C$3&lt;&gt;"All Bureaus",SUMIFS(d_bnf,D_mod,F31,d_act,B31,d_yr,$C$4,d_mth,$C$5,d_SO,$C$3,d_stats,"a"),SUMIFS(d_bnf,D_mod,F31,d_act,B31,d_yr,$C$4,d_mth,$C$5,d_stats,"a")))))</f>
        <v>0</v>
      </c>
      <c r="H31" s="75">
        <f>IF($C$3="","",IF($C$4="","",IF($C$5="","",IF($C$3&lt;&gt;"All Bureaus",SUMIFS(d_hhs,D_mod,F31,d_act,B31,d_yr,$C$4,d_mth,$C$5,d_SO,$C$3,d_stats,"a"),SUMIFS(d_hhs,D_mod,F31,d_act,B31,d_yr,$C$4,d_mth,$C$5,d_stats,"a")))))</f>
        <v>0</v>
      </c>
      <c r="I31" s="76">
        <f>IF($C$3="","",IF($C$4="","",IF($C$5="","",IF($C$3&lt;&gt;"All Bureaus",SUMIFS(d_riz,D_mod,F31,d_act,B31,d_yr,$C$4,d_mth,$C$5,d_SO,$C$3),SUMIFS(d_riz,D_mod,F31,d_act,B31,d_yr,$C$4,d_mth,$C$5)))))</f>
        <v>0</v>
      </c>
      <c r="J31" s="76">
        <f>IF($C$3="","",IF($C$4="","",IF($C$5="","",IF($C$3&lt;&gt;"All Bureaus",SUMIFS(d_ls,D_mod,F31,d_act,B31,d_yr,$C$4,d_mth,$C$5,d_SO,$C$3),SUMIFS(d_ls,D_mod,F31,d_act,B31,d_yr,$C$4,d_mth,$C$5)))))</f>
        <v>0</v>
      </c>
      <c r="K31" s="76">
        <f>IF($C$3="","",IF($C$4="","",IF($C$5="","",IF($C$3&lt;&gt;"All Bureaus",SUMIFS(d_hu,D_mod,F31,d_act,B31,d_yr,$C$4,d_mth,$C$5,d_SO,$C$3),SUMIFS(d_hu,D_mod,F31,d_act,B31,d_yr,$C$4,d_mth,$C$5)))))</f>
        <v>0</v>
      </c>
      <c r="L31" s="76">
        <f>IF($C$3="","",IF($C$4="","",IF($C$5="","",IF($C$3&lt;&gt;"All Bureaus",SUMIFS(d_sup,D_mod,F31,d_act,B31,d_yr,$C$4,d_mth,$C$5,d_SO,$C$3),SUMIFS(d_sup,D_mod,F31,d_act,B31,d_yr,$C$4,d_mth,$C$5)))))</f>
        <v>0</v>
      </c>
      <c r="M31" s="76">
        <f>IF($C$3="","",IF($C$4="","",IF($C$5="","",IF($C$3&lt;&gt;"All Bureaus",SUMIFS(d_csb1,D_mod,F31,d_act,B31,d_yr,$C$4,d_mth,$C$5,d_SO,$C$3),SUMIFS(d_csb1,D_mod,F31,d_act,B31,d_yr,$C$4,d_mth,$C$5)))))</f>
        <v>0</v>
      </c>
      <c r="N31" s="76">
        <f>IF($C$3="","",IF($C$4="","",IF($C$5="","",IF($C$3&lt;&gt;"All Bureaus",SUMIFS(d_csb2,D_mod,F31,d_act,B31,d_yr,$C$4,d_mth,$C$5,d_SO,$C$3),SUMIFS(d_csb2,D_mod,F31,d_act,B31,d_yr,$C$4,d_mth,$C$5)))))</f>
        <v>0</v>
      </c>
      <c r="O31" s="76">
        <f>IF($C$3="","",IF($C$4="","",IF($C$5="","",IF($C$3&lt;&gt;"All Bureaus",SUMIFS(d_doz,D_mod,F31,d_act,B31,d_yr,$C$4,d_mth,$C$5,d_SO,$C$3),SUMIFS(d_doz,D_mod,F31,d_act,B31,d_yr,$C$4,d_mth,$C$5)))))</f>
        <v>0</v>
      </c>
      <c r="P31" s="76">
        <f>IF($C$3="","",IF($C$4="","",IF($C$5="","",IF($C$3&lt;&gt;"All Bureaus",SUMIFS(d_lns,D_mod,F31,d_act,B31,d_yr,$C$4,d_mth,$C$5,d_SO,$C$3),SUMIFS(d_lns,D_mod,F31,d_act,B31,d_yr,$C$4,d_mth,$C$5)))))</f>
        <v>0</v>
      </c>
      <c r="Q31" s="76">
        <f>SUM(I31:P31)</f>
        <v>0</v>
      </c>
      <c r="R31" s="77">
        <f>IF($C$3="","",IF($C$4="","",IF($C$5="","",IF($C$3&lt;&gt;"All Bureaus",SUMIFS(d_mga,D_mod,F31,d_act,B31,d_yr,$C$4,d_mth,$C$5,d_SO,$C$3),SUMIFS(d_mga,D_mod,F31,d_act,B31,d_yr,$C$4,d_mth,$C$5)))))</f>
        <v>0</v>
      </c>
      <c r="S31" s="78">
        <f>IF($C$3="","",IF($C$4="","",IF($C$5="","",IF($C$3&lt;&gt;"All Bureaus",SUMIFS(d_usd,D_mod,F31,d_act,B31,d_yr,$C$4,d_mth,$C$5,d_SO,$C$3),SUMIFS(d_usd,D_mod,F31,d_act,B31,d_yr,$C$4,d_mth,$C$5)))))</f>
        <v>0</v>
      </c>
    </row>
    <row r="32" spans="2:19" x14ac:dyDescent="0.35">
      <c r="B32" s="162" t="s">
        <v>28</v>
      </c>
      <c r="C32" s="162"/>
      <c r="D32" s="162"/>
      <c r="E32" s="79" t="s">
        <v>90</v>
      </c>
      <c r="F32" s="79" t="s">
        <v>41</v>
      </c>
      <c r="G32" s="75">
        <f>IF($C$3="","",IF($C$4="","",IF($C$5="","",IF($C$3&lt;&gt;"All Bureaus",SUMIFS(d_bnf,D_mod,F32,d_act,B32,d_yr,$C$4,d_mth,$C$5,d_SO,$C$3,d_stats,"a"),SUMIFS(d_bnf,D_mod,F32,d_act,B32,d_yr,$C$4,d_mth,$C$5,d_stats,"a")))))</f>
        <v>0</v>
      </c>
      <c r="H32" s="75">
        <f>IF($C$3="","",IF($C$4="","",IF($C$5="","",IF($C$3&lt;&gt;"All Bureaus",SUMIFS(d_hhs,D_mod,F32,d_act,B32,d_yr,$C$4,d_mth,$C$5,d_SO,$C$3,d_stats,"a"),SUMIFS(d_hhs,D_mod,F32,d_act,B32,d_yr,$C$4,d_mth,$C$5,d_stats,"a")))))</f>
        <v>0</v>
      </c>
      <c r="I32" s="76">
        <f>IF($C$3="","",IF($C$4="","",IF($C$5="","",IF($C$3&lt;&gt;"All Bureaus",SUMIFS(d_riz,D_mod,F32,d_act,B32,d_yr,$C$4,d_mth,$C$5,d_SO,$C$3),SUMIFS(d_riz,D_mod,F32,d_act,B32,d_yr,$C$4,d_mth,$C$5)))))</f>
        <v>0</v>
      </c>
      <c r="J32" s="76">
        <f>IF($C$3="","",IF($C$4="","",IF($C$5="","",IF($C$3&lt;&gt;"All Bureaus",SUMIFS(d_ls,D_mod,F32,d_act,B32,d_yr,$C$4,d_mth,$C$5,d_SO,$C$3),SUMIFS(d_ls,D_mod,F32,d_act,B32,d_yr,$C$4,d_mth,$C$5)))))</f>
        <v>0</v>
      </c>
      <c r="K32" s="76">
        <f>IF($C$3="","",IF($C$4="","",IF($C$5="","",IF($C$3&lt;&gt;"All Bureaus",SUMIFS(d_hu,D_mod,F32,d_act,B32,d_yr,$C$4,d_mth,$C$5,d_SO,$C$3),SUMIFS(d_hu,D_mod,F32,d_act,B32,d_yr,$C$4,d_mth,$C$5)))))</f>
        <v>0</v>
      </c>
      <c r="L32" s="76">
        <f>IF($C$3="","",IF($C$4="","",IF($C$5="","",IF($C$3&lt;&gt;"All Bureaus",SUMIFS(d_sup,D_mod,F32,d_act,B32,d_yr,$C$4,d_mth,$C$5,d_SO,$C$3),SUMIFS(d_sup,D_mod,F32,d_act,B32,d_yr,$C$4,d_mth,$C$5)))))</f>
        <v>0</v>
      </c>
      <c r="M32" s="76">
        <f>IF($C$3="","",IF($C$4="","",IF($C$5="","",IF($C$3&lt;&gt;"All Bureaus",SUMIFS(d_csb1,D_mod,F32,d_act,B32,d_yr,$C$4,d_mth,$C$5,d_SO,$C$3),SUMIFS(d_csb1,D_mod,F32,d_act,B32,d_yr,$C$4,d_mth,$C$5)))))</f>
        <v>0</v>
      </c>
      <c r="N32" s="76">
        <f>IF($C$3="","",IF($C$4="","",IF($C$5="","",IF($C$3&lt;&gt;"All Bureaus",SUMIFS(d_csb2,D_mod,F32,d_act,B32,d_yr,$C$4,d_mth,$C$5,d_SO,$C$3),SUMIFS(d_csb2,D_mod,F32,d_act,B32,d_yr,$C$4,d_mth,$C$5)))))</f>
        <v>0</v>
      </c>
      <c r="O32" s="76">
        <f>IF($C$3="","",IF($C$4="","",IF($C$5="","",IF($C$3&lt;&gt;"All Bureaus",SUMIFS(d_doz,D_mod,F32,d_act,B32,d_yr,$C$4,d_mth,$C$5,d_SO,$C$3),SUMIFS(d_doz,D_mod,F32,d_act,B32,d_yr,$C$4,d_mth,$C$5)))))</f>
        <v>0</v>
      </c>
      <c r="P32" s="76">
        <f>IF($C$3="","",IF($C$4="","",IF($C$5="","",IF($C$3&lt;&gt;"All Bureaus",SUMIFS(d_lns,D_mod,F32,d_act,B32,d_yr,$C$4,d_mth,$C$5,d_SO,$C$3),SUMIFS(d_lns,D_mod,F32,d_act,B32,d_yr,$C$4,d_mth,$C$5)))))</f>
        <v>0</v>
      </c>
      <c r="Q32" s="76">
        <f>SUM(I32:P32)</f>
        <v>0</v>
      </c>
      <c r="R32" s="77"/>
      <c r="S32" s="78"/>
    </row>
    <row r="33" spans="2:19" s="60" customFormat="1" x14ac:dyDescent="0.35">
      <c r="B33" s="158" t="s">
        <v>141</v>
      </c>
      <c r="C33" s="158"/>
      <c r="D33" s="158"/>
      <c r="E33" s="158"/>
      <c r="F33" s="158"/>
      <c r="G33" s="65">
        <f>SUM(G31:G32)</f>
        <v>0</v>
      </c>
      <c r="H33" s="65">
        <f>SUM(H31:H32)</f>
        <v>0</v>
      </c>
      <c r="I33" s="66">
        <f>SUM(I31:I32)</f>
        <v>0</v>
      </c>
      <c r="J33" s="66">
        <f t="shared" ref="J33" si="33">SUM(J31:J32)</f>
        <v>0</v>
      </c>
      <c r="K33" s="66">
        <f t="shared" ref="K33" si="34">SUM(K31:K32)</f>
        <v>0</v>
      </c>
      <c r="L33" s="66">
        <f t="shared" ref="L33" si="35">SUM(L31:L32)</f>
        <v>0</v>
      </c>
      <c r="M33" s="66">
        <f t="shared" ref="M33" si="36">SUM(M31:M32)</f>
        <v>0</v>
      </c>
      <c r="N33" s="66">
        <f t="shared" ref="N33" si="37">SUM(N31:N32)</f>
        <v>0</v>
      </c>
      <c r="O33" s="66">
        <f t="shared" ref="O33" si="38">SUM(O31:O32)</f>
        <v>0</v>
      </c>
      <c r="P33" s="66">
        <f t="shared" ref="P33" si="39">SUM(P31:P32)</f>
        <v>0</v>
      </c>
      <c r="Q33" s="66">
        <f t="shared" ref="Q33" si="40">SUM(Q31:Q32)</f>
        <v>0</v>
      </c>
      <c r="R33" s="67">
        <f>SUM(R31:R32)</f>
        <v>0</v>
      </c>
      <c r="S33" s="68">
        <f>SUM(S31:S32)</f>
        <v>0</v>
      </c>
    </row>
    <row r="34" spans="2:19" x14ac:dyDescent="0.35">
      <c r="B34" s="69"/>
      <c r="C34" s="69"/>
      <c r="D34" s="69"/>
      <c r="E34" s="69"/>
      <c r="F34" s="70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</row>
    <row r="35" spans="2:19" s="60" customFormat="1" x14ac:dyDescent="0.35">
      <c r="B35" s="158" t="s">
        <v>140</v>
      </c>
      <c r="C35" s="158"/>
      <c r="D35" s="158"/>
      <c r="E35" s="158"/>
      <c r="F35" s="158"/>
      <c r="G35" s="65">
        <f>SUM(G33,G29,G22)</f>
        <v>51335.8</v>
      </c>
      <c r="H35" s="65">
        <f>SUM(H33,H29,H22)</f>
        <v>51335.8</v>
      </c>
      <c r="I35" s="66">
        <f t="shared" ref="I35:S35" si="41">SUM(I33,I29,I22)</f>
        <v>0</v>
      </c>
      <c r="J35" s="66">
        <f t="shared" si="41"/>
        <v>0</v>
      </c>
      <c r="K35" s="66">
        <f t="shared" si="41"/>
        <v>16.605539999999998</v>
      </c>
      <c r="L35" s="66">
        <f t="shared" si="41"/>
        <v>0</v>
      </c>
      <c r="M35" s="66">
        <f t="shared" si="41"/>
        <v>98.548845</v>
      </c>
      <c r="N35" s="66">
        <f t="shared" si="41"/>
        <v>67.506554999999992</v>
      </c>
      <c r="O35" s="66">
        <f t="shared" si="41"/>
        <v>35.489849999999997</v>
      </c>
      <c r="P35" s="66">
        <f t="shared" si="41"/>
        <v>0</v>
      </c>
      <c r="Q35" s="66">
        <f t="shared" si="41"/>
        <v>218.15079</v>
      </c>
      <c r="R35" s="67">
        <f t="shared" si="41"/>
        <v>0</v>
      </c>
      <c r="S35" s="68">
        <f t="shared" si="41"/>
        <v>0</v>
      </c>
    </row>
  </sheetData>
  <sheetProtection sort="0"/>
  <mergeCells count="28">
    <mergeCell ref="B35:F35"/>
    <mergeCell ref="B9:D9"/>
    <mergeCell ref="B10:D10"/>
    <mergeCell ref="B11:D11"/>
    <mergeCell ref="B12:D12"/>
    <mergeCell ref="B13:D13"/>
    <mergeCell ref="B14:D14"/>
    <mergeCell ref="B15:D15"/>
    <mergeCell ref="B20:D20"/>
    <mergeCell ref="B21:D21"/>
    <mergeCell ref="B33:F33"/>
    <mergeCell ref="B24:D24"/>
    <mergeCell ref="B27:D27"/>
    <mergeCell ref="B31:D31"/>
    <mergeCell ref="B32:D32"/>
    <mergeCell ref="B17:D17"/>
    <mergeCell ref="E5:S5"/>
    <mergeCell ref="E3:S4"/>
    <mergeCell ref="E6:S6"/>
    <mergeCell ref="B22:F22"/>
    <mergeCell ref="B29:F29"/>
    <mergeCell ref="B8:D8"/>
    <mergeCell ref="B16:D16"/>
    <mergeCell ref="B18:D18"/>
    <mergeCell ref="B19:D19"/>
    <mergeCell ref="B28:D28"/>
    <mergeCell ref="B25:D25"/>
    <mergeCell ref="B26:D26"/>
  </mergeCells>
  <phoneticPr fontId="12" type="noConversion"/>
  <dataValidations count="4">
    <dataValidation type="list" allowBlank="1" showInputMessage="1" showErrorMessage="1" sqref="C5" xr:uid="{58A4F6E9-FA21-4C40-A5D5-F8C4B35F1294}">
      <formula1>Mg_mth</formula1>
    </dataValidation>
    <dataValidation type="list" allowBlank="1" showInputMessage="1" showErrorMessage="1" sqref="C3" xr:uid="{034593DE-B144-4B39-B736-D2A486F15A80}">
      <formula1>mg_bt</formula1>
    </dataValidation>
    <dataValidation type="list" allowBlank="1" showInputMessage="1" showErrorMessage="1" sqref="C4" xr:uid="{46CEE3F8-80C7-4247-9396-4CE36ACB9A6A}">
      <formula1>mg_yr</formula1>
    </dataValidation>
    <dataValidation type="list" allowBlank="1" showInputMessage="1" showErrorMessage="1" sqref="B31:D32 B9:D21 B24:D28" xr:uid="{9BCDB0E3-9B77-4C95-B138-7BB2E0EBDC52}">
      <formula1>tab_act1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787F-D738-4E97-8E0D-FA727217020A}">
  <sheetPr codeName="Sheet1">
    <outlinePr summaryBelow="0"/>
  </sheetPr>
  <dimension ref="A1:AN477"/>
  <sheetViews>
    <sheetView showGridLines="0" zoomScale="85" zoomScaleNormal="85" workbookViewId="0">
      <pane xSplit="6" ySplit="3" topLeftCell="X436" activePane="bottomRight" state="frozen"/>
      <selection activeCell="M10" sqref="M10"/>
      <selection pane="topRight" activeCell="M10" sqref="M10"/>
      <selection pane="bottomLeft" activeCell="M10" sqref="M10"/>
      <selection pane="bottomRight" activeCell="B4" sqref="B4:AN477"/>
    </sheetView>
  </sheetViews>
  <sheetFormatPr defaultRowHeight="14.5" x14ac:dyDescent="0.35"/>
  <cols>
    <col min="1" max="1" width="2.90625" customWidth="1"/>
    <col min="2" max="2" width="10.90625" style="23" bestFit="1" customWidth="1"/>
    <col min="3" max="3" width="7.453125" style="23" customWidth="1"/>
    <col min="4" max="4" width="10.54296875" style="23" bestFit="1" customWidth="1"/>
    <col min="5" max="5" width="18.90625" bestFit="1" customWidth="1"/>
    <col min="6" max="6" width="32.08984375" customWidth="1"/>
    <col min="7" max="7" width="35" customWidth="1"/>
    <col min="8" max="8" width="16.36328125" style="23" customWidth="1"/>
    <col min="9" max="9" width="14.54296875" customWidth="1"/>
    <col min="10" max="10" width="12.08984375" customWidth="1"/>
    <col min="11" max="11" width="17.36328125" customWidth="1"/>
    <col min="12" max="12" width="10.6328125" customWidth="1"/>
    <col min="13" max="13" width="23.453125" bestFit="1" customWidth="1"/>
    <col min="14" max="14" width="16.54296875" bestFit="1" customWidth="1"/>
    <col min="15" max="15" width="15.90625" customWidth="1"/>
    <col min="16" max="16" width="16.08984375" customWidth="1"/>
    <col min="17" max="18" width="11.54296875" style="28" customWidth="1"/>
    <col min="19" max="19" width="17.6328125" style="28" bestFit="1" customWidth="1"/>
    <col min="20" max="20" width="10.54296875" bestFit="1" customWidth="1"/>
    <col min="21" max="21" width="15.36328125" customWidth="1"/>
    <col min="22" max="22" width="9.90625" style="149" bestFit="1" customWidth="1"/>
    <col min="23" max="23" width="11.6328125" bestFit="1" customWidth="1"/>
    <col min="24" max="24" width="13.08984375" customWidth="1"/>
    <col min="25" max="25" width="8.90625" customWidth="1"/>
    <col min="26" max="26" width="12.453125" customWidth="1"/>
    <col min="27" max="28" width="11.453125" bestFit="1" customWidth="1"/>
    <col min="29" max="30" width="8.90625" bestFit="1" customWidth="1"/>
    <col min="31" max="31" width="10.6328125" bestFit="1" customWidth="1"/>
    <col min="32" max="32" width="8.90625" bestFit="1" customWidth="1"/>
    <col min="33" max="33" width="14.90625" bestFit="1" customWidth="1"/>
    <col min="34" max="34" width="16.90625" customWidth="1"/>
    <col min="35" max="35" width="14.453125" style="27" customWidth="1"/>
    <col min="36" max="36" width="22.90625" customWidth="1"/>
    <col min="37" max="37" width="16.453125" customWidth="1"/>
    <col min="38" max="39" width="4.54296875" customWidth="1"/>
    <col min="40" max="40" width="8.6328125" customWidth="1"/>
  </cols>
  <sheetData>
    <row r="1" spans="2:40" x14ac:dyDescent="0.35">
      <c r="Q1"/>
      <c r="R1"/>
      <c r="S1"/>
      <c r="T1" s="29"/>
      <c r="X1" s="72"/>
      <c r="AJ1" s="88"/>
    </row>
    <row r="2" spans="2:40" x14ac:dyDescent="0.35">
      <c r="Q2"/>
      <c r="R2" s="28">
        <f>SUBTOTAL(9,R4:R500)</f>
        <v>98570.699999999983</v>
      </c>
      <c r="S2" s="28">
        <f>SUBTOTAL(9,S4:S441)</f>
        <v>139193.70000000001</v>
      </c>
      <c r="T2" s="28">
        <f>SUBTOTAL(9,T4:T441)</f>
        <v>139193.70000000001</v>
      </c>
      <c r="W2" s="27">
        <f t="shared" ref="W2:AK2" si="0">SUBTOTAL(9,W4:W157)</f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16.605539999999998</v>
      </c>
      <c r="AC2" s="27">
        <f t="shared" si="0"/>
        <v>0</v>
      </c>
      <c r="AD2" s="27">
        <f t="shared" si="0"/>
        <v>0</v>
      </c>
      <c r="AE2" s="27">
        <f t="shared" si="0"/>
        <v>166.05539999999999</v>
      </c>
      <c r="AF2" s="27">
        <f t="shared" si="0"/>
        <v>0</v>
      </c>
      <c r="AG2" s="27">
        <f t="shared" si="0"/>
        <v>29.146349999999995</v>
      </c>
      <c r="AH2" s="27">
        <f t="shared" si="0"/>
        <v>0</v>
      </c>
      <c r="AI2" s="27">
        <f t="shared" si="0"/>
        <v>211.80729000000002</v>
      </c>
      <c r="AJ2" s="31">
        <f t="shared" si="0"/>
        <v>0</v>
      </c>
      <c r="AK2" s="31">
        <f t="shared" si="0"/>
        <v>0</v>
      </c>
    </row>
    <row r="3" spans="2:40" s="23" customFormat="1" x14ac:dyDescent="0.35">
      <c r="B3" s="25" t="s">
        <v>43</v>
      </c>
      <c r="C3" s="25" t="s">
        <v>118</v>
      </c>
      <c r="D3" s="25" t="s">
        <v>44</v>
      </c>
      <c r="E3" s="25" t="s">
        <v>108</v>
      </c>
      <c r="F3" s="25" t="s">
        <v>45</v>
      </c>
      <c r="G3" s="25" t="s">
        <v>46</v>
      </c>
      <c r="H3" s="25" t="s">
        <v>57</v>
      </c>
      <c r="I3" s="25" t="s">
        <v>47</v>
      </c>
      <c r="J3" s="25" t="s">
        <v>48</v>
      </c>
      <c r="K3" s="25" t="s">
        <v>49</v>
      </c>
      <c r="L3" s="25" t="s">
        <v>50</v>
      </c>
      <c r="M3" s="25" t="s">
        <v>51</v>
      </c>
      <c r="N3" s="25" t="s">
        <v>52</v>
      </c>
      <c r="O3" s="25" t="s">
        <v>53</v>
      </c>
      <c r="P3" s="25" t="s">
        <v>54</v>
      </c>
      <c r="Q3" s="25" t="s">
        <v>106</v>
      </c>
      <c r="R3" s="25" t="s">
        <v>107</v>
      </c>
      <c r="S3" s="25" t="s">
        <v>56</v>
      </c>
      <c r="T3" s="25" t="s">
        <v>105</v>
      </c>
      <c r="U3" s="25" t="s">
        <v>55</v>
      </c>
      <c r="V3" s="25" t="s">
        <v>115</v>
      </c>
      <c r="W3" s="25" t="s">
        <v>2</v>
      </c>
      <c r="X3" s="25" t="s">
        <v>3</v>
      </c>
      <c r="Y3" s="25" t="s">
        <v>32</v>
      </c>
      <c r="Z3" s="25" t="s">
        <v>4</v>
      </c>
      <c r="AA3" s="25" t="s">
        <v>5</v>
      </c>
      <c r="AB3" s="25" t="s">
        <v>6</v>
      </c>
      <c r="AC3" s="25" t="s">
        <v>7</v>
      </c>
      <c r="AD3" s="25" t="s">
        <v>36</v>
      </c>
      <c r="AE3" s="25" t="s">
        <v>35</v>
      </c>
      <c r="AF3" s="25" t="s">
        <v>33</v>
      </c>
      <c r="AG3" s="25" t="s">
        <v>34</v>
      </c>
      <c r="AH3" s="25" t="s">
        <v>8</v>
      </c>
      <c r="AI3" s="32" t="s">
        <v>114</v>
      </c>
      <c r="AJ3" s="25" t="s">
        <v>112</v>
      </c>
      <c r="AK3" s="25" t="s">
        <v>113</v>
      </c>
      <c r="AN3" s="25" t="s">
        <v>148</v>
      </c>
    </row>
    <row r="4" spans="2:40" x14ac:dyDescent="0.35">
      <c r="B4" s="50" t="s">
        <v>129</v>
      </c>
      <c r="C4" s="44">
        <v>2023</v>
      </c>
      <c r="D4" s="44" t="s">
        <v>100</v>
      </c>
      <c r="E4" s="15" t="s">
        <v>39</v>
      </c>
      <c r="F4" s="142" t="s">
        <v>117</v>
      </c>
      <c r="G4" s="15" t="s">
        <v>159</v>
      </c>
      <c r="H4" s="44"/>
      <c r="I4" s="15" t="s">
        <v>94</v>
      </c>
      <c r="J4" s="15" t="s">
        <v>94</v>
      </c>
      <c r="K4" s="15" t="s">
        <v>160</v>
      </c>
      <c r="L4" s="15" t="s">
        <v>95</v>
      </c>
      <c r="M4" s="15" t="s">
        <v>94</v>
      </c>
      <c r="N4" s="15" t="s">
        <v>67</v>
      </c>
      <c r="O4" s="15" t="s">
        <v>161</v>
      </c>
      <c r="P4" s="15" t="s">
        <v>162</v>
      </c>
      <c r="Q4" s="135"/>
      <c r="R4" s="42">
        <v>431.2</v>
      </c>
      <c r="S4" s="42">
        <f t="shared" ref="S4:S35" si="1">SUM(Q4:R4)</f>
        <v>431.2</v>
      </c>
      <c r="T4" s="43">
        <f t="shared" ref="T4:T35" si="2">IF(E4="Sch",S4,IF(E4="nutrition",S4,S4/5))</f>
        <v>431.2</v>
      </c>
      <c r="U4" s="15" t="s">
        <v>41</v>
      </c>
      <c r="V4" s="150">
        <v>30</v>
      </c>
      <c r="W4" s="133" cm="1">
        <f t="array" ref="W4">IF(U4="",0,_xlfn.XLOOKUP(E4&amp;U4&amp;F4,tab_act&amp;tab_mod&amp;tab_act1,tab_riz)*V4*T4/MGMT)</f>
        <v>0</v>
      </c>
      <c r="X4" s="43" cm="1">
        <f t="array" ref="X4">IF(U4="",0,_xlfn.XLOOKUP(E4&amp;U4&amp;F4,tab_act&amp;tab_mod&amp;tab_act1,tab_mc)*V4*T4/MGMT)</f>
        <v>0</v>
      </c>
      <c r="Y4" s="43" cm="1">
        <f t="array" ref="Y4">IF(U4="",0,_xlfn.XLOOKUP(E4&amp;U4&amp;F4,tab_act&amp;tab_mod&amp;tab_act1,tab_sor)*V4*T4/MGMT)</f>
        <v>0</v>
      </c>
      <c r="Z4" s="43" cm="1">
        <f t="array" ref="Z4">IF(U4="",0,_xlfn.XLOOKUP(E4&amp;U4&amp;F4,tab_act&amp;tab_mod&amp;tab_act1,tab_mg)*V4*T4/MGMT)</f>
        <v>0</v>
      </c>
      <c r="AA4" s="133" cm="1">
        <f t="array" ref="AA4">IF(U4="",0,IF(U4="hybrid-Sch",_xlfn.XLOOKUP(E4&amp;U4&amp;F4,tab_act&amp;tab_mod&amp;tab_act1,tab_ls)*SchLS*T4/MGMT,_xlfn.XLOOKUP(E4&amp;U4&amp;F4,tab_act&amp;tab_mod&amp;tab_act1,tab_ls)*V4*T4/MGMT))</f>
        <v>0</v>
      </c>
      <c r="AB4" s="133" cm="1">
        <f t="array" ref="AB4">IF(U4="",0,_xlfn.XLOOKUP(E4&amp;U4&amp;F4,tab_act&amp;tab_mod&amp;tab_act1,tab_hu)*V4*T4/MGMT)</f>
        <v>0.25872000000000001</v>
      </c>
      <c r="AC4" s="133" cm="1">
        <f t="array" ref="AC4">IF(U4="",0,_xlfn.XLOOKUP(E4&amp;U4&amp;F4,tab_act&amp;tab_mod&amp;tab_act1,tab_mnp)*V4*T4/MGMT)</f>
        <v>0</v>
      </c>
      <c r="AD4" s="133" cm="1">
        <f t="array" ref="AD4">IF(U4="",0,_xlfn.XLOOKUP(E4&amp;U4&amp;F4,tab_act&amp;tab_mod&amp;tab_act1,tab_Psup)*V4*T4/MGMT)</f>
        <v>0</v>
      </c>
      <c r="AE4" s="133" cm="1">
        <f t="array" ref="AE4">IF(U4="",0,_xlfn.XLOOKUP(E4&amp;U4&amp;F4,tab_act&amp;tab_mod&amp;tab_act1,tab_csb1)*V4*T4/MGMT)</f>
        <v>2.5872000000000002</v>
      </c>
      <c r="AF4" s="133" cm="1">
        <f t="array" ref="AF4">IF(U4="",0,_xlfn.XLOOKUP(E4&amp;U4&amp;F4,tab_act&amp;tab_mod&amp;tab_act1,tab_csb2)*V4*T4/MGMT)</f>
        <v>0</v>
      </c>
      <c r="AG4" s="133" cm="1">
        <f t="array" ref="AG4">IF(U4="",0,_xlfn.XLOOKUP(E4&amp;U4&amp;F4,tab_act&amp;tab_mod&amp;tab_act1,tab_pdoz)*V4*T4/MGMT)</f>
        <v>0</v>
      </c>
      <c r="AH4" s="133" cm="1">
        <f t="array" ref="AH4">IF(U4="",0,_xlfn.XLOOKUP(E4&amp;U4&amp;F4,tab_act&amp;tab_mod&amp;tab_act1,tab_lns)*V4*T4/MGMT)</f>
        <v>0</v>
      </c>
      <c r="AI4" s="47">
        <f t="shared" ref="AI4:AI67" si="3">SUM(W4:AH4)</f>
        <v>2.84592</v>
      </c>
      <c r="AJ4" s="48">
        <f t="shared" ref="AJ4:AJ35" si="4">AK4*ExRate</f>
        <v>0</v>
      </c>
      <c r="AK4" s="49" cm="1">
        <f t="array" ref="AK4">IF(U4="",0,_xlfn.XLOOKUP(E4&amp;U4&amp;F4,tab_act&amp;tab_mod&amp;tab_act1,tab_cash)*V4*T4)</f>
        <v>0</v>
      </c>
      <c r="AN4" s="140" t="str">
        <f t="shared" ref="AN4:AN67" si="5">IF(V4="","IA",IF(V4=0,"IA","A"))</f>
        <v>A</v>
      </c>
    </row>
    <row r="5" spans="2:40" x14ac:dyDescent="0.35">
      <c r="B5" s="50" t="s">
        <v>129</v>
      </c>
      <c r="C5" s="44">
        <v>2023</v>
      </c>
      <c r="D5" s="44" t="s">
        <v>100</v>
      </c>
      <c r="E5" s="15" t="s">
        <v>39</v>
      </c>
      <c r="F5" s="142" t="s">
        <v>117</v>
      </c>
      <c r="G5" s="15" t="s">
        <v>159</v>
      </c>
      <c r="H5" s="44"/>
      <c r="I5" s="15" t="s">
        <v>94</v>
      </c>
      <c r="J5" s="15" t="s">
        <v>94</v>
      </c>
      <c r="K5" s="15" t="s">
        <v>160</v>
      </c>
      <c r="L5" s="15" t="s">
        <v>95</v>
      </c>
      <c r="M5" s="15" t="s">
        <v>94</v>
      </c>
      <c r="N5" s="15" t="s">
        <v>67</v>
      </c>
      <c r="O5" s="15" t="s">
        <v>161</v>
      </c>
      <c r="P5" s="15" t="s">
        <v>163</v>
      </c>
      <c r="Q5" s="135"/>
      <c r="R5" s="42">
        <v>55</v>
      </c>
      <c r="S5" s="42">
        <f t="shared" si="1"/>
        <v>55</v>
      </c>
      <c r="T5" s="43">
        <f t="shared" si="2"/>
        <v>55</v>
      </c>
      <c r="U5" s="15" t="s">
        <v>41</v>
      </c>
      <c r="V5" s="150">
        <v>30</v>
      </c>
      <c r="W5" s="133" cm="1">
        <f t="array" ref="W5">IF(U5="",0,_xlfn.XLOOKUP(E5&amp;U5&amp;F5,tab_act&amp;tab_mod&amp;tab_act1,tab_riz)*V5*T5/MGMT)</f>
        <v>0</v>
      </c>
      <c r="X5" s="43" cm="1">
        <f t="array" ref="X5">IF(U5="",0,_xlfn.XLOOKUP(E5&amp;U5&amp;F5,tab_act&amp;tab_mod&amp;tab_act1,tab_mc)*V5*T5/MGMT)</f>
        <v>0</v>
      </c>
      <c r="Y5" s="43" cm="1">
        <f t="array" ref="Y5">IF(U5="",0,_xlfn.XLOOKUP(E5&amp;U5&amp;F5,tab_act&amp;tab_mod&amp;tab_act1,tab_sor)*V5*T5/MGMT)</f>
        <v>0</v>
      </c>
      <c r="Z5" s="43" cm="1">
        <f t="array" ref="Z5">IF(U5="",0,_xlfn.XLOOKUP(E5&amp;U5&amp;F5,tab_act&amp;tab_mod&amp;tab_act1,tab_mg)*V5*T5/MGMT)</f>
        <v>0</v>
      </c>
      <c r="AA5" s="133" cm="1">
        <f t="array" ref="AA5">IF(U5="",0,IF(U5="hybrid-Sch",_xlfn.XLOOKUP(E5&amp;U5&amp;F5,tab_act&amp;tab_mod&amp;tab_act1,tab_ls)*SchLS*T5/MGMT,_xlfn.XLOOKUP(E5&amp;U5&amp;F5,tab_act&amp;tab_mod&amp;tab_act1,tab_ls)*V5*T5/MGMT))</f>
        <v>0</v>
      </c>
      <c r="AB5" s="133" cm="1">
        <f t="array" ref="AB5">IF(U5="",0,_xlfn.XLOOKUP(E5&amp;U5&amp;F5,tab_act&amp;tab_mod&amp;tab_act1,tab_hu)*V5*T5/MGMT)</f>
        <v>3.3000000000000002E-2</v>
      </c>
      <c r="AC5" s="133" cm="1">
        <f t="array" ref="AC5">IF(U5="",0,_xlfn.XLOOKUP(E5&amp;U5&amp;F5,tab_act&amp;tab_mod&amp;tab_act1,tab_mnp)*V5*T5/MGMT)</f>
        <v>0</v>
      </c>
      <c r="AD5" s="133" cm="1">
        <f t="array" ref="AD5">IF(U5="",0,_xlfn.XLOOKUP(E5&amp;U5&amp;F5,tab_act&amp;tab_mod&amp;tab_act1,tab_Psup)*V5*T5/MGMT)</f>
        <v>0</v>
      </c>
      <c r="AE5" s="133" cm="1">
        <f t="array" ref="AE5">IF(U5="",0,_xlfn.XLOOKUP(E5&amp;U5&amp;F5,tab_act&amp;tab_mod&amp;tab_act1,tab_csb1)*V5*T5/MGMT)</f>
        <v>0.33</v>
      </c>
      <c r="AF5" s="133" cm="1">
        <f t="array" ref="AF5">IF(U5="",0,_xlfn.XLOOKUP(E5&amp;U5&amp;F5,tab_act&amp;tab_mod&amp;tab_act1,tab_csb2)*V5*T5/MGMT)</f>
        <v>0</v>
      </c>
      <c r="AG5" s="133" cm="1">
        <f t="array" ref="AG5">IF(U5="",0,_xlfn.XLOOKUP(E5&amp;U5&amp;F5,tab_act&amp;tab_mod&amp;tab_act1,tab_pdoz)*V5*T5/MGMT)</f>
        <v>0</v>
      </c>
      <c r="AH5" s="133" cm="1">
        <f t="array" ref="AH5">IF(U5="",0,_xlfn.XLOOKUP(E5&amp;U5&amp;F5,tab_act&amp;tab_mod&amp;tab_act1,tab_lns)*V5*T5/MGMT)</f>
        <v>0</v>
      </c>
      <c r="AI5" s="47">
        <f t="shared" si="3"/>
        <v>0.36299999999999999</v>
      </c>
      <c r="AJ5" s="48">
        <f t="shared" si="4"/>
        <v>0</v>
      </c>
      <c r="AK5" s="49" cm="1">
        <f t="array" ref="AK5">IF(U5="",0,_xlfn.XLOOKUP(E5&amp;U5&amp;F5,tab_act&amp;tab_mod&amp;tab_act1,tab_cash)*V5*T5)</f>
        <v>0</v>
      </c>
      <c r="AN5" s="140" t="str">
        <f t="shared" si="5"/>
        <v>A</v>
      </c>
    </row>
    <row r="6" spans="2:40" x14ac:dyDescent="0.35">
      <c r="B6" s="50" t="s">
        <v>129</v>
      </c>
      <c r="C6" s="44">
        <v>2023</v>
      </c>
      <c r="D6" s="44" t="s">
        <v>100</v>
      </c>
      <c r="E6" s="15" t="s">
        <v>39</v>
      </c>
      <c r="F6" s="142" t="s">
        <v>117</v>
      </c>
      <c r="G6" s="15" t="s">
        <v>159</v>
      </c>
      <c r="H6" s="44"/>
      <c r="I6" s="15" t="s">
        <v>94</v>
      </c>
      <c r="J6" s="15" t="s">
        <v>94</v>
      </c>
      <c r="K6" s="15" t="s">
        <v>160</v>
      </c>
      <c r="L6" s="15" t="s">
        <v>95</v>
      </c>
      <c r="M6" s="15" t="s">
        <v>94</v>
      </c>
      <c r="N6" s="15" t="s">
        <v>67</v>
      </c>
      <c r="O6" s="15" t="s">
        <v>161</v>
      </c>
      <c r="P6" s="15" t="s">
        <v>164</v>
      </c>
      <c r="Q6" s="135"/>
      <c r="R6" s="42">
        <v>134.19999999999999</v>
      </c>
      <c r="S6" s="42">
        <f t="shared" si="1"/>
        <v>134.19999999999999</v>
      </c>
      <c r="T6" s="43">
        <f t="shared" si="2"/>
        <v>134.19999999999999</v>
      </c>
      <c r="U6" s="15" t="s">
        <v>41</v>
      </c>
      <c r="V6" s="150">
        <v>30</v>
      </c>
      <c r="W6" s="133" cm="1">
        <f t="array" ref="W6">IF(U6="",0,_xlfn.XLOOKUP(E6&amp;U6&amp;F6,tab_act&amp;tab_mod&amp;tab_act1,tab_riz)*V6*T6/MGMT)</f>
        <v>0</v>
      </c>
      <c r="X6" s="43" cm="1">
        <f t="array" ref="X6">IF(U6="",0,_xlfn.XLOOKUP(E6&amp;U6&amp;F6,tab_act&amp;tab_mod&amp;tab_act1,tab_mc)*V6*T6/MGMT)</f>
        <v>0</v>
      </c>
      <c r="Y6" s="43" cm="1">
        <f t="array" ref="Y6">IF(U6="",0,_xlfn.XLOOKUP(E6&amp;U6&amp;F6,tab_act&amp;tab_mod&amp;tab_act1,tab_sor)*V6*T6/MGMT)</f>
        <v>0</v>
      </c>
      <c r="Z6" s="43" cm="1">
        <f t="array" ref="Z6">IF(U6="",0,_xlfn.XLOOKUP(E6&amp;U6&amp;F6,tab_act&amp;tab_mod&amp;tab_act1,tab_mg)*V6*T6/MGMT)</f>
        <v>0</v>
      </c>
      <c r="AA6" s="133" cm="1">
        <f t="array" ref="AA6">IF(U6="",0,IF(U6="hybrid-Sch",_xlfn.XLOOKUP(E6&amp;U6&amp;F6,tab_act&amp;tab_mod&amp;tab_act1,tab_ls)*SchLS*T6/MGMT,_xlfn.XLOOKUP(E6&amp;U6&amp;F6,tab_act&amp;tab_mod&amp;tab_act1,tab_ls)*V6*T6/MGMT))</f>
        <v>0</v>
      </c>
      <c r="AB6" s="133" cm="1">
        <f t="array" ref="AB6">IF(U6="",0,_xlfn.XLOOKUP(E6&amp;U6&amp;F6,tab_act&amp;tab_mod&amp;tab_act1,tab_hu)*V6*T6/MGMT)</f>
        <v>8.0519999999999994E-2</v>
      </c>
      <c r="AC6" s="133" cm="1">
        <f t="array" ref="AC6">IF(U6="",0,_xlfn.XLOOKUP(E6&amp;U6&amp;F6,tab_act&amp;tab_mod&amp;tab_act1,tab_mnp)*V6*T6/MGMT)</f>
        <v>0</v>
      </c>
      <c r="AD6" s="133" cm="1">
        <f t="array" ref="AD6">IF(U6="",0,_xlfn.XLOOKUP(E6&amp;U6&amp;F6,tab_act&amp;tab_mod&amp;tab_act1,tab_Psup)*V6*T6/MGMT)</f>
        <v>0</v>
      </c>
      <c r="AE6" s="133" cm="1">
        <f t="array" ref="AE6">IF(U6="",0,_xlfn.XLOOKUP(E6&amp;U6&amp;F6,tab_act&amp;tab_mod&amp;tab_act1,tab_csb1)*V6*T6/MGMT)</f>
        <v>0.80519999999999992</v>
      </c>
      <c r="AF6" s="133" cm="1">
        <f t="array" ref="AF6">IF(U6="",0,_xlfn.XLOOKUP(E6&amp;U6&amp;F6,tab_act&amp;tab_mod&amp;tab_act1,tab_csb2)*V6*T6/MGMT)</f>
        <v>0</v>
      </c>
      <c r="AG6" s="133" cm="1">
        <f t="array" ref="AG6">IF(U6="",0,_xlfn.XLOOKUP(E6&amp;U6&amp;F6,tab_act&amp;tab_mod&amp;tab_act1,tab_pdoz)*V6*T6/MGMT)</f>
        <v>0</v>
      </c>
      <c r="AH6" s="133" cm="1">
        <f t="array" ref="AH6">IF(U6="",0,_xlfn.XLOOKUP(E6&amp;U6&amp;F6,tab_act&amp;tab_mod&amp;tab_act1,tab_lns)*V6*T6/MGMT)</f>
        <v>0</v>
      </c>
      <c r="AI6" s="47">
        <f t="shared" si="3"/>
        <v>0.88571999999999995</v>
      </c>
      <c r="AJ6" s="48">
        <f t="shared" si="4"/>
        <v>0</v>
      </c>
      <c r="AK6" s="49" cm="1">
        <f t="array" ref="AK6">IF(U6="",0,_xlfn.XLOOKUP(E6&amp;U6&amp;F6,tab_act&amp;tab_mod&amp;tab_act1,tab_cash)*V6*T6)</f>
        <v>0</v>
      </c>
      <c r="AN6" s="140" t="str">
        <f t="shared" si="5"/>
        <v>A</v>
      </c>
    </row>
    <row r="7" spans="2:40" x14ac:dyDescent="0.35">
      <c r="B7" s="50" t="s">
        <v>129</v>
      </c>
      <c r="C7" s="44">
        <v>2023</v>
      </c>
      <c r="D7" s="44" t="s">
        <v>100</v>
      </c>
      <c r="E7" s="15" t="s">
        <v>39</v>
      </c>
      <c r="F7" s="142" t="s">
        <v>117</v>
      </c>
      <c r="G7" s="15" t="s">
        <v>159</v>
      </c>
      <c r="H7" s="44"/>
      <c r="I7" s="15" t="s">
        <v>94</v>
      </c>
      <c r="J7" s="15" t="s">
        <v>94</v>
      </c>
      <c r="K7" s="15" t="s">
        <v>160</v>
      </c>
      <c r="L7" s="15" t="s">
        <v>95</v>
      </c>
      <c r="M7" s="15" t="s">
        <v>94</v>
      </c>
      <c r="N7" s="15" t="s">
        <v>67</v>
      </c>
      <c r="O7" s="15" t="s">
        <v>161</v>
      </c>
      <c r="P7" s="15" t="s">
        <v>165</v>
      </c>
      <c r="Q7" s="135"/>
      <c r="R7" s="42">
        <v>85.8</v>
      </c>
      <c r="S7" s="42">
        <f t="shared" si="1"/>
        <v>85.8</v>
      </c>
      <c r="T7" s="43">
        <f t="shared" si="2"/>
        <v>85.8</v>
      </c>
      <c r="U7" s="15" t="s">
        <v>41</v>
      </c>
      <c r="V7" s="150">
        <v>30</v>
      </c>
      <c r="W7" s="133" cm="1">
        <f t="array" ref="W7">IF(U7="",0,_xlfn.XLOOKUP(E7&amp;U7&amp;F7,tab_act&amp;tab_mod&amp;tab_act1,tab_riz)*V7*T7/MGMT)</f>
        <v>0</v>
      </c>
      <c r="X7" s="43" cm="1">
        <f t="array" ref="X7">IF(U7="",0,_xlfn.XLOOKUP(E7&amp;U7&amp;F7,tab_act&amp;tab_mod&amp;tab_act1,tab_mc)*V7*T7/MGMT)</f>
        <v>0</v>
      </c>
      <c r="Y7" s="43" cm="1">
        <f t="array" ref="Y7">IF(U7="",0,_xlfn.XLOOKUP(E7&amp;U7&amp;F7,tab_act&amp;tab_mod&amp;tab_act1,tab_sor)*V7*T7/MGMT)</f>
        <v>0</v>
      </c>
      <c r="Z7" s="43" cm="1">
        <f t="array" ref="Z7">IF(U7="",0,_xlfn.XLOOKUP(E7&amp;U7&amp;F7,tab_act&amp;tab_mod&amp;tab_act1,tab_mg)*V7*T7/MGMT)</f>
        <v>0</v>
      </c>
      <c r="AA7" s="133" cm="1">
        <f t="array" ref="AA7">IF(U7="",0,IF(U7="hybrid-Sch",_xlfn.XLOOKUP(E7&amp;U7&amp;F7,tab_act&amp;tab_mod&amp;tab_act1,tab_ls)*SchLS*T7/MGMT,_xlfn.XLOOKUP(E7&amp;U7&amp;F7,tab_act&amp;tab_mod&amp;tab_act1,tab_ls)*V7*T7/MGMT))</f>
        <v>0</v>
      </c>
      <c r="AB7" s="133" cm="1">
        <f t="array" ref="AB7">IF(U7="",0,_xlfn.XLOOKUP(E7&amp;U7&amp;F7,tab_act&amp;tab_mod&amp;tab_act1,tab_hu)*V7*T7/MGMT)</f>
        <v>5.1479999999999998E-2</v>
      </c>
      <c r="AC7" s="133" cm="1">
        <f t="array" ref="AC7">IF(U7="",0,_xlfn.XLOOKUP(E7&amp;U7&amp;F7,tab_act&amp;tab_mod&amp;tab_act1,tab_mnp)*V7*T7/MGMT)</f>
        <v>0</v>
      </c>
      <c r="AD7" s="133" cm="1">
        <f t="array" ref="AD7">IF(U7="",0,_xlfn.XLOOKUP(E7&amp;U7&amp;F7,tab_act&amp;tab_mod&amp;tab_act1,tab_Psup)*V7*T7/MGMT)</f>
        <v>0</v>
      </c>
      <c r="AE7" s="133" cm="1">
        <f t="array" ref="AE7">IF(U7="",0,_xlfn.XLOOKUP(E7&amp;U7&amp;F7,tab_act&amp;tab_mod&amp;tab_act1,tab_csb1)*V7*T7/MGMT)</f>
        <v>0.51480000000000004</v>
      </c>
      <c r="AF7" s="133" cm="1">
        <f t="array" ref="AF7">IF(U7="",0,_xlfn.XLOOKUP(E7&amp;U7&amp;F7,tab_act&amp;tab_mod&amp;tab_act1,tab_csb2)*V7*T7/MGMT)</f>
        <v>0</v>
      </c>
      <c r="AG7" s="133" cm="1">
        <f t="array" ref="AG7">IF(U7="",0,_xlfn.XLOOKUP(E7&amp;U7&amp;F7,tab_act&amp;tab_mod&amp;tab_act1,tab_pdoz)*V7*T7/MGMT)</f>
        <v>0</v>
      </c>
      <c r="AH7" s="133" cm="1">
        <f t="array" ref="AH7">IF(U7="",0,_xlfn.XLOOKUP(E7&amp;U7&amp;F7,tab_act&amp;tab_mod&amp;tab_act1,tab_lns)*V7*T7/MGMT)</f>
        <v>0</v>
      </c>
      <c r="AI7" s="47">
        <f t="shared" si="3"/>
        <v>0.56628000000000001</v>
      </c>
      <c r="AJ7" s="48">
        <f t="shared" si="4"/>
        <v>0</v>
      </c>
      <c r="AK7" s="49" cm="1">
        <f t="array" ref="AK7">IF(U7="",0,_xlfn.XLOOKUP(E7&amp;U7&amp;F7,tab_act&amp;tab_mod&amp;tab_act1,tab_cash)*V7*T7)</f>
        <v>0</v>
      </c>
      <c r="AN7" s="140" t="str">
        <f t="shared" si="5"/>
        <v>A</v>
      </c>
    </row>
    <row r="8" spans="2:40" x14ac:dyDescent="0.35">
      <c r="B8" s="50" t="s">
        <v>129</v>
      </c>
      <c r="C8" s="44">
        <v>2023</v>
      </c>
      <c r="D8" s="44" t="s">
        <v>100</v>
      </c>
      <c r="E8" s="15" t="s">
        <v>39</v>
      </c>
      <c r="F8" s="142" t="s">
        <v>117</v>
      </c>
      <c r="G8" s="15" t="s">
        <v>159</v>
      </c>
      <c r="H8" s="44"/>
      <c r="I8" s="15" t="s">
        <v>94</v>
      </c>
      <c r="J8" s="15" t="s">
        <v>94</v>
      </c>
      <c r="K8" s="15" t="s">
        <v>160</v>
      </c>
      <c r="L8" s="15" t="s">
        <v>95</v>
      </c>
      <c r="M8" s="15" t="s">
        <v>94</v>
      </c>
      <c r="N8" s="15" t="s">
        <v>67</v>
      </c>
      <c r="O8" s="15" t="s">
        <v>161</v>
      </c>
      <c r="P8" s="15" t="s">
        <v>161</v>
      </c>
      <c r="Q8" s="135"/>
      <c r="R8" s="42">
        <v>552.20000000000005</v>
      </c>
      <c r="S8" s="42">
        <f t="shared" si="1"/>
        <v>552.20000000000005</v>
      </c>
      <c r="T8" s="43">
        <f t="shared" si="2"/>
        <v>552.20000000000005</v>
      </c>
      <c r="U8" s="15" t="s">
        <v>41</v>
      </c>
      <c r="V8" s="150">
        <v>30</v>
      </c>
      <c r="W8" s="133" cm="1">
        <f t="array" ref="W8">IF(U8="",0,_xlfn.XLOOKUP(E8&amp;U8&amp;F8,tab_act&amp;tab_mod&amp;tab_act1,tab_riz)*V8*T8/MGMT)</f>
        <v>0</v>
      </c>
      <c r="X8" s="43" cm="1">
        <f t="array" ref="X8">IF(U8="",0,_xlfn.XLOOKUP(E8&amp;U8&amp;F8,tab_act&amp;tab_mod&amp;tab_act1,tab_mc)*V8*T8/MGMT)</f>
        <v>0</v>
      </c>
      <c r="Y8" s="43" cm="1">
        <f t="array" ref="Y8">IF(U8="",0,_xlfn.XLOOKUP(E8&amp;U8&amp;F8,tab_act&amp;tab_mod&amp;tab_act1,tab_sor)*V8*T8/MGMT)</f>
        <v>0</v>
      </c>
      <c r="Z8" s="43" cm="1">
        <f t="array" ref="Z8">IF(U8="",0,_xlfn.XLOOKUP(E8&amp;U8&amp;F8,tab_act&amp;tab_mod&amp;tab_act1,tab_mg)*V8*T8/MGMT)</f>
        <v>0</v>
      </c>
      <c r="AA8" s="133" cm="1">
        <f t="array" ref="AA8">IF(U8="",0,IF(U8="hybrid-Sch",_xlfn.XLOOKUP(E8&amp;U8&amp;F8,tab_act&amp;tab_mod&amp;tab_act1,tab_ls)*SchLS*T8/MGMT,_xlfn.XLOOKUP(E8&amp;U8&amp;F8,tab_act&amp;tab_mod&amp;tab_act1,tab_ls)*V8*T8/MGMT))</f>
        <v>0</v>
      </c>
      <c r="AB8" s="133" cm="1">
        <f t="array" ref="AB8">IF(U8="",0,_xlfn.XLOOKUP(E8&amp;U8&amp;F8,tab_act&amp;tab_mod&amp;tab_act1,tab_hu)*V8*T8/MGMT)</f>
        <v>0.33132</v>
      </c>
      <c r="AC8" s="133" cm="1">
        <f t="array" ref="AC8">IF(U8="",0,_xlfn.XLOOKUP(E8&amp;U8&amp;F8,tab_act&amp;tab_mod&amp;tab_act1,tab_mnp)*V8*T8/MGMT)</f>
        <v>0</v>
      </c>
      <c r="AD8" s="133" cm="1">
        <f t="array" ref="AD8">IF(U8="",0,_xlfn.XLOOKUP(E8&amp;U8&amp;F8,tab_act&amp;tab_mod&amp;tab_act1,tab_Psup)*V8*T8/MGMT)</f>
        <v>0</v>
      </c>
      <c r="AE8" s="133" cm="1">
        <f t="array" ref="AE8">IF(U8="",0,_xlfn.XLOOKUP(E8&amp;U8&amp;F8,tab_act&amp;tab_mod&amp;tab_act1,tab_csb1)*V8*T8/MGMT)</f>
        <v>3.3132000000000006</v>
      </c>
      <c r="AF8" s="133" cm="1">
        <f t="array" ref="AF8">IF(U8="",0,_xlfn.XLOOKUP(E8&amp;U8&amp;F8,tab_act&amp;tab_mod&amp;tab_act1,tab_csb2)*V8*T8/MGMT)</f>
        <v>0</v>
      </c>
      <c r="AG8" s="133" cm="1">
        <f t="array" ref="AG8">IF(U8="",0,_xlfn.XLOOKUP(E8&amp;U8&amp;F8,tab_act&amp;tab_mod&amp;tab_act1,tab_pdoz)*V8*T8/MGMT)</f>
        <v>0</v>
      </c>
      <c r="AH8" s="133" cm="1">
        <f t="array" ref="AH8">IF(U8="",0,_xlfn.XLOOKUP(E8&amp;U8&amp;F8,tab_act&amp;tab_mod&amp;tab_act1,tab_lns)*V8*T8/MGMT)</f>
        <v>0</v>
      </c>
      <c r="AI8" s="47">
        <f t="shared" si="3"/>
        <v>3.6445200000000004</v>
      </c>
      <c r="AJ8" s="48">
        <f t="shared" si="4"/>
        <v>0</v>
      </c>
      <c r="AK8" s="49" cm="1">
        <f t="array" ref="AK8">IF(U8="",0,_xlfn.XLOOKUP(E8&amp;U8&amp;F8,tab_act&amp;tab_mod&amp;tab_act1,tab_cash)*V8*T8)</f>
        <v>0</v>
      </c>
      <c r="AN8" s="140" t="str">
        <f t="shared" si="5"/>
        <v>A</v>
      </c>
    </row>
    <row r="9" spans="2:40" x14ac:dyDescent="0.35">
      <c r="B9" s="50" t="s">
        <v>129</v>
      </c>
      <c r="C9" s="44">
        <v>2023</v>
      </c>
      <c r="D9" s="44" t="s">
        <v>100</v>
      </c>
      <c r="E9" s="15" t="s">
        <v>39</v>
      </c>
      <c r="F9" s="142" t="s">
        <v>117</v>
      </c>
      <c r="G9" s="15" t="s">
        <v>159</v>
      </c>
      <c r="H9" s="44"/>
      <c r="I9" s="15" t="s">
        <v>94</v>
      </c>
      <c r="J9" s="15" t="s">
        <v>94</v>
      </c>
      <c r="K9" s="15" t="s">
        <v>160</v>
      </c>
      <c r="L9" s="15" t="s">
        <v>95</v>
      </c>
      <c r="M9" s="15" t="s">
        <v>94</v>
      </c>
      <c r="N9" s="15" t="s">
        <v>67</v>
      </c>
      <c r="O9" s="15" t="s">
        <v>161</v>
      </c>
      <c r="P9" s="15" t="s">
        <v>166</v>
      </c>
      <c r="Q9" s="135"/>
      <c r="R9" s="42">
        <v>135.30000000000001</v>
      </c>
      <c r="S9" s="42">
        <f t="shared" si="1"/>
        <v>135.30000000000001</v>
      </c>
      <c r="T9" s="43">
        <f t="shared" si="2"/>
        <v>135.30000000000001</v>
      </c>
      <c r="U9" s="15" t="s">
        <v>41</v>
      </c>
      <c r="V9" s="150">
        <v>30</v>
      </c>
      <c r="W9" s="133" cm="1">
        <f t="array" ref="W9">IF(U9="",0,_xlfn.XLOOKUP(E9&amp;U9&amp;F9,tab_act&amp;tab_mod&amp;tab_act1,tab_riz)*V9*T9/MGMT)</f>
        <v>0</v>
      </c>
      <c r="X9" s="43" cm="1">
        <f t="array" ref="X9">IF(U9="",0,_xlfn.XLOOKUP(E9&amp;U9&amp;F9,tab_act&amp;tab_mod&amp;tab_act1,tab_mc)*V9*T9/MGMT)</f>
        <v>0</v>
      </c>
      <c r="Y9" s="43" cm="1">
        <f t="array" ref="Y9">IF(U9="",0,_xlfn.XLOOKUP(E9&amp;U9&amp;F9,tab_act&amp;tab_mod&amp;tab_act1,tab_sor)*V9*T9/MGMT)</f>
        <v>0</v>
      </c>
      <c r="Z9" s="43" cm="1">
        <f t="array" ref="Z9">IF(U9="",0,_xlfn.XLOOKUP(E9&amp;U9&amp;F9,tab_act&amp;tab_mod&amp;tab_act1,tab_mg)*V9*T9/MGMT)</f>
        <v>0</v>
      </c>
      <c r="AA9" s="133" cm="1">
        <f t="array" ref="AA9">IF(U9="",0,IF(U9="hybrid-Sch",_xlfn.XLOOKUP(E9&amp;U9&amp;F9,tab_act&amp;tab_mod&amp;tab_act1,tab_ls)*SchLS*T9/MGMT,_xlfn.XLOOKUP(E9&amp;U9&amp;F9,tab_act&amp;tab_mod&amp;tab_act1,tab_ls)*V9*T9/MGMT))</f>
        <v>0</v>
      </c>
      <c r="AB9" s="133" cm="1">
        <f t="array" ref="AB9">IF(U9="",0,_xlfn.XLOOKUP(E9&amp;U9&amp;F9,tab_act&amp;tab_mod&amp;tab_act1,tab_hu)*V9*T9/MGMT)</f>
        <v>8.1180000000000002E-2</v>
      </c>
      <c r="AC9" s="133" cm="1">
        <f t="array" ref="AC9">IF(U9="",0,_xlfn.XLOOKUP(E9&amp;U9&amp;F9,tab_act&amp;tab_mod&amp;tab_act1,tab_mnp)*V9*T9/MGMT)</f>
        <v>0</v>
      </c>
      <c r="AD9" s="133" cm="1">
        <f t="array" ref="AD9">IF(U9="",0,_xlfn.XLOOKUP(E9&amp;U9&amp;F9,tab_act&amp;tab_mod&amp;tab_act1,tab_Psup)*V9*T9/MGMT)</f>
        <v>0</v>
      </c>
      <c r="AE9" s="133" cm="1">
        <f t="array" ref="AE9">IF(U9="",0,_xlfn.XLOOKUP(E9&amp;U9&amp;F9,tab_act&amp;tab_mod&amp;tab_act1,tab_csb1)*V9*T9/MGMT)</f>
        <v>0.81180000000000008</v>
      </c>
      <c r="AF9" s="133" cm="1">
        <f t="array" ref="AF9">IF(U9="",0,_xlfn.XLOOKUP(E9&amp;U9&amp;F9,tab_act&amp;tab_mod&amp;tab_act1,tab_csb2)*V9*T9/MGMT)</f>
        <v>0</v>
      </c>
      <c r="AG9" s="133" cm="1">
        <f t="array" ref="AG9">IF(U9="",0,_xlfn.XLOOKUP(E9&amp;U9&amp;F9,tab_act&amp;tab_mod&amp;tab_act1,tab_pdoz)*V9*T9/MGMT)</f>
        <v>0</v>
      </c>
      <c r="AH9" s="133" cm="1">
        <f t="array" ref="AH9">IF(U9="",0,_xlfn.XLOOKUP(E9&amp;U9&amp;F9,tab_act&amp;tab_mod&amp;tab_act1,tab_lns)*V9*T9/MGMT)</f>
        <v>0</v>
      </c>
      <c r="AI9" s="47">
        <f t="shared" si="3"/>
        <v>0.89298000000000011</v>
      </c>
      <c r="AJ9" s="48">
        <f t="shared" si="4"/>
        <v>0</v>
      </c>
      <c r="AK9" s="49" cm="1">
        <f t="array" ref="AK9">IF(U9="",0,_xlfn.XLOOKUP(E9&amp;U9&amp;F9,tab_act&amp;tab_mod&amp;tab_act1,tab_cash)*V9*T9)</f>
        <v>0</v>
      </c>
      <c r="AN9" s="140" t="str">
        <f t="shared" si="5"/>
        <v>A</v>
      </c>
    </row>
    <row r="10" spans="2:40" x14ac:dyDescent="0.35">
      <c r="B10" s="50" t="s">
        <v>129</v>
      </c>
      <c r="C10" s="44">
        <v>2023</v>
      </c>
      <c r="D10" s="44" t="s">
        <v>100</v>
      </c>
      <c r="E10" s="15" t="s">
        <v>39</v>
      </c>
      <c r="F10" s="142" t="s">
        <v>117</v>
      </c>
      <c r="G10" s="15" t="s">
        <v>159</v>
      </c>
      <c r="H10" s="44"/>
      <c r="I10" s="15" t="s">
        <v>94</v>
      </c>
      <c r="J10" s="15" t="s">
        <v>94</v>
      </c>
      <c r="K10" s="15" t="s">
        <v>160</v>
      </c>
      <c r="L10" s="15" t="s">
        <v>95</v>
      </c>
      <c r="M10" s="15" t="s">
        <v>94</v>
      </c>
      <c r="N10" s="15" t="s">
        <v>67</v>
      </c>
      <c r="O10" s="15" t="s">
        <v>161</v>
      </c>
      <c r="P10" s="15" t="s">
        <v>167</v>
      </c>
      <c r="Q10" s="135"/>
      <c r="R10" s="42">
        <v>103.4</v>
      </c>
      <c r="S10" s="42">
        <f t="shared" si="1"/>
        <v>103.4</v>
      </c>
      <c r="T10" s="43">
        <f t="shared" si="2"/>
        <v>103.4</v>
      </c>
      <c r="U10" s="15" t="s">
        <v>41</v>
      </c>
      <c r="V10" s="150">
        <v>30</v>
      </c>
      <c r="W10" s="133" cm="1">
        <f t="array" ref="W10">IF(U10="",0,_xlfn.XLOOKUP(E10&amp;U10&amp;F10,tab_act&amp;tab_mod&amp;tab_act1,tab_riz)*V10*T10/MGMT)</f>
        <v>0</v>
      </c>
      <c r="X10" s="43" cm="1">
        <f t="array" ref="X10">IF(U10="",0,_xlfn.XLOOKUP(E10&amp;U10&amp;F10,tab_act&amp;tab_mod&amp;tab_act1,tab_mc)*V10*T10/MGMT)</f>
        <v>0</v>
      </c>
      <c r="Y10" s="43" cm="1">
        <f t="array" ref="Y10">IF(U10="",0,_xlfn.XLOOKUP(E10&amp;U10&amp;F10,tab_act&amp;tab_mod&amp;tab_act1,tab_sor)*V10*T10/MGMT)</f>
        <v>0</v>
      </c>
      <c r="Z10" s="43" cm="1">
        <f t="array" ref="Z10">IF(U10="",0,_xlfn.XLOOKUP(E10&amp;U10&amp;F10,tab_act&amp;tab_mod&amp;tab_act1,tab_mg)*V10*T10/MGMT)</f>
        <v>0</v>
      </c>
      <c r="AA10" s="133" cm="1">
        <f t="array" ref="AA10">IF(U10="",0,IF(U10="hybrid-Sch",_xlfn.XLOOKUP(E10&amp;U10&amp;F10,tab_act&amp;tab_mod&amp;tab_act1,tab_ls)*SchLS*T10/MGMT,_xlfn.XLOOKUP(E10&amp;U10&amp;F10,tab_act&amp;tab_mod&amp;tab_act1,tab_ls)*V10*T10/MGMT))</f>
        <v>0</v>
      </c>
      <c r="AB10" s="133" cm="1">
        <f t="array" ref="AB10">IF(U10="",0,_xlfn.XLOOKUP(E10&amp;U10&amp;F10,tab_act&amp;tab_mod&amp;tab_act1,tab_hu)*V10*T10/MGMT)</f>
        <v>6.2039999999999998E-2</v>
      </c>
      <c r="AC10" s="133" cm="1">
        <f t="array" ref="AC10">IF(U10="",0,_xlfn.XLOOKUP(E10&amp;U10&amp;F10,tab_act&amp;tab_mod&amp;tab_act1,tab_mnp)*V10*T10/MGMT)</f>
        <v>0</v>
      </c>
      <c r="AD10" s="133" cm="1">
        <f t="array" ref="AD10">IF(U10="",0,_xlfn.XLOOKUP(E10&amp;U10&amp;F10,tab_act&amp;tab_mod&amp;tab_act1,tab_Psup)*V10*T10/MGMT)</f>
        <v>0</v>
      </c>
      <c r="AE10" s="133" cm="1">
        <f t="array" ref="AE10">IF(U10="",0,_xlfn.XLOOKUP(E10&amp;U10&amp;F10,tab_act&amp;tab_mod&amp;tab_act1,tab_csb1)*V10*T10/MGMT)</f>
        <v>0.62039999999999995</v>
      </c>
      <c r="AF10" s="133" cm="1">
        <f t="array" ref="AF10">IF(U10="",0,_xlfn.XLOOKUP(E10&amp;U10&amp;F10,tab_act&amp;tab_mod&amp;tab_act1,tab_csb2)*V10*T10/MGMT)</f>
        <v>0</v>
      </c>
      <c r="AG10" s="133" cm="1">
        <f t="array" ref="AG10">IF(U10="",0,_xlfn.XLOOKUP(E10&amp;U10&amp;F10,tab_act&amp;tab_mod&amp;tab_act1,tab_pdoz)*V10*T10/MGMT)</f>
        <v>0</v>
      </c>
      <c r="AH10" s="133" cm="1">
        <f t="array" ref="AH10">IF(U10="",0,_xlfn.XLOOKUP(E10&amp;U10&amp;F10,tab_act&amp;tab_mod&amp;tab_act1,tab_lns)*V10*T10/MGMT)</f>
        <v>0</v>
      </c>
      <c r="AI10" s="47">
        <f t="shared" si="3"/>
        <v>0.68243999999999994</v>
      </c>
      <c r="AJ10" s="48">
        <f t="shared" si="4"/>
        <v>0</v>
      </c>
      <c r="AK10" s="49" cm="1">
        <f t="array" ref="AK10">IF(U10="",0,_xlfn.XLOOKUP(E10&amp;U10&amp;F10,tab_act&amp;tab_mod&amp;tab_act1,tab_cash)*V10*T10)</f>
        <v>0</v>
      </c>
      <c r="AN10" s="140" t="str">
        <f t="shared" si="5"/>
        <v>A</v>
      </c>
    </row>
    <row r="11" spans="2:40" x14ac:dyDescent="0.35">
      <c r="B11" s="50" t="s">
        <v>129</v>
      </c>
      <c r="C11" s="44">
        <v>2023</v>
      </c>
      <c r="D11" s="44" t="s">
        <v>100</v>
      </c>
      <c r="E11" s="15" t="s">
        <v>39</v>
      </c>
      <c r="F11" s="142" t="s">
        <v>117</v>
      </c>
      <c r="G11" s="15" t="s">
        <v>159</v>
      </c>
      <c r="H11" s="44"/>
      <c r="I11" s="15" t="s">
        <v>94</v>
      </c>
      <c r="J11" s="15" t="s">
        <v>94</v>
      </c>
      <c r="K11" s="15" t="s">
        <v>160</v>
      </c>
      <c r="L11" s="15" t="s">
        <v>95</v>
      </c>
      <c r="M11" s="15" t="s">
        <v>94</v>
      </c>
      <c r="N11" s="15" t="s">
        <v>67</v>
      </c>
      <c r="O11" s="15" t="s">
        <v>161</v>
      </c>
      <c r="P11" s="15" t="s">
        <v>168</v>
      </c>
      <c r="Q11" s="135"/>
      <c r="R11" s="42">
        <v>46.2</v>
      </c>
      <c r="S11" s="42">
        <f t="shared" si="1"/>
        <v>46.2</v>
      </c>
      <c r="T11" s="43">
        <f t="shared" si="2"/>
        <v>46.2</v>
      </c>
      <c r="U11" s="15" t="s">
        <v>41</v>
      </c>
      <c r="V11" s="150">
        <v>30</v>
      </c>
      <c r="W11" s="133" cm="1">
        <f t="array" ref="W11">IF(U11="",0,_xlfn.XLOOKUP(E11&amp;U11&amp;F11,tab_act&amp;tab_mod&amp;tab_act1,tab_riz)*V11*T11/MGMT)</f>
        <v>0</v>
      </c>
      <c r="X11" s="43" cm="1">
        <f t="array" ref="X11">IF(U11="",0,_xlfn.XLOOKUP(E11&amp;U11&amp;F11,tab_act&amp;tab_mod&amp;tab_act1,tab_mc)*V11*T11/MGMT)</f>
        <v>0</v>
      </c>
      <c r="Y11" s="43" cm="1">
        <f t="array" ref="Y11">IF(U11="",0,_xlfn.XLOOKUP(E11&amp;U11&amp;F11,tab_act&amp;tab_mod&amp;tab_act1,tab_sor)*V11*T11/MGMT)</f>
        <v>0</v>
      </c>
      <c r="Z11" s="43" cm="1">
        <f t="array" ref="Z11">IF(U11="",0,_xlfn.XLOOKUP(E11&amp;U11&amp;F11,tab_act&amp;tab_mod&amp;tab_act1,tab_mg)*V11*T11/MGMT)</f>
        <v>0</v>
      </c>
      <c r="AA11" s="133" cm="1">
        <f t="array" ref="AA11">IF(U11="",0,IF(U11="hybrid-Sch",_xlfn.XLOOKUP(E11&amp;U11&amp;F11,tab_act&amp;tab_mod&amp;tab_act1,tab_ls)*SchLS*T11/MGMT,_xlfn.XLOOKUP(E11&amp;U11&amp;F11,tab_act&amp;tab_mod&amp;tab_act1,tab_ls)*V11*T11/MGMT))</f>
        <v>0</v>
      </c>
      <c r="AB11" s="133" cm="1">
        <f t="array" ref="AB11">IF(U11="",0,_xlfn.XLOOKUP(E11&amp;U11&amp;F11,tab_act&amp;tab_mod&amp;tab_act1,tab_hu)*V11*T11/MGMT)</f>
        <v>2.7720000000000002E-2</v>
      </c>
      <c r="AC11" s="133" cm="1">
        <f t="array" ref="AC11">IF(U11="",0,_xlfn.XLOOKUP(E11&amp;U11&amp;F11,tab_act&amp;tab_mod&amp;tab_act1,tab_mnp)*V11*T11/MGMT)</f>
        <v>0</v>
      </c>
      <c r="AD11" s="133" cm="1">
        <f t="array" ref="AD11">IF(U11="",0,_xlfn.XLOOKUP(E11&amp;U11&amp;F11,tab_act&amp;tab_mod&amp;tab_act1,tab_Psup)*V11*T11/MGMT)</f>
        <v>0</v>
      </c>
      <c r="AE11" s="133" cm="1">
        <f t="array" ref="AE11">IF(U11="",0,_xlfn.XLOOKUP(E11&amp;U11&amp;F11,tab_act&amp;tab_mod&amp;tab_act1,tab_csb1)*V11*T11/MGMT)</f>
        <v>0.2772</v>
      </c>
      <c r="AF11" s="133" cm="1">
        <f t="array" ref="AF11">IF(U11="",0,_xlfn.XLOOKUP(E11&amp;U11&amp;F11,tab_act&amp;tab_mod&amp;tab_act1,tab_csb2)*V11*T11/MGMT)</f>
        <v>0</v>
      </c>
      <c r="AG11" s="133" cm="1">
        <f t="array" ref="AG11">IF(U11="",0,_xlfn.XLOOKUP(E11&amp;U11&amp;F11,tab_act&amp;tab_mod&amp;tab_act1,tab_pdoz)*V11*T11/MGMT)</f>
        <v>0</v>
      </c>
      <c r="AH11" s="133" cm="1">
        <f t="array" ref="AH11">IF(U11="",0,_xlfn.XLOOKUP(E11&amp;U11&amp;F11,tab_act&amp;tab_mod&amp;tab_act1,tab_lns)*V11*T11/MGMT)</f>
        <v>0</v>
      </c>
      <c r="AI11" s="47">
        <f t="shared" si="3"/>
        <v>0.30492000000000002</v>
      </c>
      <c r="AJ11" s="48">
        <f t="shared" si="4"/>
        <v>0</v>
      </c>
      <c r="AK11" s="49" cm="1">
        <f t="array" ref="AK11">IF(U11="",0,_xlfn.XLOOKUP(E11&amp;U11&amp;F11,tab_act&amp;tab_mod&amp;tab_act1,tab_cash)*V11*T11)</f>
        <v>0</v>
      </c>
      <c r="AN11" s="140" t="str">
        <f t="shared" si="5"/>
        <v>A</v>
      </c>
    </row>
    <row r="12" spans="2:40" x14ac:dyDescent="0.35">
      <c r="B12" s="50" t="s">
        <v>129</v>
      </c>
      <c r="C12" s="44">
        <v>2023</v>
      </c>
      <c r="D12" s="44" t="s">
        <v>100</v>
      </c>
      <c r="E12" s="15" t="s">
        <v>39</v>
      </c>
      <c r="F12" s="142" t="s">
        <v>117</v>
      </c>
      <c r="G12" s="15" t="s">
        <v>159</v>
      </c>
      <c r="H12" s="44"/>
      <c r="I12" s="15" t="s">
        <v>94</v>
      </c>
      <c r="J12" s="15" t="s">
        <v>94</v>
      </c>
      <c r="K12" s="15" t="s">
        <v>160</v>
      </c>
      <c r="L12" s="15" t="s">
        <v>95</v>
      </c>
      <c r="M12" s="15" t="s">
        <v>94</v>
      </c>
      <c r="N12" s="15" t="s">
        <v>67</v>
      </c>
      <c r="O12" s="15" t="s">
        <v>161</v>
      </c>
      <c r="P12" s="15" t="s">
        <v>169</v>
      </c>
      <c r="Q12" s="135"/>
      <c r="R12" s="42">
        <v>170.5</v>
      </c>
      <c r="S12" s="42">
        <f t="shared" si="1"/>
        <v>170.5</v>
      </c>
      <c r="T12" s="43">
        <f t="shared" si="2"/>
        <v>170.5</v>
      </c>
      <c r="U12" s="15" t="s">
        <v>41</v>
      </c>
      <c r="V12" s="150">
        <v>30</v>
      </c>
      <c r="W12" s="133" cm="1">
        <f t="array" ref="W12">IF(U12="",0,_xlfn.XLOOKUP(E12&amp;U12&amp;F12,tab_act&amp;tab_mod&amp;tab_act1,tab_riz)*V12*T12/MGMT)</f>
        <v>0</v>
      </c>
      <c r="X12" s="43" cm="1">
        <f t="array" ref="X12">IF(U12="",0,_xlfn.XLOOKUP(E12&amp;U12&amp;F12,tab_act&amp;tab_mod&amp;tab_act1,tab_mc)*V12*T12/MGMT)</f>
        <v>0</v>
      </c>
      <c r="Y12" s="43" cm="1">
        <f t="array" ref="Y12">IF(U12="",0,_xlfn.XLOOKUP(E12&amp;U12&amp;F12,tab_act&amp;tab_mod&amp;tab_act1,tab_sor)*V12*T12/MGMT)</f>
        <v>0</v>
      </c>
      <c r="Z12" s="43" cm="1">
        <f t="array" ref="Z12">IF(U12="",0,_xlfn.XLOOKUP(E12&amp;U12&amp;F12,tab_act&amp;tab_mod&amp;tab_act1,tab_mg)*V12*T12/MGMT)</f>
        <v>0</v>
      </c>
      <c r="AA12" s="133" cm="1">
        <f t="array" ref="AA12">IF(U12="",0,IF(U12="hybrid-Sch",_xlfn.XLOOKUP(E12&amp;U12&amp;F12,tab_act&amp;tab_mod&amp;tab_act1,tab_ls)*SchLS*T12/MGMT,_xlfn.XLOOKUP(E12&amp;U12&amp;F12,tab_act&amp;tab_mod&amp;tab_act1,tab_ls)*V12*T12/MGMT))</f>
        <v>0</v>
      </c>
      <c r="AB12" s="133" cm="1">
        <f t="array" ref="AB12">IF(U12="",0,_xlfn.XLOOKUP(E12&amp;U12&amp;F12,tab_act&amp;tab_mod&amp;tab_act1,tab_hu)*V12*T12/MGMT)</f>
        <v>0.1023</v>
      </c>
      <c r="AC12" s="133" cm="1">
        <f t="array" ref="AC12">IF(U12="",0,_xlfn.XLOOKUP(E12&amp;U12&amp;F12,tab_act&amp;tab_mod&amp;tab_act1,tab_mnp)*V12*T12/MGMT)</f>
        <v>0</v>
      </c>
      <c r="AD12" s="133" cm="1">
        <f t="array" ref="AD12">IF(U12="",0,_xlfn.XLOOKUP(E12&amp;U12&amp;F12,tab_act&amp;tab_mod&amp;tab_act1,tab_Psup)*V12*T12/MGMT)</f>
        <v>0</v>
      </c>
      <c r="AE12" s="133" cm="1">
        <f t="array" ref="AE12">IF(U12="",0,_xlfn.XLOOKUP(E12&amp;U12&amp;F12,tab_act&amp;tab_mod&amp;tab_act1,tab_csb1)*V12*T12/MGMT)</f>
        <v>1.0229999999999999</v>
      </c>
      <c r="AF12" s="133" cm="1">
        <f t="array" ref="AF12">IF(U12="",0,_xlfn.XLOOKUP(E12&amp;U12&amp;F12,tab_act&amp;tab_mod&amp;tab_act1,tab_csb2)*V12*T12/MGMT)</f>
        <v>0</v>
      </c>
      <c r="AG12" s="133" cm="1">
        <f t="array" ref="AG12">IF(U12="",0,_xlfn.XLOOKUP(E12&amp;U12&amp;F12,tab_act&amp;tab_mod&amp;tab_act1,tab_pdoz)*V12*T12/MGMT)</f>
        <v>0</v>
      </c>
      <c r="AH12" s="133" cm="1">
        <f t="array" ref="AH12">IF(U12="",0,_xlfn.XLOOKUP(E12&amp;U12&amp;F12,tab_act&amp;tab_mod&amp;tab_act1,tab_lns)*V12*T12/MGMT)</f>
        <v>0</v>
      </c>
      <c r="AI12" s="47">
        <f t="shared" si="3"/>
        <v>1.1253</v>
      </c>
      <c r="AJ12" s="48">
        <f t="shared" si="4"/>
        <v>0</v>
      </c>
      <c r="AK12" s="49" cm="1">
        <f t="array" ref="AK12">IF(U12="",0,_xlfn.XLOOKUP(E12&amp;U12&amp;F12,tab_act&amp;tab_mod&amp;tab_act1,tab_cash)*V12*T12)</f>
        <v>0</v>
      </c>
      <c r="AN12" s="140" t="str">
        <f t="shared" si="5"/>
        <v>A</v>
      </c>
    </row>
    <row r="13" spans="2:40" x14ac:dyDescent="0.35">
      <c r="B13" s="50" t="s">
        <v>129</v>
      </c>
      <c r="C13" s="44">
        <v>2023</v>
      </c>
      <c r="D13" s="44" t="s">
        <v>100</v>
      </c>
      <c r="E13" s="15" t="s">
        <v>39</v>
      </c>
      <c r="F13" s="142" t="s">
        <v>117</v>
      </c>
      <c r="G13" s="15" t="s">
        <v>159</v>
      </c>
      <c r="H13" s="44"/>
      <c r="I13" s="15" t="s">
        <v>94</v>
      </c>
      <c r="J13" s="15" t="s">
        <v>94</v>
      </c>
      <c r="K13" s="15" t="s">
        <v>160</v>
      </c>
      <c r="L13" s="15" t="s">
        <v>95</v>
      </c>
      <c r="M13" s="15" t="s">
        <v>94</v>
      </c>
      <c r="N13" s="15" t="s">
        <v>67</v>
      </c>
      <c r="O13" s="15" t="s">
        <v>161</v>
      </c>
      <c r="P13" s="15" t="s">
        <v>170</v>
      </c>
      <c r="Q13" s="135"/>
      <c r="R13" s="42">
        <v>303.60000000000002</v>
      </c>
      <c r="S13" s="42">
        <f t="shared" si="1"/>
        <v>303.60000000000002</v>
      </c>
      <c r="T13" s="43">
        <f t="shared" si="2"/>
        <v>303.60000000000002</v>
      </c>
      <c r="U13" s="15" t="s">
        <v>41</v>
      </c>
      <c r="V13" s="150">
        <v>30</v>
      </c>
      <c r="W13" s="133" cm="1">
        <f t="array" ref="W13">IF(U13="",0,_xlfn.XLOOKUP(E13&amp;U13&amp;F13,tab_act&amp;tab_mod&amp;tab_act1,tab_riz)*V13*T13/MGMT)</f>
        <v>0</v>
      </c>
      <c r="X13" s="43" cm="1">
        <f t="array" ref="X13">IF(U13="",0,_xlfn.XLOOKUP(E13&amp;U13&amp;F13,tab_act&amp;tab_mod&amp;tab_act1,tab_mc)*V13*T13/MGMT)</f>
        <v>0</v>
      </c>
      <c r="Y13" s="43" cm="1">
        <f t="array" ref="Y13">IF(U13="",0,_xlfn.XLOOKUP(E13&amp;U13&amp;F13,tab_act&amp;tab_mod&amp;tab_act1,tab_sor)*V13*T13/MGMT)</f>
        <v>0</v>
      </c>
      <c r="Z13" s="43" cm="1">
        <f t="array" ref="Z13">IF(U13="",0,_xlfn.XLOOKUP(E13&amp;U13&amp;F13,tab_act&amp;tab_mod&amp;tab_act1,tab_mg)*V13*T13/MGMT)</f>
        <v>0</v>
      </c>
      <c r="AA13" s="133" cm="1">
        <f t="array" ref="AA13">IF(U13="",0,IF(U13="hybrid-Sch",_xlfn.XLOOKUP(E13&amp;U13&amp;F13,tab_act&amp;tab_mod&amp;tab_act1,tab_ls)*SchLS*T13/MGMT,_xlfn.XLOOKUP(E13&amp;U13&amp;F13,tab_act&amp;tab_mod&amp;tab_act1,tab_ls)*V13*T13/MGMT))</f>
        <v>0</v>
      </c>
      <c r="AB13" s="133" cm="1">
        <f t="array" ref="AB13">IF(U13="",0,_xlfn.XLOOKUP(E13&amp;U13&amp;F13,tab_act&amp;tab_mod&amp;tab_act1,tab_hu)*V13*T13/MGMT)</f>
        <v>0.18215999999999999</v>
      </c>
      <c r="AC13" s="133" cm="1">
        <f t="array" ref="AC13">IF(U13="",0,_xlfn.XLOOKUP(E13&amp;U13&amp;F13,tab_act&amp;tab_mod&amp;tab_act1,tab_mnp)*V13*T13/MGMT)</f>
        <v>0</v>
      </c>
      <c r="AD13" s="133" cm="1">
        <f t="array" ref="AD13">IF(U13="",0,_xlfn.XLOOKUP(E13&amp;U13&amp;F13,tab_act&amp;tab_mod&amp;tab_act1,tab_Psup)*V13*T13/MGMT)</f>
        <v>0</v>
      </c>
      <c r="AE13" s="133" cm="1">
        <f t="array" ref="AE13">IF(U13="",0,_xlfn.XLOOKUP(E13&amp;U13&amp;F13,tab_act&amp;tab_mod&amp;tab_act1,tab_csb1)*V13*T13/MGMT)</f>
        <v>1.8216000000000003</v>
      </c>
      <c r="AF13" s="133" cm="1">
        <f t="array" ref="AF13">IF(U13="",0,_xlfn.XLOOKUP(E13&amp;U13&amp;F13,tab_act&amp;tab_mod&amp;tab_act1,tab_csb2)*V13*T13/MGMT)</f>
        <v>0</v>
      </c>
      <c r="AG13" s="133" cm="1">
        <f t="array" ref="AG13">IF(U13="",0,_xlfn.XLOOKUP(E13&amp;U13&amp;F13,tab_act&amp;tab_mod&amp;tab_act1,tab_pdoz)*V13*T13/MGMT)</f>
        <v>0</v>
      </c>
      <c r="AH13" s="133" cm="1">
        <f t="array" ref="AH13">IF(U13="",0,_xlfn.XLOOKUP(E13&amp;U13&amp;F13,tab_act&amp;tab_mod&amp;tab_act1,tab_lns)*V13*T13/MGMT)</f>
        <v>0</v>
      </c>
      <c r="AI13" s="47">
        <f t="shared" si="3"/>
        <v>2.0037600000000002</v>
      </c>
      <c r="AJ13" s="48">
        <f t="shared" si="4"/>
        <v>0</v>
      </c>
      <c r="AK13" s="49" cm="1">
        <f t="array" ref="AK13">IF(U13="",0,_xlfn.XLOOKUP(E13&amp;U13&amp;F13,tab_act&amp;tab_mod&amp;tab_act1,tab_cash)*V13*T13)</f>
        <v>0</v>
      </c>
      <c r="AN13" s="140" t="str">
        <f t="shared" si="5"/>
        <v>A</v>
      </c>
    </row>
    <row r="14" spans="2:40" x14ac:dyDescent="0.35">
      <c r="B14" s="50" t="s">
        <v>129</v>
      </c>
      <c r="C14" s="44">
        <v>2023</v>
      </c>
      <c r="D14" s="44" t="s">
        <v>100</v>
      </c>
      <c r="E14" s="15" t="s">
        <v>39</v>
      </c>
      <c r="F14" s="142" t="s">
        <v>117</v>
      </c>
      <c r="G14" s="15" t="s">
        <v>159</v>
      </c>
      <c r="H14" s="44"/>
      <c r="I14" s="15" t="s">
        <v>94</v>
      </c>
      <c r="J14" s="15" t="s">
        <v>94</v>
      </c>
      <c r="K14" s="15" t="s">
        <v>160</v>
      </c>
      <c r="L14" s="15" t="s">
        <v>95</v>
      </c>
      <c r="M14" s="15" t="s">
        <v>94</v>
      </c>
      <c r="N14" s="15" t="s">
        <v>67</v>
      </c>
      <c r="O14" s="15" t="s">
        <v>161</v>
      </c>
      <c r="P14" s="15" t="s">
        <v>171</v>
      </c>
      <c r="Q14" s="135"/>
      <c r="R14" s="42">
        <v>58.3</v>
      </c>
      <c r="S14" s="42">
        <f t="shared" si="1"/>
        <v>58.3</v>
      </c>
      <c r="T14" s="43">
        <f t="shared" si="2"/>
        <v>58.3</v>
      </c>
      <c r="U14" s="15" t="s">
        <v>41</v>
      </c>
      <c r="V14" s="150">
        <v>30</v>
      </c>
      <c r="W14" s="133" cm="1">
        <f t="array" ref="W14">IF(U14="",0,_xlfn.XLOOKUP(E14&amp;U14&amp;F14,tab_act&amp;tab_mod&amp;tab_act1,tab_riz)*V14*T14/MGMT)</f>
        <v>0</v>
      </c>
      <c r="X14" s="43" cm="1">
        <f t="array" ref="X14">IF(U14="",0,_xlfn.XLOOKUP(E14&amp;U14&amp;F14,tab_act&amp;tab_mod&amp;tab_act1,tab_mc)*V14*T14/MGMT)</f>
        <v>0</v>
      </c>
      <c r="Y14" s="43" cm="1">
        <f t="array" ref="Y14">IF(U14="",0,_xlfn.XLOOKUP(E14&amp;U14&amp;F14,tab_act&amp;tab_mod&amp;tab_act1,tab_sor)*V14*T14/MGMT)</f>
        <v>0</v>
      </c>
      <c r="Z14" s="43" cm="1">
        <f t="array" ref="Z14">IF(U14="",0,_xlfn.XLOOKUP(E14&amp;U14&amp;F14,tab_act&amp;tab_mod&amp;tab_act1,tab_mg)*V14*T14/MGMT)</f>
        <v>0</v>
      </c>
      <c r="AA14" s="133" cm="1">
        <f t="array" ref="AA14">IF(U14="",0,IF(U14="hybrid-Sch",_xlfn.XLOOKUP(E14&amp;U14&amp;F14,tab_act&amp;tab_mod&amp;tab_act1,tab_ls)*SchLS*T14/MGMT,_xlfn.XLOOKUP(E14&amp;U14&amp;F14,tab_act&amp;tab_mod&amp;tab_act1,tab_ls)*V14*T14/MGMT))</f>
        <v>0</v>
      </c>
      <c r="AB14" s="133" cm="1">
        <f t="array" ref="AB14">IF(U14="",0,_xlfn.XLOOKUP(E14&amp;U14&amp;F14,tab_act&amp;tab_mod&amp;tab_act1,tab_hu)*V14*T14/MGMT)</f>
        <v>3.4979999999999997E-2</v>
      </c>
      <c r="AC14" s="133" cm="1">
        <f t="array" ref="AC14">IF(U14="",0,_xlfn.XLOOKUP(E14&amp;U14&amp;F14,tab_act&amp;tab_mod&amp;tab_act1,tab_mnp)*V14*T14/MGMT)</f>
        <v>0</v>
      </c>
      <c r="AD14" s="133" cm="1">
        <f t="array" ref="AD14">IF(U14="",0,_xlfn.XLOOKUP(E14&amp;U14&amp;F14,tab_act&amp;tab_mod&amp;tab_act1,tab_Psup)*V14*T14/MGMT)</f>
        <v>0</v>
      </c>
      <c r="AE14" s="133" cm="1">
        <f t="array" ref="AE14">IF(U14="",0,_xlfn.XLOOKUP(E14&amp;U14&amp;F14,tab_act&amp;tab_mod&amp;tab_act1,tab_csb1)*V14*T14/MGMT)</f>
        <v>0.3498</v>
      </c>
      <c r="AF14" s="133" cm="1">
        <f t="array" ref="AF14">IF(U14="",0,_xlfn.XLOOKUP(E14&amp;U14&amp;F14,tab_act&amp;tab_mod&amp;tab_act1,tab_csb2)*V14*T14/MGMT)</f>
        <v>0</v>
      </c>
      <c r="AG14" s="133" cm="1">
        <f t="array" ref="AG14">IF(U14="",0,_xlfn.XLOOKUP(E14&amp;U14&amp;F14,tab_act&amp;tab_mod&amp;tab_act1,tab_pdoz)*V14*T14/MGMT)</f>
        <v>0</v>
      </c>
      <c r="AH14" s="133" cm="1">
        <f t="array" ref="AH14">IF(U14="",0,_xlfn.XLOOKUP(E14&amp;U14&amp;F14,tab_act&amp;tab_mod&amp;tab_act1,tab_lns)*V14*T14/MGMT)</f>
        <v>0</v>
      </c>
      <c r="AI14" s="47">
        <f t="shared" si="3"/>
        <v>0.38478000000000001</v>
      </c>
      <c r="AJ14" s="48">
        <f t="shared" si="4"/>
        <v>0</v>
      </c>
      <c r="AK14" s="49" cm="1">
        <f t="array" ref="AK14">IF(U14="",0,_xlfn.XLOOKUP(E14&amp;U14&amp;F14,tab_act&amp;tab_mod&amp;tab_act1,tab_cash)*V14*T14)</f>
        <v>0</v>
      </c>
      <c r="AN14" s="140" t="str">
        <f t="shared" si="5"/>
        <v>A</v>
      </c>
    </row>
    <row r="15" spans="2:40" x14ac:dyDescent="0.35">
      <c r="B15" s="50" t="s">
        <v>129</v>
      </c>
      <c r="C15" s="44">
        <v>2023</v>
      </c>
      <c r="D15" s="44" t="s">
        <v>100</v>
      </c>
      <c r="E15" s="15" t="s">
        <v>39</v>
      </c>
      <c r="F15" s="142" t="s">
        <v>117</v>
      </c>
      <c r="G15" s="15" t="s">
        <v>159</v>
      </c>
      <c r="H15" s="44"/>
      <c r="I15" s="15" t="s">
        <v>94</v>
      </c>
      <c r="J15" s="15" t="s">
        <v>94</v>
      </c>
      <c r="K15" s="15" t="s">
        <v>160</v>
      </c>
      <c r="L15" s="15" t="s">
        <v>95</v>
      </c>
      <c r="M15" s="15" t="s">
        <v>94</v>
      </c>
      <c r="N15" s="15" t="s">
        <v>67</v>
      </c>
      <c r="O15" s="15" t="s">
        <v>161</v>
      </c>
      <c r="P15" s="15" t="s">
        <v>172</v>
      </c>
      <c r="Q15" s="135"/>
      <c r="R15" s="42">
        <v>198</v>
      </c>
      <c r="S15" s="42">
        <f t="shared" si="1"/>
        <v>198</v>
      </c>
      <c r="T15" s="43">
        <f t="shared" si="2"/>
        <v>198</v>
      </c>
      <c r="U15" s="15" t="s">
        <v>41</v>
      </c>
      <c r="V15" s="150">
        <v>30</v>
      </c>
      <c r="W15" s="133" cm="1">
        <f t="array" ref="W15">IF(U15="",0,_xlfn.XLOOKUP(E15&amp;U15&amp;F15,tab_act&amp;tab_mod&amp;tab_act1,tab_riz)*V15*T15/MGMT)</f>
        <v>0</v>
      </c>
      <c r="X15" s="43" cm="1">
        <f t="array" ref="X15">IF(U15="",0,_xlfn.XLOOKUP(E15&amp;U15&amp;F15,tab_act&amp;tab_mod&amp;tab_act1,tab_mc)*V15*T15/MGMT)</f>
        <v>0</v>
      </c>
      <c r="Y15" s="43" cm="1">
        <f t="array" ref="Y15">IF(U15="",0,_xlfn.XLOOKUP(E15&amp;U15&amp;F15,tab_act&amp;tab_mod&amp;tab_act1,tab_sor)*V15*T15/MGMT)</f>
        <v>0</v>
      </c>
      <c r="Z15" s="43" cm="1">
        <f t="array" ref="Z15">IF(U15="",0,_xlfn.XLOOKUP(E15&amp;U15&amp;F15,tab_act&amp;tab_mod&amp;tab_act1,tab_mg)*V15*T15/MGMT)</f>
        <v>0</v>
      </c>
      <c r="AA15" s="133" cm="1">
        <f t="array" ref="AA15">IF(U15="",0,IF(U15="hybrid-Sch",_xlfn.XLOOKUP(E15&amp;U15&amp;F15,tab_act&amp;tab_mod&amp;tab_act1,tab_ls)*SchLS*T15/MGMT,_xlfn.XLOOKUP(E15&amp;U15&amp;F15,tab_act&amp;tab_mod&amp;tab_act1,tab_ls)*V15*T15/MGMT))</f>
        <v>0</v>
      </c>
      <c r="AB15" s="133" cm="1">
        <f t="array" ref="AB15">IF(U15="",0,_xlfn.XLOOKUP(E15&amp;U15&amp;F15,tab_act&amp;tab_mod&amp;tab_act1,tab_hu)*V15*T15/MGMT)</f>
        <v>0.1188</v>
      </c>
      <c r="AC15" s="133" cm="1">
        <f t="array" ref="AC15">IF(U15="",0,_xlfn.XLOOKUP(E15&amp;U15&amp;F15,tab_act&amp;tab_mod&amp;tab_act1,tab_mnp)*V15*T15/MGMT)</f>
        <v>0</v>
      </c>
      <c r="AD15" s="133" cm="1">
        <f t="array" ref="AD15">IF(U15="",0,_xlfn.XLOOKUP(E15&amp;U15&amp;F15,tab_act&amp;tab_mod&amp;tab_act1,tab_Psup)*V15*T15/MGMT)</f>
        <v>0</v>
      </c>
      <c r="AE15" s="133" cm="1">
        <f t="array" ref="AE15">IF(U15="",0,_xlfn.XLOOKUP(E15&amp;U15&amp;F15,tab_act&amp;tab_mod&amp;tab_act1,tab_csb1)*V15*T15/MGMT)</f>
        <v>1.1879999999999999</v>
      </c>
      <c r="AF15" s="133" cm="1">
        <f t="array" ref="AF15">IF(U15="",0,_xlfn.XLOOKUP(E15&amp;U15&amp;F15,tab_act&amp;tab_mod&amp;tab_act1,tab_csb2)*V15*T15/MGMT)</f>
        <v>0</v>
      </c>
      <c r="AG15" s="133" cm="1">
        <f t="array" ref="AG15">IF(U15="",0,_xlfn.XLOOKUP(E15&amp;U15&amp;F15,tab_act&amp;tab_mod&amp;tab_act1,tab_pdoz)*V15*T15/MGMT)</f>
        <v>0</v>
      </c>
      <c r="AH15" s="133" cm="1">
        <f t="array" ref="AH15">IF(U15="",0,_xlfn.XLOOKUP(E15&amp;U15&amp;F15,tab_act&amp;tab_mod&amp;tab_act1,tab_lns)*V15*T15/MGMT)</f>
        <v>0</v>
      </c>
      <c r="AI15" s="47">
        <f t="shared" si="3"/>
        <v>1.3068</v>
      </c>
      <c r="AJ15" s="48">
        <f t="shared" si="4"/>
        <v>0</v>
      </c>
      <c r="AK15" s="49" cm="1">
        <f t="array" ref="AK15">IF(U15="",0,_xlfn.XLOOKUP(E15&amp;U15&amp;F15,tab_act&amp;tab_mod&amp;tab_act1,tab_cash)*V15*T15)</f>
        <v>0</v>
      </c>
      <c r="AN15" s="140" t="str">
        <f t="shared" si="5"/>
        <v>A</v>
      </c>
    </row>
    <row r="16" spans="2:40" x14ac:dyDescent="0.35">
      <c r="B16" s="50" t="s">
        <v>129</v>
      </c>
      <c r="C16" s="44">
        <v>2023</v>
      </c>
      <c r="D16" s="44" t="s">
        <v>100</v>
      </c>
      <c r="E16" s="15" t="s">
        <v>39</v>
      </c>
      <c r="F16" s="142" t="s">
        <v>117</v>
      </c>
      <c r="G16" s="15" t="s">
        <v>159</v>
      </c>
      <c r="H16" s="44"/>
      <c r="I16" s="15" t="s">
        <v>94</v>
      </c>
      <c r="J16" s="15" t="s">
        <v>94</v>
      </c>
      <c r="K16" s="15" t="s">
        <v>160</v>
      </c>
      <c r="L16" s="15" t="s">
        <v>95</v>
      </c>
      <c r="M16" s="15" t="s">
        <v>94</v>
      </c>
      <c r="N16" s="15" t="s">
        <v>67</v>
      </c>
      <c r="O16" s="15" t="s">
        <v>161</v>
      </c>
      <c r="P16" s="15" t="s">
        <v>173</v>
      </c>
      <c r="Q16" s="135"/>
      <c r="R16" s="42">
        <v>190.3</v>
      </c>
      <c r="S16" s="42">
        <f t="shared" si="1"/>
        <v>190.3</v>
      </c>
      <c r="T16" s="43">
        <f t="shared" si="2"/>
        <v>190.3</v>
      </c>
      <c r="U16" s="15" t="s">
        <v>41</v>
      </c>
      <c r="V16" s="150">
        <v>30</v>
      </c>
      <c r="W16" s="133" cm="1">
        <f t="array" ref="W16">IF(U16="",0,_xlfn.XLOOKUP(E16&amp;U16&amp;F16,tab_act&amp;tab_mod&amp;tab_act1,tab_riz)*V16*T16/MGMT)</f>
        <v>0</v>
      </c>
      <c r="X16" s="43" cm="1">
        <f t="array" ref="X16">IF(U16="",0,_xlfn.XLOOKUP(E16&amp;U16&amp;F16,tab_act&amp;tab_mod&amp;tab_act1,tab_mc)*V16*T16/MGMT)</f>
        <v>0</v>
      </c>
      <c r="Y16" s="43" cm="1">
        <f t="array" ref="Y16">IF(U16="",0,_xlfn.XLOOKUP(E16&amp;U16&amp;F16,tab_act&amp;tab_mod&amp;tab_act1,tab_sor)*V16*T16/MGMT)</f>
        <v>0</v>
      </c>
      <c r="Z16" s="43" cm="1">
        <f t="array" ref="Z16">IF(U16="",0,_xlfn.XLOOKUP(E16&amp;U16&amp;F16,tab_act&amp;tab_mod&amp;tab_act1,tab_mg)*V16*T16/MGMT)</f>
        <v>0</v>
      </c>
      <c r="AA16" s="133" cm="1">
        <f t="array" ref="AA16">IF(U16="",0,IF(U16="hybrid-Sch",_xlfn.XLOOKUP(E16&amp;U16&amp;F16,tab_act&amp;tab_mod&amp;tab_act1,tab_ls)*SchLS*T16/MGMT,_xlfn.XLOOKUP(E16&amp;U16&amp;F16,tab_act&amp;tab_mod&amp;tab_act1,tab_ls)*V16*T16/MGMT))</f>
        <v>0</v>
      </c>
      <c r="AB16" s="133" cm="1">
        <f t="array" ref="AB16">IF(U16="",0,_xlfn.XLOOKUP(E16&amp;U16&amp;F16,tab_act&amp;tab_mod&amp;tab_act1,tab_hu)*V16*T16/MGMT)</f>
        <v>0.11418</v>
      </c>
      <c r="AC16" s="133" cm="1">
        <f t="array" ref="AC16">IF(U16="",0,_xlfn.XLOOKUP(E16&amp;U16&amp;F16,tab_act&amp;tab_mod&amp;tab_act1,tab_mnp)*V16*T16/MGMT)</f>
        <v>0</v>
      </c>
      <c r="AD16" s="133" cm="1">
        <f t="array" ref="AD16">IF(U16="",0,_xlfn.XLOOKUP(E16&amp;U16&amp;F16,tab_act&amp;tab_mod&amp;tab_act1,tab_Psup)*V16*T16/MGMT)</f>
        <v>0</v>
      </c>
      <c r="AE16" s="133" cm="1">
        <f t="array" ref="AE16">IF(U16="",0,_xlfn.XLOOKUP(E16&amp;U16&amp;F16,tab_act&amp;tab_mod&amp;tab_act1,tab_csb1)*V16*T16/MGMT)</f>
        <v>1.1417999999999999</v>
      </c>
      <c r="AF16" s="133" cm="1">
        <f t="array" ref="AF16">IF(U16="",0,_xlfn.XLOOKUP(E16&amp;U16&amp;F16,tab_act&amp;tab_mod&amp;tab_act1,tab_csb2)*V16*T16/MGMT)</f>
        <v>0</v>
      </c>
      <c r="AG16" s="133" cm="1">
        <f t="array" ref="AG16">IF(U16="",0,_xlfn.XLOOKUP(E16&amp;U16&amp;F16,tab_act&amp;tab_mod&amp;tab_act1,tab_pdoz)*V16*T16/MGMT)</f>
        <v>0</v>
      </c>
      <c r="AH16" s="133" cm="1">
        <f t="array" ref="AH16">IF(U16="",0,_xlfn.XLOOKUP(E16&amp;U16&amp;F16,tab_act&amp;tab_mod&amp;tab_act1,tab_lns)*V16*T16/MGMT)</f>
        <v>0</v>
      </c>
      <c r="AI16" s="47">
        <f t="shared" si="3"/>
        <v>1.2559799999999999</v>
      </c>
      <c r="AJ16" s="48">
        <f t="shared" si="4"/>
        <v>0</v>
      </c>
      <c r="AK16" s="49" cm="1">
        <f t="array" ref="AK16">IF(U16="",0,_xlfn.XLOOKUP(E16&amp;U16&amp;F16,tab_act&amp;tab_mod&amp;tab_act1,tab_cash)*V16*T16)</f>
        <v>0</v>
      </c>
      <c r="AN16" s="140" t="str">
        <f t="shared" si="5"/>
        <v>A</v>
      </c>
    </row>
    <row r="17" spans="2:40" x14ac:dyDescent="0.35">
      <c r="B17" s="50" t="s">
        <v>129</v>
      </c>
      <c r="C17" s="44">
        <v>2023</v>
      </c>
      <c r="D17" s="44" t="s">
        <v>100</v>
      </c>
      <c r="E17" s="15" t="s">
        <v>39</v>
      </c>
      <c r="F17" s="142" t="s">
        <v>117</v>
      </c>
      <c r="G17" s="15" t="s">
        <v>159</v>
      </c>
      <c r="H17" s="44"/>
      <c r="I17" s="15" t="s">
        <v>94</v>
      </c>
      <c r="J17" s="15" t="s">
        <v>94</v>
      </c>
      <c r="K17" s="15" t="s">
        <v>160</v>
      </c>
      <c r="L17" s="15" t="s">
        <v>95</v>
      </c>
      <c r="M17" s="15" t="s">
        <v>94</v>
      </c>
      <c r="N17" s="15" t="s">
        <v>67</v>
      </c>
      <c r="O17" s="15" t="s">
        <v>161</v>
      </c>
      <c r="P17" s="15" t="s">
        <v>174</v>
      </c>
      <c r="Q17" s="135"/>
      <c r="R17" s="42">
        <v>152.9</v>
      </c>
      <c r="S17" s="42">
        <f t="shared" si="1"/>
        <v>152.9</v>
      </c>
      <c r="T17" s="43">
        <f t="shared" si="2"/>
        <v>152.9</v>
      </c>
      <c r="U17" s="15" t="s">
        <v>41</v>
      </c>
      <c r="V17" s="150">
        <v>30</v>
      </c>
      <c r="W17" s="133" cm="1">
        <f t="array" ref="W17">IF(U17="",0,_xlfn.XLOOKUP(E17&amp;U17&amp;F17,tab_act&amp;tab_mod&amp;tab_act1,tab_riz)*V17*T17/MGMT)</f>
        <v>0</v>
      </c>
      <c r="X17" s="43" cm="1">
        <f t="array" ref="X17">IF(U17="",0,_xlfn.XLOOKUP(E17&amp;U17&amp;F17,tab_act&amp;tab_mod&amp;tab_act1,tab_mc)*V17*T17/MGMT)</f>
        <v>0</v>
      </c>
      <c r="Y17" s="43" cm="1">
        <f t="array" ref="Y17">IF(U17="",0,_xlfn.XLOOKUP(E17&amp;U17&amp;F17,tab_act&amp;tab_mod&amp;tab_act1,tab_sor)*V17*T17/MGMT)</f>
        <v>0</v>
      </c>
      <c r="Z17" s="43" cm="1">
        <f t="array" ref="Z17">IF(U17="",0,_xlfn.XLOOKUP(E17&amp;U17&amp;F17,tab_act&amp;tab_mod&amp;tab_act1,tab_mg)*V17*T17/MGMT)</f>
        <v>0</v>
      </c>
      <c r="AA17" s="133" cm="1">
        <f t="array" ref="AA17">IF(U17="",0,IF(U17="hybrid-Sch",_xlfn.XLOOKUP(E17&amp;U17&amp;F17,tab_act&amp;tab_mod&amp;tab_act1,tab_ls)*SchLS*T17/MGMT,_xlfn.XLOOKUP(E17&amp;U17&amp;F17,tab_act&amp;tab_mod&amp;tab_act1,tab_ls)*V17*T17/MGMT))</f>
        <v>0</v>
      </c>
      <c r="AB17" s="133" cm="1">
        <f t="array" ref="AB17">IF(U17="",0,_xlfn.XLOOKUP(E17&amp;U17&amp;F17,tab_act&amp;tab_mod&amp;tab_act1,tab_hu)*V17*T17/MGMT)</f>
        <v>9.1740000000000002E-2</v>
      </c>
      <c r="AC17" s="133" cm="1">
        <f t="array" ref="AC17">IF(U17="",0,_xlfn.XLOOKUP(E17&amp;U17&amp;F17,tab_act&amp;tab_mod&amp;tab_act1,tab_mnp)*V17*T17/MGMT)</f>
        <v>0</v>
      </c>
      <c r="AD17" s="133" cm="1">
        <f t="array" ref="AD17">IF(U17="",0,_xlfn.XLOOKUP(E17&amp;U17&amp;F17,tab_act&amp;tab_mod&amp;tab_act1,tab_Psup)*V17*T17/MGMT)</f>
        <v>0</v>
      </c>
      <c r="AE17" s="133" cm="1">
        <f t="array" ref="AE17">IF(U17="",0,_xlfn.XLOOKUP(E17&amp;U17&amp;F17,tab_act&amp;tab_mod&amp;tab_act1,tab_csb1)*V17*T17/MGMT)</f>
        <v>0.91739999999999999</v>
      </c>
      <c r="AF17" s="133" cm="1">
        <f t="array" ref="AF17">IF(U17="",0,_xlfn.XLOOKUP(E17&amp;U17&amp;F17,tab_act&amp;tab_mod&amp;tab_act1,tab_csb2)*V17*T17/MGMT)</f>
        <v>0</v>
      </c>
      <c r="AG17" s="133" cm="1">
        <f t="array" ref="AG17">IF(U17="",0,_xlfn.XLOOKUP(E17&amp;U17&amp;F17,tab_act&amp;tab_mod&amp;tab_act1,tab_pdoz)*V17*T17/MGMT)</f>
        <v>0</v>
      </c>
      <c r="AH17" s="133" cm="1">
        <f t="array" ref="AH17">IF(U17="",0,_xlfn.XLOOKUP(E17&amp;U17&amp;F17,tab_act&amp;tab_mod&amp;tab_act1,tab_lns)*V17*T17/MGMT)</f>
        <v>0</v>
      </c>
      <c r="AI17" s="47">
        <f t="shared" si="3"/>
        <v>1.0091399999999999</v>
      </c>
      <c r="AJ17" s="48">
        <f t="shared" si="4"/>
        <v>0</v>
      </c>
      <c r="AK17" s="49" cm="1">
        <f t="array" ref="AK17">IF(U17="",0,_xlfn.XLOOKUP(E17&amp;U17&amp;F17,tab_act&amp;tab_mod&amp;tab_act1,tab_cash)*V17*T17)</f>
        <v>0</v>
      </c>
      <c r="AN17" s="140" t="str">
        <f t="shared" si="5"/>
        <v>A</v>
      </c>
    </row>
    <row r="18" spans="2:40" x14ac:dyDescent="0.35">
      <c r="B18" s="50" t="s">
        <v>129</v>
      </c>
      <c r="C18" s="44">
        <v>2023</v>
      </c>
      <c r="D18" s="44" t="s">
        <v>100</v>
      </c>
      <c r="E18" s="15" t="s">
        <v>39</v>
      </c>
      <c r="F18" s="142" t="s">
        <v>117</v>
      </c>
      <c r="G18" s="15" t="s">
        <v>159</v>
      </c>
      <c r="H18" s="44"/>
      <c r="I18" s="15" t="s">
        <v>94</v>
      </c>
      <c r="J18" s="15" t="s">
        <v>94</v>
      </c>
      <c r="K18" s="15" t="s">
        <v>160</v>
      </c>
      <c r="L18" s="15" t="s">
        <v>95</v>
      </c>
      <c r="M18" s="15" t="s">
        <v>94</v>
      </c>
      <c r="N18" s="15" t="s">
        <v>67</v>
      </c>
      <c r="O18" s="15" t="s">
        <v>161</v>
      </c>
      <c r="P18" s="15" t="s">
        <v>175</v>
      </c>
      <c r="Q18" s="135"/>
      <c r="R18" s="42">
        <v>187</v>
      </c>
      <c r="S18" s="42">
        <f t="shared" si="1"/>
        <v>187</v>
      </c>
      <c r="T18" s="43">
        <f t="shared" si="2"/>
        <v>187</v>
      </c>
      <c r="U18" s="15" t="s">
        <v>41</v>
      </c>
      <c r="V18" s="150">
        <v>30</v>
      </c>
      <c r="W18" s="133" cm="1">
        <f t="array" ref="W18">IF(U18="",0,_xlfn.XLOOKUP(E18&amp;U18&amp;F18,tab_act&amp;tab_mod&amp;tab_act1,tab_riz)*V18*T18/MGMT)</f>
        <v>0</v>
      </c>
      <c r="X18" s="43" cm="1">
        <f t="array" ref="X18">IF(U18="",0,_xlfn.XLOOKUP(E18&amp;U18&amp;F18,tab_act&amp;tab_mod&amp;tab_act1,tab_mc)*V18*T18/MGMT)</f>
        <v>0</v>
      </c>
      <c r="Y18" s="43" cm="1">
        <f t="array" ref="Y18">IF(U18="",0,_xlfn.XLOOKUP(E18&amp;U18&amp;F18,tab_act&amp;tab_mod&amp;tab_act1,tab_sor)*V18*T18/MGMT)</f>
        <v>0</v>
      </c>
      <c r="Z18" s="43" cm="1">
        <f t="array" ref="Z18">IF(U18="",0,_xlfn.XLOOKUP(E18&amp;U18&amp;F18,tab_act&amp;tab_mod&amp;tab_act1,tab_mg)*V18*T18/MGMT)</f>
        <v>0</v>
      </c>
      <c r="AA18" s="133" cm="1">
        <f t="array" ref="AA18">IF(U18="",0,IF(U18="hybrid-Sch",_xlfn.XLOOKUP(E18&amp;U18&amp;F18,tab_act&amp;tab_mod&amp;tab_act1,tab_ls)*SchLS*T18/MGMT,_xlfn.XLOOKUP(E18&amp;U18&amp;F18,tab_act&amp;tab_mod&amp;tab_act1,tab_ls)*V18*T18/MGMT))</f>
        <v>0</v>
      </c>
      <c r="AB18" s="133" cm="1">
        <f t="array" ref="AB18">IF(U18="",0,_xlfn.XLOOKUP(E18&amp;U18&amp;F18,tab_act&amp;tab_mod&amp;tab_act1,tab_hu)*V18*T18/MGMT)</f>
        <v>0.11219999999999999</v>
      </c>
      <c r="AC18" s="133" cm="1">
        <f t="array" ref="AC18">IF(U18="",0,_xlfn.XLOOKUP(E18&amp;U18&amp;F18,tab_act&amp;tab_mod&amp;tab_act1,tab_mnp)*V18*T18/MGMT)</f>
        <v>0</v>
      </c>
      <c r="AD18" s="133" cm="1">
        <f t="array" ref="AD18">IF(U18="",0,_xlfn.XLOOKUP(E18&amp;U18&amp;F18,tab_act&amp;tab_mod&amp;tab_act1,tab_Psup)*V18*T18/MGMT)</f>
        <v>0</v>
      </c>
      <c r="AE18" s="133" cm="1">
        <f t="array" ref="AE18">IF(U18="",0,_xlfn.XLOOKUP(E18&amp;U18&amp;F18,tab_act&amp;tab_mod&amp;tab_act1,tab_csb1)*V18*T18/MGMT)</f>
        <v>1.1220000000000001</v>
      </c>
      <c r="AF18" s="133" cm="1">
        <f t="array" ref="AF18">IF(U18="",0,_xlfn.XLOOKUP(E18&amp;U18&amp;F18,tab_act&amp;tab_mod&amp;tab_act1,tab_csb2)*V18*T18/MGMT)</f>
        <v>0</v>
      </c>
      <c r="AG18" s="133" cm="1">
        <f t="array" ref="AG18">IF(U18="",0,_xlfn.XLOOKUP(E18&amp;U18&amp;F18,tab_act&amp;tab_mod&amp;tab_act1,tab_pdoz)*V18*T18/MGMT)</f>
        <v>0</v>
      </c>
      <c r="AH18" s="133" cm="1">
        <f t="array" ref="AH18">IF(U18="",0,_xlfn.XLOOKUP(E18&amp;U18&amp;F18,tab_act&amp;tab_mod&amp;tab_act1,tab_lns)*V18*T18/MGMT)</f>
        <v>0</v>
      </c>
      <c r="AI18" s="47">
        <f t="shared" si="3"/>
        <v>1.2342000000000002</v>
      </c>
      <c r="AJ18" s="48">
        <f t="shared" si="4"/>
        <v>0</v>
      </c>
      <c r="AK18" s="49" cm="1">
        <f t="array" ref="AK18">IF(U18="",0,_xlfn.XLOOKUP(E18&amp;U18&amp;F18,tab_act&amp;tab_mod&amp;tab_act1,tab_cash)*V18*T18)</f>
        <v>0</v>
      </c>
      <c r="AN18" s="140" t="str">
        <f t="shared" si="5"/>
        <v>A</v>
      </c>
    </row>
    <row r="19" spans="2:40" x14ac:dyDescent="0.35">
      <c r="B19" s="50" t="s">
        <v>129</v>
      </c>
      <c r="C19" s="44">
        <v>2023</v>
      </c>
      <c r="D19" s="44" t="s">
        <v>100</v>
      </c>
      <c r="E19" s="15" t="s">
        <v>39</v>
      </c>
      <c r="F19" s="142" t="s">
        <v>117</v>
      </c>
      <c r="G19" s="15" t="s">
        <v>159</v>
      </c>
      <c r="H19" s="44"/>
      <c r="I19" s="15" t="s">
        <v>94</v>
      </c>
      <c r="J19" s="15" t="s">
        <v>94</v>
      </c>
      <c r="K19" s="15" t="s">
        <v>160</v>
      </c>
      <c r="L19" s="15" t="s">
        <v>95</v>
      </c>
      <c r="M19" s="15" t="s">
        <v>94</v>
      </c>
      <c r="N19" s="15" t="s">
        <v>67</v>
      </c>
      <c r="O19" s="15" t="s">
        <v>161</v>
      </c>
      <c r="P19" s="15" t="s">
        <v>176</v>
      </c>
      <c r="Q19" s="135"/>
      <c r="R19" s="42">
        <v>60.5</v>
      </c>
      <c r="S19" s="42">
        <f t="shared" si="1"/>
        <v>60.5</v>
      </c>
      <c r="T19" s="43">
        <f t="shared" si="2"/>
        <v>60.5</v>
      </c>
      <c r="U19" s="15" t="s">
        <v>41</v>
      </c>
      <c r="V19" s="150">
        <v>30</v>
      </c>
      <c r="W19" s="133" cm="1">
        <f t="array" ref="W19">IF(U19="",0,_xlfn.XLOOKUP(E19&amp;U19&amp;F19,tab_act&amp;tab_mod&amp;tab_act1,tab_riz)*V19*T19/MGMT)</f>
        <v>0</v>
      </c>
      <c r="X19" s="43" cm="1">
        <f t="array" ref="X19">IF(U19="",0,_xlfn.XLOOKUP(E19&amp;U19&amp;F19,tab_act&amp;tab_mod&amp;tab_act1,tab_mc)*V19*T19/MGMT)</f>
        <v>0</v>
      </c>
      <c r="Y19" s="43" cm="1">
        <f t="array" ref="Y19">IF(U19="",0,_xlfn.XLOOKUP(E19&amp;U19&amp;F19,tab_act&amp;tab_mod&amp;tab_act1,tab_sor)*V19*T19/MGMT)</f>
        <v>0</v>
      </c>
      <c r="Z19" s="43" cm="1">
        <f t="array" ref="Z19">IF(U19="",0,_xlfn.XLOOKUP(E19&amp;U19&amp;F19,tab_act&amp;tab_mod&amp;tab_act1,tab_mg)*V19*T19/MGMT)</f>
        <v>0</v>
      </c>
      <c r="AA19" s="133" cm="1">
        <f t="array" ref="AA19">IF(U19="",0,IF(U19="hybrid-Sch",_xlfn.XLOOKUP(E19&amp;U19&amp;F19,tab_act&amp;tab_mod&amp;tab_act1,tab_ls)*SchLS*T19/MGMT,_xlfn.XLOOKUP(E19&amp;U19&amp;F19,tab_act&amp;tab_mod&amp;tab_act1,tab_ls)*V19*T19/MGMT))</f>
        <v>0</v>
      </c>
      <c r="AB19" s="133" cm="1">
        <f t="array" ref="AB19">IF(U19="",0,_xlfn.XLOOKUP(E19&amp;U19&amp;F19,tab_act&amp;tab_mod&amp;tab_act1,tab_hu)*V19*T19/MGMT)</f>
        <v>3.6299999999999999E-2</v>
      </c>
      <c r="AC19" s="133" cm="1">
        <f t="array" ref="AC19">IF(U19="",0,_xlfn.XLOOKUP(E19&amp;U19&amp;F19,tab_act&amp;tab_mod&amp;tab_act1,tab_mnp)*V19*T19/MGMT)</f>
        <v>0</v>
      </c>
      <c r="AD19" s="133" cm="1">
        <f t="array" ref="AD19">IF(U19="",0,_xlfn.XLOOKUP(E19&amp;U19&amp;F19,tab_act&amp;tab_mod&amp;tab_act1,tab_Psup)*V19*T19/MGMT)</f>
        <v>0</v>
      </c>
      <c r="AE19" s="133" cm="1">
        <f t="array" ref="AE19">IF(U19="",0,_xlfn.XLOOKUP(E19&amp;U19&amp;F19,tab_act&amp;tab_mod&amp;tab_act1,tab_csb1)*V19*T19/MGMT)</f>
        <v>0.36299999999999999</v>
      </c>
      <c r="AF19" s="133" cm="1">
        <f t="array" ref="AF19">IF(U19="",0,_xlfn.XLOOKUP(E19&amp;U19&amp;F19,tab_act&amp;tab_mod&amp;tab_act1,tab_csb2)*V19*T19/MGMT)</f>
        <v>0</v>
      </c>
      <c r="AG19" s="133" cm="1">
        <f t="array" ref="AG19">IF(U19="",0,_xlfn.XLOOKUP(E19&amp;U19&amp;F19,tab_act&amp;tab_mod&amp;tab_act1,tab_pdoz)*V19*T19/MGMT)</f>
        <v>0</v>
      </c>
      <c r="AH19" s="133" cm="1">
        <f t="array" ref="AH19">IF(U19="",0,_xlfn.XLOOKUP(E19&amp;U19&amp;F19,tab_act&amp;tab_mod&amp;tab_act1,tab_lns)*V19*T19/MGMT)</f>
        <v>0</v>
      </c>
      <c r="AI19" s="47">
        <f t="shared" si="3"/>
        <v>0.39929999999999999</v>
      </c>
      <c r="AJ19" s="48">
        <f t="shared" si="4"/>
        <v>0</v>
      </c>
      <c r="AK19" s="49" cm="1">
        <f t="array" ref="AK19">IF(U19="",0,_xlfn.XLOOKUP(E19&amp;U19&amp;F19,tab_act&amp;tab_mod&amp;tab_act1,tab_cash)*V19*T19)</f>
        <v>0</v>
      </c>
      <c r="AN19" s="140" t="str">
        <f t="shared" si="5"/>
        <v>A</v>
      </c>
    </row>
    <row r="20" spans="2:40" x14ac:dyDescent="0.35">
      <c r="B20" s="50" t="s">
        <v>129</v>
      </c>
      <c r="C20" s="44">
        <v>2023</v>
      </c>
      <c r="D20" s="44" t="s">
        <v>100</v>
      </c>
      <c r="E20" s="15" t="s">
        <v>39</v>
      </c>
      <c r="F20" s="142" t="s">
        <v>117</v>
      </c>
      <c r="G20" s="15" t="s">
        <v>159</v>
      </c>
      <c r="H20" s="44"/>
      <c r="I20" s="15" t="s">
        <v>94</v>
      </c>
      <c r="J20" s="15" t="s">
        <v>94</v>
      </c>
      <c r="K20" s="15" t="s">
        <v>160</v>
      </c>
      <c r="L20" s="15" t="s">
        <v>95</v>
      </c>
      <c r="M20" s="15" t="s">
        <v>94</v>
      </c>
      <c r="N20" s="15" t="s">
        <v>67</v>
      </c>
      <c r="O20" s="15" t="s">
        <v>161</v>
      </c>
      <c r="P20" s="15" t="s">
        <v>177</v>
      </c>
      <c r="Q20" s="135"/>
      <c r="R20" s="42">
        <v>133.1</v>
      </c>
      <c r="S20" s="42">
        <f t="shared" si="1"/>
        <v>133.1</v>
      </c>
      <c r="T20" s="43">
        <f t="shared" si="2"/>
        <v>133.1</v>
      </c>
      <c r="U20" s="15" t="s">
        <v>41</v>
      </c>
      <c r="V20" s="150">
        <v>30</v>
      </c>
      <c r="W20" s="133" cm="1">
        <f t="array" ref="W20">IF(U20="",0,_xlfn.XLOOKUP(E20&amp;U20&amp;F20,tab_act&amp;tab_mod&amp;tab_act1,tab_riz)*V20*T20/MGMT)</f>
        <v>0</v>
      </c>
      <c r="X20" s="43" cm="1">
        <f t="array" ref="X20">IF(U20="",0,_xlfn.XLOOKUP(E20&amp;U20&amp;F20,tab_act&amp;tab_mod&amp;tab_act1,tab_mc)*V20*T20/MGMT)</f>
        <v>0</v>
      </c>
      <c r="Y20" s="43" cm="1">
        <f t="array" ref="Y20">IF(U20="",0,_xlfn.XLOOKUP(E20&amp;U20&amp;F20,tab_act&amp;tab_mod&amp;tab_act1,tab_sor)*V20*T20/MGMT)</f>
        <v>0</v>
      </c>
      <c r="Z20" s="43" cm="1">
        <f t="array" ref="Z20">IF(U20="",0,_xlfn.XLOOKUP(E20&amp;U20&amp;F20,tab_act&amp;tab_mod&amp;tab_act1,tab_mg)*V20*T20/MGMT)</f>
        <v>0</v>
      </c>
      <c r="AA20" s="133" cm="1">
        <f t="array" ref="AA20">IF(U20="",0,IF(U20="hybrid-Sch",_xlfn.XLOOKUP(E20&amp;U20&amp;F20,tab_act&amp;tab_mod&amp;tab_act1,tab_ls)*SchLS*T20/MGMT,_xlfn.XLOOKUP(E20&amp;U20&amp;F20,tab_act&amp;tab_mod&amp;tab_act1,tab_ls)*V20*T20/MGMT))</f>
        <v>0</v>
      </c>
      <c r="AB20" s="133" cm="1">
        <f t="array" ref="AB20">IF(U20="",0,_xlfn.XLOOKUP(E20&amp;U20&amp;F20,tab_act&amp;tab_mod&amp;tab_act1,tab_hu)*V20*T20/MGMT)</f>
        <v>7.986E-2</v>
      </c>
      <c r="AC20" s="133" cm="1">
        <f t="array" ref="AC20">IF(U20="",0,_xlfn.XLOOKUP(E20&amp;U20&amp;F20,tab_act&amp;tab_mod&amp;tab_act1,tab_mnp)*V20*T20/MGMT)</f>
        <v>0</v>
      </c>
      <c r="AD20" s="133" cm="1">
        <f t="array" ref="AD20">IF(U20="",0,_xlfn.XLOOKUP(E20&amp;U20&amp;F20,tab_act&amp;tab_mod&amp;tab_act1,tab_Psup)*V20*T20/MGMT)</f>
        <v>0</v>
      </c>
      <c r="AE20" s="133" cm="1">
        <f t="array" ref="AE20">IF(U20="",0,_xlfn.XLOOKUP(E20&amp;U20&amp;F20,tab_act&amp;tab_mod&amp;tab_act1,tab_csb1)*V20*T20/MGMT)</f>
        <v>0.79859999999999998</v>
      </c>
      <c r="AF20" s="133" cm="1">
        <f t="array" ref="AF20">IF(U20="",0,_xlfn.XLOOKUP(E20&amp;U20&amp;F20,tab_act&amp;tab_mod&amp;tab_act1,tab_csb2)*V20*T20/MGMT)</f>
        <v>0</v>
      </c>
      <c r="AG20" s="133" cm="1">
        <f t="array" ref="AG20">IF(U20="",0,_xlfn.XLOOKUP(E20&amp;U20&amp;F20,tab_act&amp;tab_mod&amp;tab_act1,tab_pdoz)*V20*T20/MGMT)</f>
        <v>0</v>
      </c>
      <c r="AH20" s="133" cm="1">
        <f t="array" ref="AH20">IF(U20="",0,_xlfn.XLOOKUP(E20&amp;U20&amp;F20,tab_act&amp;tab_mod&amp;tab_act1,tab_lns)*V20*T20/MGMT)</f>
        <v>0</v>
      </c>
      <c r="AI20" s="47">
        <f t="shared" si="3"/>
        <v>0.87846000000000002</v>
      </c>
      <c r="AJ20" s="48">
        <f t="shared" si="4"/>
        <v>0</v>
      </c>
      <c r="AK20" s="49" cm="1">
        <f t="array" ref="AK20">IF(U20="",0,_xlfn.XLOOKUP(E20&amp;U20&amp;F20,tab_act&amp;tab_mod&amp;tab_act1,tab_cash)*V20*T20)</f>
        <v>0</v>
      </c>
      <c r="AN20" s="140" t="str">
        <f t="shared" si="5"/>
        <v>A</v>
      </c>
    </row>
    <row r="21" spans="2:40" x14ac:dyDescent="0.35">
      <c r="B21" s="50" t="s">
        <v>129</v>
      </c>
      <c r="C21" s="44">
        <v>2023</v>
      </c>
      <c r="D21" s="44" t="s">
        <v>100</v>
      </c>
      <c r="E21" s="15" t="s">
        <v>39</v>
      </c>
      <c r="F21" s="142" t="s">
        <v>117</v>
      </c>
      <c r="G21" s="15" t="s">
        <v>159</v>
      </c>
      <c r="H21" s="44"/>
      <c r="I21" s="15" t="s">
        <v>94</v>
      </c>
      <c r="J21" s="15" t="s">
        <v>94</v>
      </c>
      <c r="K21" s="15" t="s">
        <v>160</v>
      </c>
      <c r="L21" s="15" t="s">
        <v>95</v>
      </c>
      <c r="M21" s="15" t="s">
        <v>94</v>
      </c>
      <c r="N21" s="15" t="s">
        <v>67</v>
      </c>
      <c r="O21" s="15" t="s">
        <v>161</v>
      </c>
      <c r="P21" s="15" t="s">
        <v>178</v>
      </c>
      <c r="Q21" s="135"/>
      <c r="R21" s="42">
        <v>225.5</v>
      </c>
      <c r="S21" s="42">
        <f t="shared" si="1"/>
        <v>225.5</v>
      </c>
      <c r="T21" s="43">
        <f t="shared" si="2"/>
        <v>225.5</v>
      </c>
      <c r="U21" s="15" t="s">
        <v>41</v>
      </c>
      <c r="V21" s="150">
        <v>30</v>
      </c>
      <c r="W21" s="133" cm="1">
        <f t="array" ref="W21">IF(U21="",0,_xlfn.XLOOKUP(E21&amp;U21&amp;F21,tab_act&amp;tab_mod&amp;tab_act1,tab_riz)*V21*T21/MGMT)</f>
        <v>0</v>
      </c>
      <c r="X21" s="43" cm="1">
        <f t="array" ref="X21">IF(U21="",0,_xlfn.XLOOKUP(E21&amp;U21&amp;F21,tab_act&amp;tab_mod&amp;tab_act1,tab_mc)*V21*T21/MGMT)</f>
        <v>0</v>
      </c>
      <c r="Y21" s="43" cm="1">
        <f t="array" ref="Y21">IF(U21="",0,_xlfn.XLOOKUP(E21&amp;U21&amp;F21,tab_act&amp;tab_mod&amp;tab_act1,tab_sor)*V21*T21/MGMT)</f>
        <v>0</v>
      </c>
      <c r="Z21" s="43" cm="1">
        <f t="array" ref="Z21">IF(U21="",0,_xlfn.XLOOKUP(E21&amp;U21&amp;F21,tab_act&amp;tab_mod&amp;tab_act1,tab_mg)*V21*T21/MGMT)</f>
        <v>0</v>
      </c>
      <c r="AA21" s="133" cm="1">
        <f t="array" ref="AA21">IF(U21="",0,IF(U21="hybrid-Sch",_xlfn.XLOOKUP(E21&amp;U21&amp;F21,tab_act&amp;tab_mod&amp;tab_act1,tab_ls)*SchLS*T21/MGMT,_xlfn.XLOOKUP(E21&amp;U21&amp;F21,tab_act&amp;tab_mod&amp;tab_act1,tab_ls)*V21*T21/MGMT))</f>
        <v>0</v>
      </c>
      <c r="AB21" s="133" cm="1">
        <f t="array" ref="AB21">IF(U21="",0,_xlfn.XLOOKUP(E21&amp;U21&amp;F21,tab_act&amp;tab_mod&amp;tab_act1,tab_hu)*V21*T21/MGMT)</f>
        <v>0.1353</v>
      </c>
      <c r="AC21" s="133" cm="1">
        <f t="array" ref="AC21">IF(U21="",0,_xlfn.XLOOKUP(E21&amp;U21&amp;F21,tab_act&amp;tab_mod&amp;tab_act1,tab_mnp)*V21*T21/MGMT)</f>
        <v>0</v>
      </c>
      <c r="AD21" s="133" cm="1">
        <f t="array" ref="AD21">IF(U21="",0,_xlfn.XLOOKUP(E21&amp;U21&amp;F21,tab_act&amp;tab_mod&amp;tab_act1,tab_Psup)*V21*T21/MGMT)</f>
        <v>0</v>
      </c>
      <c r="AE21" s="133" cm="1">
        <f t="array" ref="AE21">IF(U21="",0,_xlfn.XLOOKUP(E21&amp;U21&amp;F21,tab_act&amp;tab_mod&amp;tab_act1,tab_csb1)*V21*T21/MGMT)</f>
        <v>1.353</v>
      </c>
      <c r="AF21" s="133" cm="1">
        <f t="array" ref="AF21">IF(U21="",0,_xlfn.XLOOKUP(E21&amp;U21&amp;F21,tab_act&amp;tab_mod&amp;tab_act1,tab_csb2)*V21*T21/MGMT)</f>
        <v>0</v>
      </c>
      <c r="AG21" s="133" cm="1">
        <f t="array" ref="AG21">IF(U21="",0,_xlfn.XLOOKUP(E21&amp;U21&amp;F21,tab_act&amp;tab_mod&amp;tab_act1,tab_pdoz)*V21*T21/MGMT)</f>
        <v>0</v>
      </c>
      <c r="AH21" s="133" cm="1">
        <f t="array" ref="AH21">IF(U21="",0,_xlfn.XLOOKUP(E21&amp;U21&amp;F21,tab_act&amp;tab_mod&amp;tab_act1,tab_lns)*V21*T21/MGMT)</f>
        <v>0</v>
      </c>
      <c r="AI21" s="47">
        <f t="shared" si="3"/>
        <v>1.4883</v>
      </c>
      <c r="AJ21" s="48">
        <f t="shared" si="4"/>
        <v>0</v>
      </c>
      <c r="AK21" s="49" cm="1">
        <f t="array" ref="AK21">IF(U21="",0,_xlfn.XLOOKUP(E21&amp;U21&amp;F21,tab_act&amp;tab_mod&amp;tab_act1,tab_cash)*V21*T21)</f>
        <v>0</v>
      </c>
      <c r="AN21" s="140" t="str">
        <f t="shared" si="5"/>
        <v>A</v>
      </c>
    </row>
    <row r="22" spans="2:40" x14ac:dyDescent="0.35">
      <c r="B22" s="50" t="s">
        <v>129</v>
      </c>
      <c r="C22" s="44">
        <v>2023</v>
      </c>
      <c r="D22" s="44" t="s">
        <v>100</v>
      </c>
      <c r="E22" s="15" t="s">
        <v>39</v>
      </c>
      <c r="F22" s="142" t="s">
        <v>117</v>
      </c>
      <c r="G22" s="15" t="s">
        <v>159</v>
      </c>
      <c r="H22" s="44"/>
      <c r="I22" s="15" t="s">
        <v>94</v>
      </c>
      <c r="J22" s="15" t="s">
        <v>94</v>
      </c>
      <c r="K22" s="15" t="s">
        <v>160</v>
      </c>
      <c r="L22" s="15" t="s">
        <v>95</v>
      </c>
      <c r="M22" s="15" t="s">
        <v>94</v>
      </c>
      <c r="N22" s="15" t="s">
        <v>67</v>
      </c>
      <c r="O22" s="15" t="s">
        <v>161</v>
      </c>
      <c r="P22" s="15" t="s">
        <v>179</v>
      </c>
      <c r="Q22" s="135"/>
      <c r="R22" s="42">
        <v>93.5</v>
      </c>
      <c r="S22" s="42">
        <f t="shared" si="1"/>
        <v>93.5</v>
      </c>
      <c r="T22" s="43">
        <f t="shared" si="2"/>
        <v>93.5</v>
      </c>
      <c r="U22" s="15" t="s">
        <v>41</v>
      </c>
      <c r="V22" s="150">
        <v>30</v>
      </c>
      <c r="W22" s="133" cm="1">
        <f t="array" ref="W22">IF(U22="",0,_xlfn.XLOOKUP(E22&amp;U22&amp;F22,tab_act&amp;tab_mod&amp;tab_act1,tab_riz)*V22*T22/MGMT)</f>
        <v>0</v>
      </c>
      <c r="X22" s="43" cm="1">
        <f t="array" ref="X22">IF(U22="",0,_xlfn.XLOOKUP(E22&amp;U22&amp;F22,tab_act&amp;tab_mod&amp;tab_act1,tab_mc)*V22*T22/MGMT)</f>
        <v>0</v>
      </c>
      <c r="Y22" s="43" cm="1">
        <f t="array" ref="Y22">IF(U22="",0,_xlfn.XLOOKUP(E22&amp;U22&amp;F22,tab_act&amp;tab_mod&amp;tab_act1,tab_sor)*V22*T22/MGMT)</f>
        <v>0</v>
      </c>
      <c r="Z22" s="43" cm="1">
        <f t="array" ref="Z22">IF(U22="",0,_xlfn.XLOOKUP(E22&amp;U22&amp;F22,tab_act&amp;tab_mod&amp;tab_act1,tab_mg)*V22*T22/MGMT)</f>
        <v>0</v>
      </c>
      <c r="AA22" s="133" cm="1">
        <f t="array" ref="AA22">IF(U22="",0,IF(U22="hybrid-Sch",_xlfn.XLOOKUP(E22&amp;U22&amp;F22,tab_act&amp;tab_mod&amp;tab_act1,tab_ls)*SchLS*T22/MGMT,_xlfn.XLOOKUP(E22&amp;U22&amp;F22,tab_act&amp;tab_mod&amp;tab_act1,tab_ls)*V22*T22/MGMT))</f>
        <v>0</v>
      </c>
      <c r="AB22" s="133" cm="1">
        <f t="array" ref="AB22">IF(U22="",0,_xlfn.XLOOKUP(E22&amp;U22&amp;F22,tab_act&amp;tab_mod&amp;tab_act1,tab_hu)*V22*T22/MGMT)</f>
        <v>5.6099999999999997E-2</v>
      </c>
      <c r="AC22" s="133" cm="1">
        <f t="array" ref="AC22">IF(U22="",0,_xlfn.XLOOKUP(E22&amp;U22&amp;F22,tab_act&amp;tab_mod&amp;tab_act1,tab_mnp)*V22*T22/MGMT)</f>
        <v>0</v>
      </c>
      <c r="AD22" s="133" cm="1">
        <f t="array" ref="AD22">IF(U22="",0,_xlfn.XLOOKUP(E22&amp;U22&amp;F22,tab_act&amp;tab_mod&amp;tab_act1,tab_Psup)*V22*T22/MGMT)</f>
        <v>0</v>
      </c>
      <c r="AE22" s="133" cm="1">
        <f t="array" ref="AE22">IF(U22="",0,_xlfn.XLOOKUP(E22&amp;U22&amp;F22,tab_act&amp;tab_mod&amp;tab_act1,tab_csb1)*V22*T22/MGMT)</f>
        <v>0.56100000000000005</v>
      </c>
      <c r="AF22" s="133" cm="1">
        <f t="array" ref="AF22">IF(U22="",0,_xlfn.XLOOKUP(E22&amp;U22&amp;F22,tab_act&amp;tab_mod&amp;tab_act1,tab_csb2)*V22*T22/MGMT)</f>
        <v>0</v>
      </c>
      <c r="AG22" s="133" cm="1">
        <f t="array" ref="AG22">IF(U22="",0,_xlfn.XLOOKUP(E22&amp;U22&amp;F22,tab_act&amp;tab_mod&amp;tab_act1,tab_pdoz)*V22*T22/MGMT)</f>
        <v>0</v>
      </c>
      <c r="AH22" s="133" cm="1">
        <f t="array" ref="AH22">IF(U22="",0,_xlfn.XLOOKUP(E22&amp;U22&amp;F22,tab_act&amp;tab_mod&amp;tab_act1,tab_lns)*V22*T22/MGMT)</f>
        <v>0</v>
      </c>
      <c r="AI22" s="47">
        <f t="shared" si="3"/>
        <v>0.61710000000000009</v>
      </c>
      <c r="AJ22" s="48">
        <f t="shared" si="4"/>
        <v>0</v>
      </c>
      <c r="AK22" s="49" cm="1">
        <f t="array" ref="AK22">IF(U22="",0,_xlfn.XLOOKUP(E22&amp;U22&amp;F22,tab_act&amp;tab_mod&amp;tab_act1,tab_cash)*V22*T22)</f>
        <v>0</v>
      </c>
      <c r="AN22" s="140" t="str">
        <f t="shared" si="5"/>
        <v>A</v>
      </c>
    </row>
    <row r="23" spans="2:40" x14ac:dyDescent="0.35">
      <c r="B23" s="50" t="s">
        <v>129</v>
      </c>
      <c r="C23" s="44">
        <v>2023</v>
      </c>
      <c r="D23" s="44" t="s">
        <v>100</v>
      </c>
      <c r="E23" s="15" t="s">
        <v>39</v>
      </c>
      <c r="F23" s="142" t="s">
        <v>117</v>
      </c>
      <c r="G23" s="15" t="s">
        <v>159</v>
      </c>
      <c r="H23" s="44"/>
      <c r="I23" s="15" t="s">
        <v>94</v>
      </c>
      <c r="J23" s="15" t="s">
        <v>94</v>
      </c>
      <c r="K23" s="15" t="s">
        <v>160</v>
      </c>
      <c r="L23" s="15" t="s">
        <v>95</v>
      </c>
      <c r="M23" s="15" t="s">
        <v>94</v>
      </c>
      <c r="N23" s="15" t="s">
        <v>67</v>
      </c>
      <c r="O23" s="15" t="s">
        <v>161</v>
      </c>
      <c r="P23" s="15" t="s">
        <v>180</v>
      </c>
      <c r="Q23" s="135"/>
      <c r="R23" s="42">
        <v>198</v>
      </c>
      <c r="S23" s="42">
        <f t="shared" si="1"/>
        <v>198</v>
      </c>
      <c r="T23" s="43">
        <f t="shared" si="2"/>
        <v>198</v>
      </c>
      <c r="U23" s="15" t="s">
        <v>41</v>
      </c>
      <c r="V23" s="150">
        <v>30</v>
      </c>
      <c r="W23" s="133" cm="1">
        <f t="array" ref="W23">IF(U23="",0,_xlfn.XLOOKUP(E23&amp;U23&amp;F23,tab_act&amp;tab_mod&amp;tab_act1,tab_riz)*V23*T23/MGMT)</f>
        <v>0</v>
      </c>
      <c r="X23" s="43" cm="1">
        <f t="array" ref="X23">IF(U23="",0,_xlfn.XLOOKUP(E23&amp;U23&amp;F23,tab_act&amp;tab_mod&amp;tab_act1,tab_mc)*V23*T23/MGMT)</f>
        <v>0</v>
      </c>
      <c r="Y23" s="43" cm="1">
        <f t="array" ref="Y23">IF(U23="",0,_xlfn.XLOOKUP(E23&amp;U23&amp;F23,tab_act&amp;tab_mod&amp;tab_act1,tab_sor)*V23*T23/MGMT)</f>
        <v>0</v>
      </c>
      <c r="Z23" s="43" cm="1">
        <f t="array" ref="Z23">IF(U23="",0,_xlfn.XLOOKUP(E23&amp;U23&amp;F23,tab_act&amp;tab_mod&amp;tab_act1,tab_mg)*V23*T23/MGMT)</f>
        <v>0</v>
      </c>
      <c r="AA23" s="133" cm="1">
        <f t="array" ref="AA23">IF(U23="",0,IF(U23="hybrid-Sch",_xlfn.XLOOKUP(E23&amp;U23&amp;F23,tab_act&amp;tab_mod&amp;tab_act1,tab_ls)*SchLS*T23/MGMT,_xlfn.XLOOKUP(E23&amp;U23&amp;F23,tab_act&amp;tab_mod&amp;tab_act1,tab_ls)*V23*T23/MGMT))</f>
        <v>0</v>
      </c>
      <c r="AB23" s="133" cm="1">
        <f t="array" ref="AB23">IF(U23="",0,_xlfn.XLOOKUP(E23&amp;U23&amp;F23,tab_act&amp;tab_mod&amp;tab_act1,tab_hu)*V23*T23/MGMT)</f>
        <v>0.1188</v>
      </c>
      <c r="AC23" s="133" cm="1">
        <f t="array" ref="AC23">IF(U23="",0,_xlfn.XLOOKUP(E23&amp;U23&amp;F23,tab_act&amp;tab_mod&amp;tab_act1,tab_mnp)*V23*T23/MGMT)</f>
        <v>0</v>
      </c>
      <c r="AD23" s="133" cm="1">
        <f t="array" ref="AD23">IF(U23="",0,_xlfn.XLOOKUP(E23&amp;U23&amp;F23,tab_act&amp;tab_mod&amp;tab_act1,tab_Psup)*V23*T23/MGMT)</f>
        <v>0</v>
      </c>
      <c r="AE23" s="133" cm="1">
        <f t="array" ref="AE23">IF(U23="",0,_xlfn.XLOOKUP(E23&amp;U23&amp;F23,tab_act&amp;tab_mod&amp;tab_act1,tab_csb1)*V23*T23/MGMT)</f>
        <v>1.1879999999999999</v>
      </c>
      <c r="AF23" s="133" cm="1">
        <f t="array" ref="AF23">IF(U23="",0,_xlfn.XLOOKUP(E23&amp;U23&amp;F23,tab_act&amp;tab_mod&amp;tab_act1,tab_csb2)*V23*T23/MGMT)</f>
        <v>0</v>
      </c>
      <c r="AG23" s="133" cm="1">
        <f t="array" ref="AG23">IF(U23="",0,_xlfn.XLOOKUP(E23&amp;U23&amp;F23,tab_act&amp;tab_mod&amp;tab_act1,tab_pdoz)*V23*T23/MGMT)</f>
        <v>0</v>
      </c>
      <c r="AH23" s="133" cm="1">
        <f t="array" ref="AH23">IF(U23="",0,_xlfn.XLOOKUP(E23&amp;U23&amp;F23,tab_act&amp;tab_mod&amp;tab_act1,tab_lns)*V23*T23/MGMT)</f>
        <v>0</v>
      </c>
      <c r="AI23" s="47">
        <f t="shared" si="3"/>
        <v>1.3068</v>
      </c>
      <c r="AJ23" s="48">
        <f t="shared" si="4"/>
        <v>0</v>
      </c>
      <c r="AK23" s="49" cm="1">
        <f t="array" ref="AK23">IF(U23="",0,_xlfn.XLOOKUP(E23&amp;U23&amp;F23,tab_act&amp;tab_mod&amp;tab_act1,tab_cash)*V23*T23)</f>
        <v>0</v>
      </c>
      <c r="AN23" s="140" t="str">
        <f t="shared" si="5"/>
        <v>A</v>
      </c>
    </row>
    <row r="24" spans="2:40" x14ac:dyDescent="0.35">
      <c r="B24" s="50" t="s">
        <v>129</v>
      </c>
      <c r="C24" s="44">
        <v>2023</v>
      </c>
      <c r="D24" s="44" t="s">
        <v>100</v>
      </c>
      <c r="E24" s="15" t="s">
        <v>39</v>
      </c>
      <c r="F24" s="142" t="s">
        <v>117</v>
      </c>
      <c r="G24" s="15" t="s">
        <v>159</v>
      </c>
      <c r="H24" s="44"/>
      <c r="I24" s="15" t="s">
        <v>94</v>
      </c>
      <c r="J24" s="15" t="s">
        <v>94</v>
      </c>
      <c r="K24" s="15" t="s">
        <v>160</v>
      </c>
      <c r="L24" s="15" t="s">
        <v>95</v>
      </c>
      <c r="M24" s="15" t="s">
        <v>94</v>
      </c>
      <c r="N24" s="15" t="s">
        <v>67</v>
      </c>
      <c r="O24" s="15" t="s">
        <v>161</v>
      </c>
      <c r="P24" s="15" t="s">
        <v>181</v>
      </c>
      <c r="Q24" s="135"/>
      <c r="R24" s="42">
        <v>84.7</v>
      </c>
      <c r="S24" s="42">
        <f t="shared" si="1"/>
        <v>84.7</v>
      </c>
      <c r="T24" s="43">
        <f t="shared" si="2"/>
        <v>84.7</v>
      </c>
      <c r="U24" s="15" t="s">
        <v>41</v>
      </c>
      <c r="V24" s="150">
        <v>30</v>
      </c>
      <c r="W24" s="133" cm="1">
        <f t="array" ref="W24">IF(U24="",0,_xlfn.XLOOKUP(E24&amp;U24&amp;F24,tab_act&amp;tab_mod&amp;tab_act1,tab_riz)*V24*T24/MGMT)</f>
        <v>0</v>
      </c>
      <c r="X24" s="43" cm="1">
        <f t="array" ref="X24">IF(U24="",0,_xlfn.XLOOKUP(E24&amp;U24&amp;F24,tab_act&amp;tab_mod&amp;tab_act1,tab_mc)*V24*T24/MGMT)</f>
        <v>0</v>
      </c>
      <c r="Y24" s="43" cm="1">
        <f t="array" ref="Y24">IF(U24="",0,_xlfn.XLOOKUP(E24&amp;U24&amp;F24,tab_act&amp;tab_mod&amp;tab_act1,tab_sor)*V24*T24/MGMT)</f>
        <v>0</v>
      </c>
      <c r="Z24" s="43" cm="1">
        <f t="array" ref="Z24">IF(U24="",0,_xlfn.XLOOKUP(E24&amp;U24&amp;F24,tab_act&amp;tab_mod&amp;tab_act1,tab_mg)*V24*T24/MGMT)</f>
        <v>0</v>
      </c>
      <c r="AA24" s="133" cm="1">
        <f t="array" ref="AA24">IF(U24="",0,IF(U24="hybrid-Sch",_xlfn.XLOOKUP(E24&amp;U24&amp;F24,tab_act&amp;tab_mod&amp;tab_act1,tab_ls)*SchLS*T24/MGMT,_xlfn.XLOOKUP(E24&amp;U24&amp;F24,tab_act&amp;tab_mod&amp;tab_act1,tab_ls)*V24*T24/MGMT))</f>
        <v>0</v>
      </c>
      <c r="AB24" s="133" cm="1">
        <f t="array" ref="AB24">IF(U24="",0,_xlfn.XLOOKUP(E24&amp;U24&amp;F24,tab_act&amp;tab_mod&amp;tab_act1,tab_hu)*V24*T24/MGMT)</f>
        <v>5.0819999999999997E-2</v>
      </c>
      <c r="AC24" s="133" cm="1">
        <f t="array" ref="AC24">IF(U24="",0,_xlfn.XLOOKUP(E24&amp;U24&amp;F24,tab_act&amp;tab_mod&amp;tab_act1,tab_mnp)*V24*T24/MGMT)</f>
        <v>0</v>
      </c>
      <c r="AD24" s="133" cm="1">
        <f t="array" ref="AD24">IF(U24="",0,_xlfn.XLOOKUP(E24&amp;U24&amp;F24,tab_act&amp;tab_mod&amp;tab_act1,tab_Psup)*V24*T24/MGMT)</f>
        <v>0</v>
      </c>
      <c r="AE24" s="133" cm="1">
        <f t="array" ref="AE24">IF(U24="",0,_xlfn.XLOOKUP(E24&amp;U24&amp;F24,tab_act&amp;tab_mod&amp;tab_act1,tab_csb1)*V24*T24/MGMT)</f>
        <v>0.50819999999999999</v>
      </c>
      <c r="AF24" s="133" cm="1">
        <f t="array" ref="AF24">IF(U24="",0,_xlfn.XLOOKUP(E24&amp;U24&amp;F24,tab_act&amp;tab_mod&amp;tab_act1,tab_csb2)*V24*T24/MGMT)</f>
        <v>0</v>
      </c>
      <c r="AG24" s="133" cm="1">
        <f t="array" ref="AG24">IF(U24="",0,_xlfn.XLOOKUP(E24&amp;U24&amp;F24,tab_act&amp;tab_mod&amp;tab_act1,tab_pdoz)*V24*T24/MGMT)</f>
        <v>0</v>
      </c>
      <c r="AH24" s="133" cm="1">
        <f t="array" ref="AH24">IF(U24="",0,_xlfn.XLOOKUP(E24&amp;U24&amp;F24,tab_act&amp;tab_mod&amp;tab_act1,tab_lns)*V24*T24/MGMT)</f>
        <v>0</v>
      </c>
      <c r="AI24" s="47">
        <f t="shared" si="3"/>
        <v>0.55901999999999996</v>
      </c>
      <c r="AJ24" s="48">
        <f t="shared" si="4"/>
        <v>0</v>
      </c>
      <c r="AK24" s="49" cm="1">
        <f t="array" ref="AK24">IF(U24="",0,_xlfn.XLOOKUP(E24&amp;U24&amp;F24,tab_act&amp;tab_mod&amp;tab_act1,tab_cash)*V24*T24)</f>
        <v>0</v>
      </c>
      <c r="AN24" s="140" t="str">
        <f t="shared" si="5"/>
        <v>A</v>
      </c>
    </row>
    <row r="25" spans="2:40" x14ac:dyDescent="0.35">
      <c r="B25" s="50" t="s">
        <v>129</v>
      </c>
      <c r="C25" s="44">
        <v>2023</v>
      </c>
      <c r="D25" s="44" t="s">
        <v>100</v>
      </c>
      <c r="E25" s="15" t="s">
        <v>39</v>
      </c>
      <c r="F25" s="142" t="s">
        <v>117</v>
      </c>
      <c r="G25" s="15" t="s">
        <v>159</v>
      </c>
      <c r="H25" s="44"/>
      <c r="I25" s="15" t="s">
        <v>94</v>
      </c>
      <c r="J25" s="15" t="s">
        <v>94</v>
      </c>
      <c r="K25" s="15" t="s">
        <v>160</v>
      </c>
      <c r="L25" s="15" t="s">
        <v>95</v>
      </c>
      <c r="M25" s="15" t="s">
        <v>94</v>
      </c>
      <c r="N25" s="15" t="s">
        <v>67</v>
      </c>
      <c r="O25" s="15" t="s">
        <v>182</v>
      </c>
      <c r="P25" s="15" t="s">
        <v>183</v>
      </c>
      <c r="Q25" s="135"/>
      <c r="R25" s="42">
        <v>140.80000000000001</v>
      </c>
      <c r="S25" s="42">
        <f t="shared" si="1"/>
        <v>140.80000000000001</v>
      </c>
      <c r="T25" s="43">
        <f t="shared" si="2"/>
        <v>140.80000000000001</v>
      </c>
      <c r="U25" s="15" t="s">
        <v>41</v>
      </c>
      <c r="V25" s="150">
        <v>30</v>
      </c>
      <c r="W25" s="133" cm="1">
        <f t="array" ref="W25">IF(U25="",0,_xlfn.XLOOKUP(E25&amp;U25&amp;F25,tab_act&amp;tab_mod&amp;tab_act1,tab_riz)*V25*T25/MGMT)</f>
        <v>0</v>
      </c>
      <c r="X25" s="43" cm="1">
        <f t="array" ref="X25">IF(U25="",0,_xlfn.XLOOKUP(E25&amp;U25&amp;F25,tab_act&amp;tab_mod&amp;tab_act1,tab_mc)*V25*T25/MGMT)</f>
        <v>0</v>
      </c>
      <c r="Y25" s="43" cm="1">
        <f t="array" ref="Y25">IF(U25="",0,_xlfn.XLOOKUP(E25&amp;U25&amp;F25,tab_act&amp;tab_mod&amp;tab_act1,tab_sor)*V25*T25/MGMT)</f>
        <v>0</v>
      </c>
      <c r="Z25" s="43" cm="1">
        <f t="array" ref="Z25">IF(U25="",0,_xlfn.XLOOKUP(E25&amp;U25&amp;F25,tab_act&amp;tab_mod&amp;tab_act1,tab_mg)*V25*T25/MGMT)</f>
        <v>0</v>
      </c>
      <c r="AA25" s="133" cm="1">
        <f t="array" ref="AA25">IF(U25="",0,IF(U25="hybrid-Sch",_xlfn.XLOOKUP(E25&amp;U25&amp;F25,tab_act&amp;tab_mod&amp;tab_act1,tab_ls)*SchLS*T25/MGMT,_xlfn.XLOOKUP(E25&amp;U25&amp;F25,tab_act&amp;tab_mod&amp;tab_act1,tab_ls)*V25*T25/MGMT))</f>
        <v>0</v>
      </c>
      <c r="AB25" s="133" cm="1">
        <f t="array" ref="AB25">IF(U25="",0,_xlfn.XLOOKUP(E25&amp;U25&amp;F25,tab_act&amp;tab_mod&amp;tab_act1,tab_hu)*V25*T25/MGMT)</f>
        <v>8.448E-2</v>
      </c>
      <c r="AC25" s="133" cm="1">
        <f t="array" ref="AC25">IF(U25="",0,_xlfn.XLOOKUP(E25&amp;U25&amp;F25,tab_act&amp;tab_mod&amp;tab_act1,tab_mnp)*V25*T25/MGMT)</f>
        <v>0</v>
      </c>
      <c r="AD25" s="133" cm="1">
        <f t="array" ref="AD25">IF(U25="",0,_xlfn.XLOOKUP(E25&amp;U25&amp;F25,tab_act&amp;tab_mod&amp;tab_act1,tab_Psup)*V25*T25/MGMT)</f>
        <v>0</v>
      </c>
      <c r="AE25" s="133" cm="1">
        <f t="array" ref="AE25">IF(U25="",0,_xlfn.XLOOKUP(E25&amp;U25&amp;F25,tab_act&amp;tab_mod&amp;tab_act1,tab_csb1)*V25*T25/MGMT)</f>
        <v>0.84480000000000011</v>
      </c>
      <c r="AF25" s="133" cm="1">
        <f t="array" ref="AF25">IF(U25="",0,_xlfn.XLOOKUP(E25&amp;U25&amp;F25,tab_act&amp;tab_mod&amp;tab_act1,tab_csb2)*V25*T25/MGMT)</f>
        <v>0</v>
      </c>
      <c r="AG25" s="133" cm="1">
        <f t="array" ref="AG25">IF(U25="",0,_xlfn.XLOOKUP(E25&amp;U25&amp;F25,tab_act&amp;tab_mod&amp;tab_act1,tab_pdoz)*V25*T25/MGMT)</f>
        <v>0</v>
      </c>
      <c r="AH25" s="133" cm="1">
        <f t="array" ref="AH25">IF(U25="",0,_xlfn.XLOOKUP(E25&amp;U25&amp;F25,tab_act&amp;tab_mod&amp;tab_act1,tab_lns)*V25*T25/MGMT)</f>
        <v>0</v>
      </c>
      <c r="AI25" s="47">
        <f t="shared" si="3"/>
        <v>0.92928000000000011</v>
      </c>
      <c r="AJ25" s="48">
        <f t="shared" si="4"/>
        <v>0</v>
      </c>
      <c r="AK25" s="49" cm="1">
        <f t="array" ref="AK25">IF(U25="",0,_xlfn.XLOOKUP(E25&amp;U25&amp;F25,tab_act&amp;tab_mod&amp;tab_act1,tab_cash)*V25*T25)</f>
        <v>0</v>
      </c>
      <c r="AN25" s="140" t="str">
        <f t="shared" si="5"/>
        <v>A</v>
      </c>
    </row>
    <row r="26" spans="2:40" x14ac:dyDescent="0.35">
      <c r="B26" s="50" t="s">
        <v>129</v>
      </c>
      <c r="C26" s="44">
        <v>2023</v>
      </c>
      <c r="D26" s="44" t="s">
        <v>100</v>
      </c>
      <c r="E26" s="15" t="s">
        <v>39</v>
      </c>
      <c r="F26" s="142" t="s">
        <v>117</v>
      </c>
      <c r="G26" s="15" t="s">
        <v>159</v>
      </c>
      <c r="H26" s="44"/>
      <c r="I26" s="15" t="s">
        <v>94</v>
      </c>
      <c r="J26" s="15" t="s">
        <v>94</v>
      </c>
      <c r="K26" s="15" t="s">
        <v>160</v>
      </c>
      <c r="L26" s="15" t="s">
        <v>95</v>
      </c>
      <c r="M26" s="15" t="s">
        <v>94</v>
      </c>
      <c r="N26" s="15" t="s">
        <v>67</v>
      </c>
      <c r="O26" s="15" t="s">
        <v>182</v>
      </c>
      <c r="P26" s="15" t="s">
        <v>184</v>
      </c>
      <c r="Q26" s="135"/>
      <c r="R26" s="42">
        <v>243.1</v>
      </c>
      <c r="S26" s="42">
        <f t="shared" si="1"/>
        <v>243.1</v>
      </c>
      <c r="T26" s="43">
        <f t="shared" si="2"/>
        <v>243.1</v>
      </c>
      <c r="U26" s="15" t="s">
        <v>41</v>
      </c>
      <c r="V26" s="150">
        <v>30</v>
      </c>
      <c r="W26" s="133" cm="1">
        <f t="array" ref="W26">IF(U26="",0,_xlfn.XLOOKUP(E26&amp;U26&amp;F26,tab_act&amp;tab_mod&amp;tab_act1,tab_riz)*V26*T26/MGMT)</f>
        <v>0</v>
      </c>
      <c r="X26" s="43" cm="1">
        <f t="array" ref="X26">IF(U26="",0,_xlfn.XLOOKUP(E26&amp;U26&amp;F26,tab_act&amp;tab_mod&amp;tab_act1,tab_mc)*V26*T26/MGMT)</f>
        <v>0</v>
      </c>
      <c r="Y26" s="43" cm="1">
        <f t="array" ref="Y26">IF(U26="",0,_xlfn.XLOOKUP(E26&amp;U26&amp;F26,tab_act&amp;tab_mod&amp;tab_act1,tab_sor)*V26*T26/MGMT)</f>
        <v>0</v>
      </c>
      <c r="Z26" s="43" cm="1">
        <f t="array" ref="Z26">IF(U26="",0,_xlfn.XLOOKUP(E26&amp;U26&amp;F26,tab_act&amp;tab_mod&amp;tab_act1,tab_mg)*V26*T26/MGMT)</f>
        <v>0</v>
      </c>
      <c r="AA26" s="133" cm="1">
        <f t="array" ref="AA26">IF(U26="",0,IF(U26="hybrid-Sch",_xlfn.XLOOKUP(E26&amp;U26&amp;F26,tab_act&amp;tab_mod&amp;tab_act1,tab_ls)*SchLS*T26/MGMT,_xlfn.XLOOKUP(E26&amp;U26&amp;F26,tab_act&amp;tab_mod&amp;tab_act1,tab_ls)*V26*T26/MGMT))</f>
        <v>0</v>
      </c>
      <c r="AB26" s="133" cm="1">
        <f t="array" ref="AB26">IF(U26="",0,_xlfn.XLOOKUP(E26&amp;U26&amp;F26,tab_act&amp;tab_mod&amp;tab_act1,tab_hu)*V26*T26/MGMT)</f>
        <v>0.14585999999999999</v>
      </c>
      <c r="AC26" s="133" cm="1">
        <f t="array" ref="AC26">IF(U26="",0,_xlfn.XLOOKUP(E26&amp;U26&amp;F26,tab_act&amp;tab_mod&amp;tab_act1,tab_mnp)*V26*T26/MGMT)</f>
        <v>0</v>
      </c>
      <c r="AD26" s="133" cm="1">
        <f t="array" ref="AD26">IF(U26="",0,_xlfn.XLOOKUP(E26&amp;U26&amp;F26,tab_act&amp;tab_mod&amp;tab_act1,tab_Psup)*V26*T26/MGMT)</f>
        <v>0</v>
      </c>
      <c r="AE26" s="133" cm="1">
        <f t="array" ref="AE26">IF(U26="",0,_xlfn.XLOOKUP(E26&amp;U26&amp;F26,tab_act&amp;tab_mod&amp;tab_act1,tab_csb1)*V26*T26/MGMT)</f>
        <v>1.4585999999999999</v>
      </c>
      <c r="AF26" s="133" cm="1">
        <f t="array" ref="AF26">IF(U26="",0,_xlfn.XLOOKUP(E26&amp;U26&amp;F26,tab_act&amp;tab_mod&amp;tab_act1,tab_csb2)*V26*T26/MGMT)</f>
        <v>0</v>
      </c>
      <c r="AG26" s="133" cm="1">
        <f t="array" ref="AG26">IF(U26="",0,_xlfn.XLOOKUP(E26&amp;U26&amp;F26,tab_act&amp;tab_mod&amp;tab_act1,tab_pdoz)*V26*T26/MGMT)</f>
        <v>0</v>
      </c>
      <c r="AH26" s="133" cm="1">
        <f t="array" ref="AH26">IF(U26="",0,_xlfn.XLOOKUP(E26&amp;U26&amp;F26,tab_act&amp;tab_mod&amp;tab_act1,tab_lns)*V26*T26/MGMT)</f>
        <v>0</v>
      </c>
      <c r="AI26" s="47">
        <f t="shared" si="3"/>
        <v>1.60446</v>
      </c>
      <c r="AJ26" s="48">
        <f t="shared" si="4"/>
        <v>0</v>
      </c>
      <c r="AK26" s="49" cm="1">
        <f t="array" ref="AK26">IF(U26="",0,_xlfn.XLOOKUP(E26&amp;U26&amp;F26,tab_act&amp;tab_mod&amp;tab_act1,tab_cash)*V26*T26)</f>
        <v>0</v>
      </c>
      <c r="AN26" s="140" t="str">
        <f t="shared" si="5"/>
        <v>A</v>
      </c>
    </row>
    <row r="27" spans="2:40" x14ac:dyDescent="0.35">
      <c r="B27" s="50" t="s">
        <v>129</v>
      </c>
      <c r="C27" s="44">
        <v>2023</v>
      </c>
      <c r="D27" s="44" t="s">
        <v>100</v>
      </c>
      <c r="E27" s="15" t="s">
        <v>39</v>
      </c>
      <c r="F27" s="142" t="s">
        <v>117</v>
      </c>
      <c r="G27" s="15" t="s">
        <v>159</v>
      </c>
      <c r="H27" s="44"/>
      <c r="I27" s="15" t="s">
        <v>94</v>
      </c>
      <c r="J27" s="15" t="s">
        <v>94</v>
      </c>
      <c r="K27" s="15" t="s">
        <v>160</v>
      </c>
      <c r="L27" s="15" t="s">
        <v>95</v>
      </c>
      <c r="M27" s="15" t="s">
        <v>94</v>
      </c>
      <c r="N27" s="15" t="s">
        <v>67</v>
      </c>
      <c r="O27" s="15" t="s">
        <v>182</v>
      </c>
      <c r="P27" s="15" t="s">
        <v>185</v>
      </c>
      <c r="Q27" s="135"/>
      <c r="R27" s="42">
        <v>282.7</v>
      </c>
      <c r="S27" s="42">
        <f t="shared" si="1"/>
        <v>282.7</v>
      </c>
      <c r="T27" s="43">
        <f t="shared" si="2"/>
        <v>282.7</v>
      </c>
      <c r="U27" s="15" t="s">
        <v>41</v>
      </c>
      <c r="V27" s="150">
        <v>30</v>
      </c>
      <c r="W27" s="133" cm="1">
        <f t="array" ref="W27">IF(U27="",0,_xlfn.XLOOKUP(E27&amp;U27&amp;F27,tab_act&amp;tab_mod&amp;tab_act1,tab_riz)*V27*T27/MGMT)</f>
        <v>0</v>
      </c>
      <c r="X27" s="43" cm="1">
        <f t="array" ref="X27">IF(U27="",0,_xlfn.XLOOKUP(E27&amp;U27&amp;F27,tab_act&amp;tab_mod&amp;tab_act1,tab_mc)*V27*T27/MGMT)</f>
        <v>0</v>
      </c>
      <c r="Y27" s="43" cm="1">
        <f t="array" ref="Y27">IF(U27="",0,_xlfn.XLOOKUP(E27&amp;U27&amp;F27,tab_act&amp;tab_mod&amp;tab_act1,tab_sor)*V27*T27/MGMT)</f>
        <v>0</v>
      </c>
      <c r="Z27" s="43" cm="1">
        <f t="array" ref="Z27">IF(U27="",0,_xlfn.XLOOKUP(E27&amp;U27&amp;F27,tab_act&amp;tab_mod&amp;tab_act1,tab_mg)*V27*T27/MGMT)</f>
        <v>0</v>
      </c>
      <c r="AA27" s="133" cm="1">
        <f t="array" ref="AA27">IF(U27="",0,IF(U27="hybrid-Sch",_xlfn.XLOOKUP(E27&amp;U27&amp;F27,tab_act&amp;tab_mod&amp;tab_act1,tab_ls)*SchLS*T27/MGMT,_xlfn.XLOOKUP(E27&amp;U27&amp;F27,tab_act&amp;tab_mod&amp;tab_act1,tab_ls)*V27*T27/MGMT))</f>
        <v>0</v>
      </c>
      <c r="AB27" s="133" cm="1">
        <f t="array" ref="AB27">IF(U27="",0,_xlfn.XLOOKUP(E27&amp;U27&amp;F27,tab_act&amp;tab_mod&amp;tab_act1,tab_hu)*V27*T27/MGMT)</f>
        <v>0.16961999999999999</v>
      </c>
      <c r="AC27" s="133" cm="1">
        <f t="array" ref="AC27">IF(U27="",0,_xlfn.XLOOKUP(E27&amp;U27&amp;F27,tab_act&amp;tab_mod&amp;tab_act1,tab_mnp)*V27*T27/MGMT)</f>
        <v>0</v>
      </c>
      <c r="AD27" s="133" cm="1">
        <f t="array" ref="AD27">IF(U27="",0,_xlfn.XLOOKUP(E27&amp;U27&amp;F27,tab_act&amp;tab_mod&amp;tab_act1,tab_Psup)*V27*T27/MGMT)</f>
        <v>0</v>
      </c>
      <c r="AE27" s="133" cm="1">
        <f t="array" ref="AE27">IF(U27="",0,_xlfn.XLOOKUP(E27&amp;U27&amp;F27,tab_act&amp;tab_mod&amp;tab_act1,tab_csb1)*V27*T27/MGMT)</f>
        <v>1.6961999999999999</v>
      </c>
      <c r="AF27" s="133" cm="1">
        <f t="array" ref="AF27">IF(U27="",0,_xlfn.XLOOKUP(E27&amp;U27&amp;F27,tab_act&amp;tab_mod&amp;tab_act1,tab_csb2)*V27*T27/MGMT)</f>
        <v>0</v>
      </c>
      <c r="AG27" s="133" cm="1">
        <f t="array" ref="AG27">IF(U27="",0,_xlfn.XLOOKUP(E27&amp;U27&amp;F27,tab_act&amp;tab_mod&amp;tab_act1,tab_pdoz)*V27*T27/MGMT)</f>
        <v>0</v>
      </c>
      <c r="AH27" s="133" cm="1">
        <f t="array" ref="AH27">IF(U27="",0,_xlfn.XLOOKUP(E27&amp;U27&amp;F27,tab_act&amp;tab_mod&amp;tab_act1,tab_lns)*V27*T27/MGMT)</f>
        <v>0</v>
      </c>
      <c r="AI27" s="47">
        <f t="shared" si="3"/>
        <v>1.8658199999999998</v>
      </c>
      <c r="AJ27" s="48">
        <f t="shared" si="4"/>
        <v>0</v>
      </c>
      <c r="AK27" s="49" cm="1">
        <f t="array" ref="AK27">IF(U27="",0,_xlfn.XLOOKUP(E27&amp;U27&amp;F27,tab_act&amp;tab_mod&amp;tab_act1,tab_cash)*V27*T27)</f>
        <v>0</v>
      </c>
      <c r="AN27" s="140" t="str">
        <f t="shared" si="5"/>
        <v>A</v>
      </c>
    </row>
    <row r="28" spans="2:40" x14ac:dyDescent="0.35">
      <c r="B28" s="50" t="s">
        <v>129</v>
      </c>
      <c r="C28" s="44">
        <v>2023</v>
      </c>
      <c r="D28" s="44" t="s">
        <v>100</v>
      </c>
      <c r="E28" s="15" t="s">
        <v>39</v>
      </c>
      <c r="F28" s="142" t="s">
        <v>117</v>
      </c>
      <c r="G28" s="15" t="s">
        <v>159</v>
      </c>
      <c r="H28" s="44"/>
      <c r="I28" s="15" t="s">
        <v>94</v>
      </c>
      <c r="J28" s="15" t="s">
        <v>94</v>
      </c>
      <c r="K28" s="15" t="s">
        <v>160</v>
      </c>
      <c r="L28" s="15" t="s">
        <v>95</v>
      </c>
      <c r="M28" s="15" t="s">
        <v>94</v>
      </c>
      <c r="N28" s="15" t="s">
        <v>67</v>
      </c>
      <c r="O28" s="15" t="s">
        <v>182</v>
      </c>
      <c r="P28" s="15" t="s">
        <v>186</v>
      </c>
      <c r="Q28" s="135"/>
      <c r="R28" s="42">
        <v>258.5</v>
      </c>
      <c r="S28" s="42">
        <f t="shared" si="1"/>
        <v>258.5</v>
      </c>
      <c r="T28" s="43">
        <f t="shared" si="2"/>
        <v>258.5</v>
      </c>
      <c r="U28" s="15" t="s">
        <v>41</v>
      </c>
      <c r="V28" s="150">
        <v>30</v>
      </c>
      <c r="W28" s="133" cm="1">
        <f t="array" ref="W28">IF(U28="",0,_xlfn.XLOOKUP(E28&amp;U28&amp;F28,tab_act&amp;tab_mod&amp;tab_act1,tab_riz)*V28*T28/MGMT)</f>
        <v>0</v>
      </c>
      <c r="X28" s="43" cm="1">
        <f t="array" ref="X28">IF(U28="",0,_xlfn.XLOOKUP(E28&amp;U28&amp;F28,tab_act&amp;tab_mod&amp;tab_act1,tab_mc)*V28*T28/MGMT)</f>
        <v>0</v>
      </c>
      <c r="Y28" s="43" cm="1">
        <f t="array" ref="Y28">IF(U28="",0,_xlfn.XLOOKUP(E28&amp;U28&amp;F28,tab_act&amp;tab_mod&amp;tab_act1,tab_sor)*V28*T28/MGMT)</f>
        <v>0</v>
      </c>
      <c r="Z28" s="43" cm="1">
        <f t="array" ref="Z28">IF(U28="",0,_xlfn.XLOOKUP(E28&amp;U28&amp;F28,tab_act&amp;tab_mod&amp;tab_act1,tab_mg)*V28*T28/MGMT)</f>
        <v>0</v>
      </c>
      <c r="AA28" s="133" cm="1">
        <f t="array" ref="AA28">IF(U28="",0,IF(U28="hybrid-Sch",_xlfn.XLOOKUP(E28&amp;U28&amp;F28,tab_act&amp;tab_mod&amp;tab_act1,tab_ls)*SchLS*T28/MGMT,_xlfn.XLOOKUP(E28&amp;U28&amp;F28,tab_act&amp;tab_mod&amp;tab_act1,tab_ls)*V28*T28/MGMT))</f>
        <v>0</v>
      </c>
      <c r="AB28" s="133" cm="1">
        <f t="array" ref="AB28">IF(U28="",0,_xlfn.XLOOKUP(E28&amp;U28&amp;F28,tab_act&amp;tab_mod&amp;tab_act1,tab_hu)*V28*T28/MGMT)</f>
        <v>0.15509999999999999</v>
      </c>
      <c r="AC28" s="133" cm="1">
        <f t="array" ref="AC28">IF(U28="",0,_xlfn.XLOOKUP(E28&amp;U28&amp;F28,tab_act&amp;tab_mod&amp;tab_act1,tab_mnp)*V28*T28/MGMT)</f>
        <v>0</v>
      </c>
      <c r="AD28" s="133" cm="1">
        <f t="array" ref="AD28">IF(U28="",0,_xlfn.XLOOKUP(E28&amp;U28&amp;F28,tab_act&amp;tab_mod&amp;tab_act1,tab_Psup)*V28*T28/MGMT)</f>
        <v>0</v>
      </c>
      <c r="AE28" s="133" cm="1">
        <f t="array" ref="AE28">IF(U28="",0,_xlfn.XLOOKUP(E28&amp;U28&amp;F28,tab_act&amp;tab_mod&amp;tab_act1,tab_csb1)*V28*T28/MGMT)</f>
        <v>1.5509999999999999</v>
      </c>
      <c r="AF28" s="133" cm="1">
        <f t="array" ref="AF28">IF(U28="",0,_xlfn.XLOOKUP(E28&amp;U28&amp;F28,tab_act&amp;tab_mod&amp;tab_act1,tab_csb2)*V28*T28/MGMT)</f>
        <v>0</v>
      </c>
      <c r="AG28" s="133" cm="1">
        <f t="array" ref="AG28">IF(U28="",0,_xlfn.XLOOKUP(E28&amp;U28&amp;F28,tab_act&amp;tab_mod&amp;tab_act1,tab_pdoz)*V28*T28/MGMT)</f>
        <v>0</v>
      </c>
      <c r="AH28" s="133" cm="1">
        <f t="array" ref="AH28">IF(U28="",0,_xlfn.XLOOKUP(E28&amp;U28&amp;F28,tab_act&amp;tab_mod&amp;tab_act1,tab_lns)*V28*T28/MGMT)</f>
        <v>0</v>
      </c>
      <c r="AI28" s="47">
        <f t="shared" si="3"/>
        <v>1.7060999999999999</v>
      </c>
      <c r="AJ28" s="48">
        <f t="shared" si="4"/>
        <v>0</v>
      </c>
      <c r="AK28" s="49" cm="1">
        <f t="array" ref="AK28">IF(U28="",0,_xlfn.XLOOKUP(E28&amp;U28&amp;F28,tab_act&amp;tab_mod&amp;tab_act1,tab_cash)*V28*T28)</f>
        <v>0</v>
      </c>
      <c r="AN28" s="140" t="str">
        <f t="shared" si="5"/>
        <v>A</v>
      </c>
    </row>
    <row r="29" spans="2:40" x14ac:dyDescent="0.35">
      <c r="B29" s="50" t="s">
        <v>129</v>
      </c>
      <c r="C29" s="44">
        <v>2023</v>
      </c>
      <c r="D29" s="44" t="s">
        <v>100</v>
      </c>
      <c r="E29" s="15" t="s">
        <v>39</v>
      </c>
      <c r="F29" s="142" t="s">
        <v>117</v>
      </c>
      <c r="G29" s="15" t="s">
        <v>159</v>
      </c>
      <c r="H29" s="44"/>
      <c r="I29" s="15" t="s">
        <v>94</v>
      </c>
      <c r="J29" s="15" t="s">
        <v>94</v>
      </c>
      <c r="K29" s="15" t="s">
        <v>160</v>
      </c>
      <c r="L29" s="15" t="s">
        <v>95</v>
      </c>
      <c r="M29" s="15" t="s">
        <v>94</v>
      </c>
      <c r="N29" s="15" t="s">
        <v>67</v>
      </c>
      <c r="O29" s="15" t="s">
        <v>182</v>
      </c>
      <c r="P29" s="15" t="s">
        <v>187</v>
      </c>
      <c r="Q29" s="135"/>
      <c r="R29" s="42">
        <v>233.2</v>
      </c>
      <c r="S29" s="42">
        <f t="shared" si="1"/>
        <v>233.2</v>
      </c>
      <c r="T29" s="43">
        <f t="shared" si="2"/>
        <v>233.2</v>
      </c>
      <c r="U29" s="15" t="s">
        <v>41</v>
      </c>
      <c r="V29" s="150">
        <v>30</v>
      </c>
      <c r="W29" s="133" cm="1">
        <f t="array" ref="W29">IF(U29="",0,_xlfn.XLOOKUP(E29&amp;U29&amp;F29,tab_act&amp;tab_mod&amp;tab_act1,tab_riz)*V29*T29/MGMT)</f>
        <v>0</v>
      </c>
      <c r="X29" s="43" cm="1">
        <f t="array" ref="X29">IF(U29="",0,_xlfn.XLOOKUP(E29&amp;U29&amp;F29,tab_act&amp;tab_mod&amp;tab_act1,tab_mc)*V29*T29/MGMT)</f>
        <v>0</v>
      </c>
      <c r="Y29" s="43" cm="1">
        <f t="array" ref="Y29">IF(U29="",0,_xlfn.XLOOKUP(E29&amp;U29&amp;F29,tab_act&amp;tab_mod&amp;tab_act1,tab_sor)*V29*T29/MGMT)</f>
        <v>0</v>
      </c>
      <c r="Z29" s="43" cm="1">
        <f t="array" ref="Z29">IF(U29="",0,_xlfn.XLOOKUP(E29&amp;U29&amp;F29,tab_act&amp;tab_mod&amp;tab_act1,tab_mg)*V29*T29/MGMT)</f>
        <v>0</v>
      </c>
      <c r="AA29" s="133" cm="1">
        <f t="array" ref="AA29">IF(U29="",0,IF(U29="hybrid-Sch",_xlfn.XLOOKUP(E29&amp;U29&amp;F29,tab_act&amp;tab_mod&amp;tab_act1,tab_ls)*SchLS*T29/MGMT,_xlfn.XLOOKUP(E29&amp;U29&amp;F29,tab_act&amp;tab_mod&amp;tab_act1,tab_ls)*V29*T29/MGMT))</f>
        <v>0</v>
      </c>
      <c r="AB29" s="133" cm="1">
        <f t="array" ref="AB29">IF(U29="",0,_xlfn.XLOOKUP(E29&amp;U29&amp;F29,tab_act&amp;tab_mod&amp;tab_act1,tab_hu)*V29*T29/MGMT)</f>
        <v>0.13991999999999999</v>
      </c>
      <c r="AC29" s="133" cm="1">
        <f t="array" ref="AC29">IF(U29="",0,_xlfn.XLOOKUP(E29&amp;U29&amp;F29,tab_act&amp;tab_mod&amp;tab_act1,tab_mnp)*V29*T29/MGMT)</f>
        <v>0</v>
      </c>
      <c r="AD29" s="133" cm="1">
        <f t="array" ref="AD29">IF(U29="",0,_xlfn.XLOOKUP(E29&amp;U29&amp;F29,tab_act&amp;tab_mod&amp;tab_act1,tab_Psup)*V29*T29/MGMT)</f>
        <v>0</v>
      </c>
      <c r="AE29" s="133" cm="1">
        <f t="array" ref="AE29">IF(U29="",0,_xlfn.XLOOKUP(E29&amp;U29&amp;F29,tab_act&amp;tab_mod&amp;tab_act1,tab_csb1)*V29*T29/MGMT)</f>
        <v>1.3992</v>
      </c>
      <c r="AF29" s="133" cm="1">
        <f t="array" ref="AF29">IF(U29="",0,_xlfn.XLOOKUP(E29&amp;U29&amp;F29,tab_act&amp;tab_mod&amp;tab_act1,tab_csb2)*V29*T29/MGMT)</f>
        <v>0</v>
      </c>
      <c r="AG29" s="133" cm="1">
        <f t="array" ref="AG29">IF(U29="",0,_xlfn.XLOOKUP(E29&amp;U29&amp;F29,tab_act&amp;tab_mod&amp;tab_act1,tab_pdoz)*V29*T29/MGMT)</f>
        <v>0</v>
      </c>
      <c r="AH29" s="133" cm="1">
        <f t="array" ref="AH29">IF(U29="",0,_xlfn.XLOOKUP(E29&amp;U29&amp;F29,tab_act&amp;tab_mod&amp;tab_act1,tab_lns)*V29*T29/MGMT)</f>
        <v>0</v>
      </c>
      <c r="AI29" s="47">
        <f t="shared" si="3"/>
        <v>1.53912</v>
      </c>
      <c r="AJ29" s="48">
        <f t="shared" si="4"/>
        <v>0</v>
      </c>
      <c r="AK29" s="49" cm="1">
        <f t="array" ref="AK29">IF(U29="",0,_xlfn.XLOOKUP(E29&amp;U29&amp;F29,tab_act&amp;tab_mod&amp;tab_act1,tab_cash)*V29*T29)</f>
        <v>0</v>
      </c>
      <c r="AN29" s="140" t="str">
        <f t="shared" si="5"/>
        <v>A</v>
      </c>
    </row>
    <row r="30" spans="2:40" x14ac:dyDescent="0.35">
      <c r="B30" s="50" t="s">
        <v>129</v>
      </c>
      <c r="C30" s="44">
        <v>2023</v>
      </c>
      <c r="D30" s="44" t="s">
        <v>100</v>
      </c>
      <c r="E30" s="15" t="s">
        <v>39</v>
      </c>
      <c r="F30" s="142" t="s">
        <v>117</v>
      </c>
      <c r="G30" s="15" t="s">
        <v>159</v>
      </c>
      <c r="H30" s="44"/>
      <c r="I30" s="15" t="s">
        <v>94</v>
      </c>
      <c r="J30" s="15" t="s">
        <v>94</v>
      </c>
      <c r="K30" s="15" t="s">
        <v>160</v>
      </c>
      <c r="L30" s="15" t="s">
        <v>95</v>
      </c>
      <c r="M30" s="15" t="s">
        <v>94</v>
      </c>
      <c r="N30" s="15" t="s">
        <v>67</v>
      </c>
      <c r="O30" s="15" t="s">
        <v>182</v>
      </c>
      <c r="P30" s="15" t="s">
        <v>188</v>
      </c>
      <c r="Q30" s="135"/>
      <c r="R30" s="42">
        <v>147.4</v>
      </c>
      <c r="S30" s="42">
        <f t="shared" si="1"/>
        <v>147.4</v>
      </c>
      <c r="T30" s="43">
        <f t="shared" si="2"/>
        <v>147.4</v>
      </c>
      <c r="U30" s="15" t="s">
        <v>41</v>
      </c>
      <c r="V30" s="150">
        <v>30</v>
      </c>
      <c r="W30" s="133" cm="1">
        <f t="array" ref="W30">IF(U30="",0,_xlfn.XLOOKUP(E30&amp;U30&amp;F30,tab_act&amp;tab_mod&amp;tab_act1,tab_riz)*V30*T30/MGMT)</f>
        <v>0</v>
      </c>
      <c r="X30" s="43" cm="1">
        <f t="array" ref="X30">IF(U30="",0,_xlfn.XLOOKUP(E30&amp;U30&amp;F30,tab_act&amp;tab_mod&amp;tab_act1,tab_mc)*V30*T30/MGMT)</f>
        <v>0</v>
      </c>
      <c r="Y30" s="43" cm="1">
        <f t="array" ref="Y30">IF(U30="",0,_xlfn.XLOOKUP(E30&amp;U30&amp;F30,tab_act&amp;tab_mod&amp;tab_act1,tab_sor)*V30*T30/MGMT)</f>
        <v>0</v>
      </c>
      <c r="Z30" s="43" cm="1">
        <f t="array" ref="Z30">IF(U30="",0,_xlfn.XLOOKUP(E30&amp;U30&amp;F30,tab_act&amp;tab_mod&amp;tab_act1,tab_mg)*V30*T30/MGMT)</f>
        <v>0</v>
      </c>
      <c r="AA30" s="133" cm="1">
        <f t="array" ref="AA30">IF(U30="",0,IF(U30="hybrid-Sch",_xlfn.XLOOKUP(E30&amp;U30&amp;F30,tab_act&amp;tab_mod&amp;tab_act1,tab_ls)*SchLS*T30/MGMT,_xlfn.XLOOKUP(E30&amp;U30&amp;F30,tab_act&amp;tab_mod&amp;tab_act1,tab_ls)*V30*T30/MGMT))</f>
        <v>0</v>
      </c>
      <c r="AB30" s="133" cm="1">
        <f t="array" ref="AB30">IF(U30="",0,_xlfn.XLOOKUP(E30&amp;U30&amp;F30,tab_act&amp;tab_mod&amp;tab_act1,tab_hu)*V30*T30/MGMT)</f>
        <v>8.8440000000000005E-2</v>
      </c>
      <c r="AC30" s="133" cm="1">
        <f t="array" ref="AC30">IF(U30="",0,_xlfn.XLOOKUP(E30&amp;U30&amp;F30,tab_act&amp;tab_mod&amp;tab_act1,tab_mnp)*V30*T30/MGMT)</f>
        <v>0</v>
      </c>
      <c r="AD30" s="133" cm="1">
        <f t="array" ref="AD30">IF(U30="",0,_xlfn.XLOOKUP(E30&amp;U30&amp;F30,tab_act&amp;tab_mod&amp;tab_act1,tab_Psup)*V30*T30/MGMT)</f>
        <v>0</v>
      </c>
      <c r="AE30" s="133" cm="1">
        <f t="array" ref="AE30">IF(U30="",0,_xlfn.XLOOKUP(E30&amp;U30&amp;F30,tab_act&amp;tab_mod&amp;tab_act1,tab_csb1)*V30*T30/MGMT)</f>
        <v>0.88439999999999996</v>
      </c>
      <c r="AF30" s="133" cm="1">
        <f t="array" ref="AF30">IF(U30="",0,_xlfn.XLOOKUP(E30&amp;U30&amp;F30,tab_act&amp;tab_mod&amp;tab_act1,tab_csb2)*V30*T30/MGMT)</f>
        <v>0</v>
      </c>
      <c r="AG30" s="133" cm="1">
        <f t="array" ref="AG30">IF(U30="",0,_xlfn.XLOOKUP(E30&amp;U30&amp;F30,tab_act&amp;tab_mod&amp;tab_act1,tab_pdoz)*V30*T30/MGMT)</f>
        <v>0</v>
      </c>
      <c r="AH30" s="133" cm="1">
        <f t="array" ref="AH30">IF(U30="",0,_xlfn.XLOOKUP(E30&amp;U30&amp;F30,tab_act&amp;tab_mod&amp;tab_act1,tab_lns)*V30*T30/MGMT)</f>
        <v>0</v>
      </c>
      <c r="AI30" s="47">
        <f t="shared" si="3"/>
        <v>0.97283999999999993</v>
      </c>
      <c r="AJ30" s="48">
        <f t="shared" si="4"/>
        <v>0</v>
      </c>
      <c r="AK30" s="49" cm="1">
        <f t="array" ref="AK30">IF(U30="",0,_xlfn.XLOOKUP(E30&amp;U30&amp;F30,tab_act&amp;tab_mod&amp;tab_act1,tab_cash)*V30*T30)</f>
        <v>0</v>
      </c>
      <c r="AN30" s="140" t="str">
        <f t="shared" si="5"/>
        <v>A</v>
      </c>
    </row>
    <row r="31" spans="2:40" x14ac:dyDescent="0.35">
      <c r="B31" s="50" t="s">
        <v>129</v>
      </c>
      <c r="C31" s="44">
        <v>2023</v>
      </c>
      <c r="D31" s="44" t="s">
        <v>100</v>
      </c>
      <c r="E31" s="15" t="s">
        <v>39</v>
      </c>
      <c r="F31" s="142" t="s">
        <v>117</v>
      </c>
      <c r="G31" s="15" t="s">
        <v>159</v>
      </c>
      <c r="H31" s="44"/>
      <c r="I31" s="15" t="s">
        <v>94</v>
      </c>
      <c r="J31" s="15" t="s">
        <v>94</v>
      </c>
      <c r="K31" s="15" t="s">
        <v>160</v>
      </c>
      <c r="L31" s="15" t="s">
        <v>95</v>
      </c>
      <c r="M31" s="15" t="s">
        <v>94</v>
      </c>
      <c r="N31" s="15" t="s">
        <v>67</v>
      </c>
      <c r="O31" s="15" t="s">
        <v>182</v>
      </c>
      <c r="P31" s="15" t="s">
        <v>189</v>
      </c>
      <c r="Q31" s="135"/>
      <c r="R31" s="42">
        <v>201.3</v>
      </c>
      <c r="S31" s="42">
        <f t="shared" si="1"/>
        <v>201.3</v>
      </c>
      <c r="T31" s="43">
        <f t="shared" si="2"/>
        <v>201.3</v>
      </c>
      <c r="U31" s="15" t="s">
        <v>41</v>
      </c>
      <c r="V31" s="150">
        <v>30</v>
      </c>
      <c r="W31" s="133" cm="1">
        <f t="array" ref="W31">IF(U31="",0,_xlfn.XLOOKUP(E31&amp;U31&amp;F31,tab_act&amp;tab_mod&amp;tab_act1,tab_riz)*V31*T31/MGMT)</f>
        <v>0</v>
      </c>
      <c r="X31" s="43" cm="1">
        <f t="array" ref="X31">IF(U31="",0,_xlfn.XLOOKUP(E31&amp;U31&amp;F31,tab_act&amp;tab_mod&amp;tab_act1,tab_mc)*V31*T31/MGMT)</f>
        <v>0</v>
      </c>
      <c r="Y31" s="43" cm="1">
        <f t="array" ref="Y31">IF(U31="",0,_xlfn.XLOOKUP(E31&amp;U31&amp;F31,tab_act&amp;tab_mod&amp;tab_act1,tab_sor)*V31*T31/MGMT)</f>
        <v>0</v>
      </c>
      <c r="Z31" s="43" cm="1">
        <f t="array" ref="Z31">IF(U31="",0,_xlfn.XLOOKUP(E31&amp;U31&amp;F31,tab_act&amp;tab_mod&amp;tab_act1,tab_mg)*V31*T31/MGMT)</f>
        <v>0</v>
      </c>
      <c r="AA31" s="133" cm="1">
        <f t="array" ref="AA31">IF(U31="",0,IF(U31="hybrid-Sch",_xlfn.XLOOKUP(E31&amp;U31&amp;F31,tab_act&amp;tab_mod&amp;tab_act1,tab_ls)*SchLS*T31/MGMT,_xlfn.XLOOKUP(E31&amp;U31&amp;F31,tab_act&amp;tab_mod&amp;tab_act1,tab_ls)*V31*T31/MGMT))</f>
        <v>0</v>
      </c>
      <c r="AB31" s="133" cm="1">
        <f t="array" ref="AB31">IF(U31="",0,_xlfn.XLOOKUP(E31&amp;U31&amp;F31,tab_act&amp;tab_mod&amp;tab_act1,tab_hu)*V31*T31/MGMT)</f>
        <v>0.12078</v>
      </c>
      <c r="AC31" s="133" cm="1">
        <f t="array" ref="AC31">IF(U31="",0,_xlfn.XLOOKUP(E31&amp;U31&amp;F31,tab_act&amp;tab_mod&amp;tab_act1,tab_mnp)*V31*T31/MGMT)</f>
        <v>0</v>
      </c>
      <c r="AD31" s="133" cm="1">
        <f t="array" ref="AD31">IF(U31="",0,_xlfn.XLOOKUP(E31&amp;U31&amp;F31,tab_act&amp;tab_mod&amp;tab_act1,tab_Psup)*V31*T31/MGMT)</f>
        <v>0</v>
      </c>
      <c r="AE31" s="133" cm="1">
        <f t="array" ref="AE31">IF(U31="",0,_xlfn.XLOOKUP(E31&amp;U31&amp;F31,tab_act&amp;tab_mod&amp;tab_act1,tab_csb1)*V31*T31/MGMT)</f>
        <v>1.2078</v>
      </c>
      <c r="AF31" s="133" cm="1">
        <f t="array" ref="AF31">IF(U31="",0,_xlfn.XLOOKUP(E31&amp;U31&amp;F31,tab_act&amp;tab_mod&amp;tab_act1,tab_csb2)*V31*T31/MGMT)</f>
        <v>0</v>
      </c>
      <c r="AG31" s="133" cm="1">
        <f t="array" ref="AG31">IF(U31="",0,_xlfn.XLOOKUP(E31&amp;U31&amp;F31,tab_act&amp;tab_mod&amp;tab_act1,tab_pdoz)*V31*T31/MGMT)</f>
        <v>0</v>
      </c>
      <c r="AH31" s="133" cm="1">
        <f t="array" ref="AH31">IF(U31="",0,_xlfn.XLOOKUP(E31&amp;U31&amp;F31,tab_act&amp;tab_mod&amp;tab_act1,tab_lns)*V31*T31/MGMT)</f>
        <v>0</v>
      </c>
      <c r="AI31" s="47">
        <f t="shared" si="3"/>
        <v>1.3285800000000001</v>
      </c>
      <c r="AJ31" s="48">
        <f t="shared" si="4"/>
        <v>0</v>
      </c>
      <c r="AK31" s="49" cm="1">
        <f t="array" ref="AK31">IF(U31="",0,_xlfn.XLOOKUP(E31&amp;U31&amp;F31,tab_act&amp;tab_mod&amp;tab_act1,tab_cash)*V31*T31)</f>
        <v>0</v>
      </c>
      <c r="AN31" s="140" t="str">
        <f t="shared" si="5"/>
        <v>A</v>
      </c>
    </row>
    <row r="32" spans="2:40" x14ac:dyDescent="0.35">
      <c r="B32" s="50" t="s">
        <v>129</v>
      </c>
      <c r="C32" s="44">
        <v>2023</v>
      </c>
      <c r="D32" s="44" t="s">
        <v>100</v>
      </c>
      <c r="E32" s="15" t="s">
        <v>39</v>
      </c>
      <c r="F32" s="142" t="s">
        <v>117</v>
      </c>
      <c r="G32" s="15" t="s">
        <v>159</v>
      </c>
      <c r="H32" s="44"/>
      <c r="I32" s="15" t="s">
        <v>94</v>
      </c>
      <c r="J32" s="15" t="s">
        <v>94</v>
      </c>
      <c r="K32" s="15" t="s">
        <v>160</v>
      </c>
      <c r="L32" s="15" t="s">
        <v>95</v>
      </c>
      <c r="M32" s="15" t="s">
        <v>94</v>
      </c>
      <c r="N32" s="15" t="s">
        <v>67</v>
      </c>
      <c r="O32" s="15" t="s">
        <v>182</v>
      </c>
      <c r="P32" s="15" t="s">
        <v>190</v>
      </c>
      <c r="Q32" s="135"/>
      <c r="R32" s="42">
        <v>115.5</v>
      </c>
      <c r="S32" s="42">
        <f t="shared" si="1"/>
        <v>115.5</v>
      </c>
      <c r="T32" s="43">
        <f t="shared" si="2"/>
        <v>115.5</v>
      </c>
      <c r="U32" s="15" t="s">
        <v>41</v>
      </c>
      <c r="V32" s="150">
        <v>30</v>
      </c>
      <c r="W32" s="133" cm="1">
        <f t="array" ref="W32">IF(U32="",0,_xlfn.XLOOKUP(E32&amp;U32&amp;F32,tab_act&amp;tab_mod&amp;tab_act1,tab_riz)*V32*T32/MGMT)</f>
        <v>0</v>
      </c>
      <c r="X32" s="43" cm="1">
        <f t="array" ref="X32">IF(U32="",0,_xlfn.XLOOKUP(E32&amp;U32&amp;F32,tab_act&amp;tab_mod&amp;tab_act1,tab_mc)*V32*T32/MGMT)</f>
        <v>0</v>
      </c>
      <c r="Y32" s="43" cm="1">
        <f t="array" ref="Y32">IF(U32="",0,_xlfn.XLOOKUP(E32&amp;U32&amp;F32,tab_act&amp;tab_mod&amp;tab_act1,tab_sor)*V32*T32/MGMT)</f>
        <v>0</v>
      </c>
      <c r="Z32" s="43" cm="1">
        <f t="array" ref="Z32">IF(U32="",0,_xlfn.XLOOKUP(E32&amp;U32&amp;F32,tab_act&amp;tab_mod&amp;tab_act1,tab_mg)*V32*T32/MGMT)</f>
        <v>0</v>
      </c>
      <c r="AA32" s="133" cm="1">
        <f t="array" ref="AA32">IF(U32="",0,IF(U32="hybrid-Sch",_xlfn.XLOOKUP(E32&amp;U32&amp;F32,tab_act&amp;tab_mod&amp;tab_act1,tab_ls)*SchLS*T32/MGMT,_xlfn.XLOOKUP(E32&amp;U32&amp;F32,tab_act&amp;tab_mod&amp;tab_act1,tab_ls)*V32*T32/MGMT))</f>
        <v>0</v>
      </c>
      <c r="AB32" s="133" cm="1">
        <f t="array" ref="AB32">IF(U32="",0,_xlfn.XLOOKUP(E32&amp;U32&amp;F32,tab_act&amp;tab_mod&amp;tab_act1,tab_hu)*V32*T32/MGMT)</f>
        <v>6.93E-2</v>
      </c>
      <c r="AC32" s="133" cm="1">
        <f t="array" ref="AC32">IF(U32="",0,_xlfn.XLOOKUP(E32&amp;U32&amp;F32,tab_act&amp;tab_mod&amp;tab_act1,tab_mnp)*V32*T32/MGMT)</f>
        <v>0</v>
      </c>
      <c r="AD32" s="133" cm="1">
        <f t="array" ref="AD32">IF(U32="",0,_xlfn.XLOOKUP(E32&amp;U32&amp;F32,tab_act&amp;tab_mod&amp;tab_act1,tab_Psup)*V32*T32/MGMT)</f>
        <v>0</v>
      </c>
      <c r="AE32" s="133" cm="1">
        <f t="array" ref="AE32">IF(U32="",0,_xlfn.XLOOKUP(E32&amp;U32&amp;F32,tab_act&amp;tab_mod&amp;tab_act1,tab_csb1)*V32*T32/MGMT)</f>
        <v>0.69299999999999995</v>
      </c>
      <c r="AF32" s="133" cm="1">
        <f t="array" ref="AF32">IF(U32="",0,_xlfn.XLOOKUP(E32&amp;U32&amp;F32,tab_act&amp;tab_mod&amp;tab_act1,tab_csb2)*V32*T32/MGMT)</f>
        <v>0</v>
      </c>
      <c r="AG32" s="133" cm="1">
        <f t="array" ref="AG32">IF(U32="",0,_xlfn.XLOOKUP(E32&amp;U32&amp;F32,tab_act&amp;tab_mod&amp;tab_act1,tab_pdoz)*V32*T32/MGMT)</f>
        <v>0</v>
      </c>
      <c r="AH32" s="133" cm="1">
        <f t="array" ref="AH32">IF(U32="",0,_xlfn.XLOOKUP(E32&amp;U32&amp;F32,tab_act&amp;tab_mod&amp;tab_act1,tab_lns)*V32*T32/MGMT)</f>
        <v>0</v>
      </c>
      <c r="AI32" s="47">
        <f t="shared" si="3"/>
        <v>0.76229999999999998</v>
      </c>
      <c r="AJ32" s="48">
        <f t="shared" si="4"/>
        <v>0</v>
      </c>
      <c r="AK32" s="49" cm="1">
        <f t="array" ref="AK32">IF(U32="",0,_xlfn.XLOOKUP(E32&amp;U32&amp;F32,tab_act&amp;tab_mod&amp;tab_act1,tab_cash)*V32*T32)</f>
        <v>0</v>
      </c>
      <c r="AN32" s="140" t="str">
        <f t="shared" si="5"/>
        <v>A</v>
      </c>
    </row>
    <row r="33" spans="2:40" x14ac:dyDescent="0.35">
      <c r="B33" s="50" t="s">
        <v>129</v>
      </c>
      <c r="C33" s="44">
        <v>2023</v>
      </c>
      <c r="D33" s="44" t="s">
        <v>100</v>
      </c>
      <c r="E33" s="15" t="s">
        <v>39</v>
      </c>
      <c r="F33" s="142" t="s">
        <v>117</v>
      </c>
      <c r="G33" s="15" t="s">
        <v>159</v>
      </c>
      <c r="H33" s="44"/>
      <c r="I33" s="15" t="s">
        <v>94</v>
      </c>
      <c r="J33" s="15" t="s">
        <v>94</v>
      </c>
      <c r="K33" s="15" t="s">
        <v>160</v>
      </c>
      <c r="L33" s="15" t="s">
        <v>95</v>
      </c>
      <c r="M33" s="15" t="s">
        <v>94</v>
      </c>
      <c r="N33" s="15" t="s">
        <v>67</v>
      </c>
      <c r="O33" s="15" t="s">
        <v>182</v>
      </c>
      <c r="P33" s="15" t="s">
        <v>191</v>
      </c>
      <c r="Q33" s="135"/>
      <c r="R33" s="42">
        <v>166.1</v>
      </c>
      <c r="S33" s="42">
        <f t="shared" si="1"/>
        <v>166.1</v>
      </c>
      <c r="T33" s="43">
        <f t="shared" si="2"/>
        <v>166.1</v>
      </c>
      <c r="U33" s="15" t="s">
        <v>41</v>
      </c>
      <c r="V33" s="150">
        <v>30</v>
      </c>
      <c r="W33" s="133" cm="1">
        <f t="array" ref="W33">IF(U33="",0,_xlfn.XLOOKUP(E33&amp;U33&amp;F33,tab_act&amp;tab_mod&amp;tab_act1,tab_riz)*V33*T33/MGMT)</f>
        <v>0</v>
      </c>
      <c r="X33" s="43" cm="1">
        <f t="array" ref="X33">IF(U33="",0,_xlfn.XLOOKUP(E33&amp;U33&amp;F33,tab_act&amp;tab_mod&amp;tab_act1,tab_mc)*V33*T33/MGMT)</f>
        <v>0</v>
      </c>
      <c r="Y33" s="43" cm="1">
        <f t="array" ref="Y33">IF(U33="",0,_xlfn.XLOOKUP(E33&amp;U33&amp;F33,tab_act&amp;tab_mod&amp;tab_act1,tab_sor)*V33*T33/MGMT)</f>
        <v>0</v>
      </c>
      <c r="Z33" s="43" cm="1">
        <f t="array" ref="Z33">IF(U33="",0,_xlfn.XLOOKUP(E33&amp;U33&amp;F33,tab_act&amp;tab_mod&amp;tab_act1,tab_mg)*V33*T33/MGMT)</f>
        <v>0</v>
      </c>
      <c r="AA33" s="133" cm="1">
        <f t="array" ref="AA33">IF(U33="",0,IF(U33="hybrid-Sch",_xlfn.XLOOKUP(E33&amp;U33&amp;F33,tab_act&amp;tab_mod&amp;tab_act1,tab_ls)*SchLS*T33/MGMT,_xlfn.XLOOKUP(E33&amp;U33&amp;F33,tab_act&amp;tab_mod&amp;tab_act1,tab_ls)*V33*T33/MGMT))</f>
        <v>0</v>
      </c>
      <c r="AB33" s="133" cm="1">
        <f t="array" ref="AB33">IF(U33="",0,_xlfn.XLOOKUP(E33&amp;U33&amp;F33,tab_act&amp;tab_mod&amp;tab_act1,tab_hu)*V33*T33/MGMT)</f>
        <v>9.9659999999999999E-2</v>
      </c>
      <c r="AC33" s="133" cm="1">
        <f t="array" ref="AC33">IF(U33="",0,_xlfn.XLOOKUP(E33&amp;U33&amp;F33,tab_act&amp;tab_mod&amp;tab_act1,tab_mnp)*V33*T33/MGMT)</f>
        <v>0</v>
      </c>
      <c r="AD33" s="133" cm="1">
        <f t="array" ref="AD33">IF(U33="",0,_xlfn.XLOOKUP(E33&amp;U33&amp;F33,tab_act&amp;tab_mod&amp;tab_act1,tab_Psup)*V33*T33/MGMT)</f>
        <v>0</v>
      </c>
      <c r="AE33" s="133" cm="1">
        <f t="array" ref="AE33">IF(U33="",0,_xlfn.XLOOKUP(E33&amp;U33&amp;F33,tab_act&amp;tab_mod&amp;tab_act1,tab_csb1)*V33*T33/MGMT)</f>
        <v>0.99660000000000004</v>
      </c>
      <c r="AF33" s="133" cm="1">
        <f t="array" ref="AF33">IF(U33="",0,_xlfn.XLOOKUP(E33&amp;U33&amp;F33,tab_act&amp;tab_mod&amp;tab_act1,tab_csb2)*V33*T33/MGMT)</f>
        <v>0</v>
      </c>
      <c r="AG33" s="133" cm="1">
        <f t="array" ref="AG33">IF(U33="",0,_xlfn.XLOOKUP(E33&amp;U33&amp;F33,tab_act&amp;tab_mod&amp;tab_act1,tab_pdoz)*V33*T33/MGMT)</f>
        <v>0</v>
      </c>
      <c r="AH33" s="133" cm="1">
        <f t="array" ref="AH33">IF(U33="",0,_xlfn.XLOOKUP(E33&amp;U33&amp;F33,tab_act&amp;tab_mod&amp;tab_act1,tab_lns)*V33*T33/MGMT)</f>
        <v>0</v>
      </c>
      <c r="AI33" s="47">
        <f t="shared" si="3"/>
        <v>1.09626</v>
      </c>
      <c r="AJ33" s="48">
        <f t="shared" si="4"/>
        <v>0</v>
      </c>
      <c r="AK33" s="49" cm="1">
        <f t="array" ref="AK33">IF(U33="",0,_xlfn.XLOOKUP(E33&amp;U33&amp;F33,tab_act&amp;tab_mod&amp;tab_act1,tab_cash)*V33*T33)</f>
        <v>0</v>
      </c>
      <c r="AN33" s="140" t="str">
        <f t="shared" si="5"/>
        <v>A</v>
      </c>
    </row>
    <row r="34" spans="2:40" x14ac:dyDescent="0.35">
      <c r="B34" s="50" t="s">
        <v>129</v>
      </c>
      <c r="C34" s="44">
        <v>2023</v>
      </c>
      <c r="D34" s="44" t="s">
        <v>100</v>
      </c>
      <c r="E34" s="15" t="s">
        <v>39</v>
      </c>
      <c r="F34" s="142" t="s">
        <v>117</v>
      </c>
      <c r="G34" s="15" t="s">
        <v>159</v>
      </c>
      <c r="H34" s="44"/>
      <c r="I34" s="15" t="s">
        <v>94</v>
      </c>
      <c r="J34" s="15" t="s">
        <v>94</v>
      </c>
      <c r="K34" s="15" t="s">
        <v>160</v>
      </c>
      <c r="L34" s="15" t="s">
        <v>95</v>
      </c>
      <c r="M34" s="15" t="s">
        <v>94</v>
      </c>
      <c r="N34" s="15" t="s">
        <v>67</v>
      </c>
      <c r="O34" s="15" t="s">
        <v>182</v>
      </c>
      <c r="P34" s="15" t="s">
        <v>192</v>
      </c>
      <c r="Q34" s="135"/>
      <c r="R34" s="42">
        <v>152.9</v>
      </c>
      <c r="S34" s="42">
        <f t="shared" si="1"/>
        <v>152.9</v>
      </c>
      <c r="T34" s="43">
        <f t="shared" si="2"/>
        <v>152.9</v>
      </c>
      <c r="U34" s="15" t="s">
        <v>41</v>
      </c>
      <c r="V34" s="150">
        <v>30</v>
      </c>
      <c r="W34" s="133" cm="1">
        <f t="array" ref="W34">IF(U34="",0,_xlfn.XLOOKUP(E34&amp;U34&amp;F34,tab_act&amp;tab_mod&amp;tab_act1,tab_riz)*V34*T34/MGMT)</f>
        <v>0</v>
      </c>
      <c r="X34" s="43" cm="1">
        <f t="array" ref="X34">IF(U34="",0,_xlfn.XLOOKUP(E34&amp;U34&amp;F34,tab_act&amp;tab_mod&amp;tab_act1,tab_mc)*V34*T34/MGMT)</f>
        <v>0</v>
      </c>
      <c r="Y34" s="43" cm="1">
        <f t="array" ref="Y34">IF(U34="",0,_xlfn.XLOOKUP(E34&amp;U34&amp;F34,tab_act&amp;tab_mod&amp;tab_act1,tab_sor)*V34*T34/MGMT)</f>
        <v>0</v>
      </c>
      <c r="Z34" s="43" cm="1">
        <f t="array" ref="Z34">IF(U34="",0,_xlfn.XLOOKUP(E34&amp;U34&amp;F34,tab_act&amp;tab_mod&amp;tab_act1,tab_mg)*V34*T34/MGMT)</f>
        <v>0</v>
      </c>
      <c r="AA34" s="133" cm="1">
        <f t="array" ref="AA34">IF(U34="",0,IF(U34="hybrid-Sch",_xlfn.XLOOKUP(E34&amp;U34&amp;F34,tab_act&amp;tab_mod&amp;tab_act1,tab_ls)*SchLS*T34/MGMT,_xlfn.XLOOKUP(E34&amp;U34&amp;F34,tab_act&amp;tab_mod&amp;tab_act1,tab_ls)*V34*T34/MGMT))</f>
        <v>0</v>
      </c>
      <c r="AB34" s="133" cm="1">
        <f t="array" ref="AB34">IF(U34="",0,_xlfn.XLOOKUP(E34&amp;U34&amp;F34,tab_act&amp;tab_mod&amp;tab_act1,tab_hu)*V34*T34/MGMT)</f>
        <v>9.1740000000000002E-2</v>
      </c>
      <c r="AC34" s="133" cm="1">
        <f t="array" ref="AC34">IF(U34="",0,_xlfn.XLOOKUP(E34&amp;U34&amp;F34,tab_act&amp;tab_mod&amp;tab_act1,tab_mnp)*V34*T34/MGMT)</f>
        <v>0</v>
      </c>
      <c r="AD34" s="133" cm="1">
        <f t="array" ref="AD34">IF(U34="",0,_xlfn.XLOOKUP(E34&amp;U34&amp;F34,tab_act&amp;tab_mod&amp;tab_act1,tab_Psup)*V34*T34/MGMT)</f>
        <v>0</v>
      </c>
      <c r="AE34" s="133" cm="1">
        <f t="array" ref="AE34">IF(U34="",0,_xlfn.XLOOKUP(E34&amp;U34&amp;F34,tab_act&amp;tab_mod&amp;tab_act1,tab_csb1)*V34*T34/MGMT)</f>
        <v>0.91739999999999999</v>
      </c>
      <c r="AF34" s="133" cm="1">
        <f t="array" ref="AF34">IF(U34="",0,_xlfn.XLOOKUP(E34&amp;U34&amp;F34,tab_act&amp;tab_mod&amp;tab_act1,tab_csb2)*V34*T34/MGMT)</f>
        <v>0</v>
      </c>
      <c r="AG34" s="133" cm="1">
        <f t="array" ref="AG34">IF(U34="",0,_xlfn.XLOOKUP(E34&amp;U34&amp;F34,tab_act&amp;tab_mod&amp;tab_act1,tab_pdoz)*V34*T34/MGMT)</f>
        <v>0</v>
      </c>
      <c r="AH34" s="133" cm="1">
        <f t="array" ref="AH34">IF(U34="",0,_xlfn.XLOOKUP(E34&amp;U34&amp;F34,tab_act&amp;tab_mod&amp;tab_act1,tab_lns)*V34*T34/MGMT)</f>
        <v>0</v>
      </c>
      <c r="AI34" s="47">
        <f t="shared" si="3"/>
        <v>1.0091399999999999</v>
      </c>
      <c r="AJ34" s="48">
        <f t="shared" si="4"/>
        <v>0</v>
      </c>
      <c r="AK34" s="49" cm="1">
        <f t="array" ref="AK34">IF(U34="",0,_xlfn.XLOOKUP(E34&amp;U34&amp;F34,tab_act&amp;tab_mod&amp;tab_act1,tab_cash)*V34*T34)</f>
        <v>0</v>
      </c>
      <c r="AN34" s="140" t="str">
        <f t="shared" si="5"/>
        <v>A</v>
      </c>
    </row>
    <row r="35" spans="2:40" x14ac:dyDescent="0.35">
      <c r="B35" s="50" t="s">
        <v>129</v>
      </c>
      <c r="C35" s="44">
        <v>2023</v>
      </c>
      <c r="D35" s="44" t="s">
        <v>100</v>
      </c>
      <c r="E35" s="15" t="s">
        <v>39</v>
      </c>
      <c r="F35" s="142" t="s">
        <v>117</v>
      </c>
      <c r="G35" s="15" t="s">
        <v>159</v>
      </c>
      <c r="H35" s="44"/>
      <c r="I35" s="15" t="s">
        <v>94</v>
      </c>
      <c r="J35" s="15" t="s">
        <v>94</v>
      </c>
      <c r="K35" s="15" t="s">
        <v>160</v>
      </c>
      <c r="L35" s="15" t="s">
        <v>95</v>
      </c>
      <c r="M35" s="15" t="s">
        <v>94</v>
      </c>
      <c r="N35" s="15" t="s">
        <v>67</v>
      </c>
      <c r="O35" s="15" t="s">
        <v>182</v>
      </c>
      <c r="P35" s="15" t="s">
        <v>193</v>
      </c>
      <c r="Q35" s="135"/>
      <c r="R35" s="42">
        <v>271.7</v>
      </c>
      <c r="S35" s="42">
        <f t="shared" si="1"/>
        <v>271.7</v>
      </c>
      <c r="T35" s="43">
        <f t="shared" si="2"/>
        <v>271.7</v>
      </c>
      <c r="U35" s="15" t="s">
        <v>41</v>
      </c>
      <c r="V35" s="150">
        <v>30</v>
      </c>
      <c r="W35" s="133" cm="1">
        <f t="array" ref="W35">IF(U35="",0,_xlfn.XLOOKUP(E35&amp;U35&amp;F35,tab_act&amp;tab_mod&amp;tab_act1,tab_riz)*V35*T35/MGMT)</f>
        <v>0</v>
      </c>
      <c r="X35" s="43" cm="1">
        <f t="array" ref="X35">IF(U35="",0,_xlfn.XLOOKUP(E35&amp;U35&amp;F35,tab_act&amp;tab_mod&amp;tab_act1,tab_mc)*V35*T35/MGMT)</f>
        <v>0</v>
      </c>
      <c r="Y35" s="43" cm="1">
        <f t="array" ref="Y35">IF(U35="",0,_xlfn.XLOOKUP(E35&amp;U35&amp;F35,tab_act&amp;tab_mod&amp;tab_act1,tab_sor)*V35*T35/MGMT)</f>
        <v>0</v>
      </c>
      <c r="Z35" s="43" cm="1">
        <f t="array" ref="Z35">IF(U35="",0,_xlfn.XLOOKUP(E35&amp;U35&amp;F35,tab_act&amp;tab_mod&amp;tab_act1,tab_mg)*V35*T35/MGMT)</f>
        <v>0</v>
      </c>
      <c r="AA35" s="133" cm="1">
        <f t="array" ref="AA35">IF(U35="",0,IF(U35="hybrid-Sch",_xlfn.XLOOKUP(E35&amp;U35&amp;F35,tab_act&amp;tab_mod&amp;tab_act1,tab_ls)*SchLS*T35/MGMT,_xlfn.XLOOKUP(E35&amp;U35&amp;F35,tab_act&amp;tab_mod&amp;tab_act1,tab_ls)*V35*T35/MGMT))</f>
        <v>0</v>
      </c>
      <c r="AB35" s="133" cm="1">
        <f t="array" ref="AB35">IF(U35="",0,_xlfn.XLOOKUP(E35&amp;U35&amp;F35,tab_act&amp;tab_mod&amp;tab_act1,tab_hu)*V35*T35/MGMT)</f>
        <v>0.16302</v>
      </c>
      <c r="AC35" s="133" cm="1">
        <f t="array" ref="AC35">IF(U35="",0,_xlfn.XLOOKUP(E35&amp;U35&amp;F35,tab_act&amp;tab_mod&amp;tab_act1,tab_mnp)*V35*T35/MGMT)</f>
        <v>0</v>
      </c>
      <c r="AD35" s="133" cm="1">
        <f t="array" ref="AD35">IF(U35="",0,_xlfn.XLOOKUP(E35&amp;U35&amp;F35,tab_act&amp;tab_mod&amp;tab_act1,tab_Psup)*V35*T35/MGMT)</f>
        <v>0</v>
      </c>
      <c r="AE35" s="133" cm="1">
        <f t="array" ref="AE35">IF(U35="",0,_xlfn.XLOOKUP(E35&amp;U35&amp;F35,tab_act&amp;tab_mod&amp;tab_act1,tab_csb1)*V35*T35/MGMT)</f>
        <v>1.6302000000000001</v>
      </c>
      <c r="AF35" s="133" cm="1">
        <f t="array" ref="AF35">IF(U35="",0,_xlfn.XLOOKUP(E35&amp;U35&amp;F35,tab_act&amp;tab_mod&amp;tab_act1,tab_csb2)*V35*T35/MGMT)</f>
        <v>0</v>
      </c>
      <c r="AG35" s="133" cm="1">
        <f t="array" ref="AG35">IF(U35="",0,_xlfn.XLOOKUP(E35&amp;U35&amp;F35,tab_act&amp;tab_mod&amp;tab_act1,tab_pdoz)*V35*T35/MGMT)</f>
        <v>0</v>
      </c>
      <c r="AH35" s="133" cm="1">
        <f t="array" ref="AH35">IF(U35="",0,_xlfn.XLOOKUP(E35&amp;U35&amp;F35,tab_act&amp;tab_mod&amp;tab_act1,tab_lns)*V35*T35/MGMT)</f>
        <v>0</v>
      </c>
      <c r="AI35" s="47">
        <f t="shared" si="3"/>
        <v>1.79322</v>
      </c>
      <c r="AJ35" s="48">
        <f t="shared" si="4"/>
        <v>0</v>
      </c>
      <c r="AK35" s="49" cm="1">
        <f t="array" ref="AK35">IF(U35="",0,_xlfn.XLOOKUP(E35&amp;U35&amp;F35,tab_act&amp;tab_mod&amp;tab_act1,tab_cash)*V35*T35)</f>
        <v>0</v>
      </c>
      <c r="AN35" s="140" t="str">
        <f t="shared" si="5"/>
        <v>A</v>
      </c>
    </row>
    <row r="36" spans="2:40" x14ac:dyDescent="0.35">
      <c r="B36" s="50" t="s">
        <v>129</v>
      </c>
      <c r="C36" s="44">
        <v>2023</v>
      </c>
      <c r="D36" s="44" t="s">
        <v>100</v>
      </c>
      <c r="E36" s="15" t="s">
        <v>39</v>
      </c>
      <c r="F36" s="142" t="s">
        <v>117</v>
      </c>
      <c r="G36" s="15" t="s">
        <v>159</v>
      </c>
      <c r="H36" s="44"/>
      <c r="I36" s="15" t="s">
        <v>94</v>
      </c>
      <c r="J36" s="15" t="s">
        <v>94</v>
      </c>
      <c r="K36" s="15" t="s">
        <v>160</v>
      </c>
      <c r="L36" s="15" t="s">
        <v>95</v>
      </c>
      <c r="M36" s="15" t="s">
        <v>94</v>
      </c>
      <c r="N36" s="15" t="s">
        <v>67</v>
      </c>
      <c r="O36" s="15" t="s">
        <v>182</v>
      </c>
      <c r="P36" s="15" t="s">
        <v>194</v>
      </c>
      <c r="Q36" s="135"/>
      <c r="R36" s="42">
        <v>239.8</v>
      </c>
      <c r="S36" s="42">
        <f t="shared" ref="S36:S67" si="6">SUM(Q36:R36)</f>
        <v>239.8</v>
      </c>
      <c r="T36" s="43">
        <f t="shared" ref="T36:T67" si="7">IF(E36="Sch",S36,IF(E36="nutrition",S36,S36/5))</f>
        <v>239.8</v>
      </c>
      <c r="U36" s="15" t="s">
        <v>41</v>
      </c>
      <c r="V36" s="150">
        <v>30</v>
      </c>
      <c r="W36" s="133" cm="1">
        <f t="array" ref="W36">IF(U36="",0,_xlfn.XLOOKUP(E36&amp;U36&amp;F36,tab_act&amp;tab_mod&amp;tab_act1,tab_riz)*V36*T36/MGMT)</f>
        <v>0</v>
      </c>
      <c r="X36" s="43" cm="1">
        <f t="array" ref="X36">IF(U36="",0,_xlfn.XLOOKUP(E36&amp;U36&amp;F36,tab_act&amp;tab_mod&amp;tab_act1,tab_mc)*V36*T36/MGMT)</f>
        <v>0</v>
      </c>
      <c r="Y36" s="43" cm="1">
        <f t="array" ref="Y36">IF(U36="",0,_xlfn.XLOOKUP(E36&amp;U36&amp;F36,tab_act&amp;tab_mod&amp;tab_act1,tab_sor)*V36*T36/MGMT)</f>
        <v>0</v>
      </c>
      <c r="Z36" s="43" cm="1">
        <f t="array" ref="Z36">IF(U36="",0,_xlfn.XLOOKUP(E36&amp;U36&amp;F36,tab_act&amp;tab_mod&amp;tab_act1,tab_mg)*V36*T36/MGMT)</f>
        <v>0</v>
      </c>
      <c r="AA36" s="133" cm="1">
        <f t="array" ref="AA36">IF(U36="",0,IF(U36="hybrid-Sch",_xlfn.XLOOKUP(E36&amp;U36&amp;F36,tab_act&amp;tab_mod&amp;tab_act1,tab_ls)*SchLS*T36/MGMT,_xlfn.XLOOKUP(E36&amp;U36&amp;F36,tab_act&amp;tab_mod&amp;tab_act1,tab_ls)*V36*T36/MGMT))</f>
        <v>0</v>
      </c>
      <c r="AB36" s="133" cm="1">
        <f t="array" ref="AB36">IF(U36="",0,_xlfn.XLOOKUP(E36&amp;U36&amp;F36,tab_act&amp;tab_mod&amp;tab_act1,tab_hu)*V36*T36/MGMT)</f>
        <v>0.14388000000000001</v>
      </c>
      <c r="AC36" s="133" cm="1">
        <f t="array" ref="AC36">IF(U36="",0,_xlfn.XLOOKUP(E36&amp;U36&amp;F36,tab_act&amp;tab_mod&amp;tab_act1,tab_mnp)*V36*T36/MGMT)</f>
        <v>0</v>
      </c>
      <c r="AD36" s="133" cm="1">
        <f t="array" ref="AD36">IF(U36="",0,_xlfn.XLOOKUP(E36&amp;U36&amp;F36,tab_act&amp;tab_mod&amp;tab_act1,tab_Psup)*V36*T36/MGMT)</f>
        <v>0</v>
      </c>
      <c r="AE36" s="133" cm="1">
        <f t="array" ref="AE36">IF(U36="",0,_xlfn.XLOOKUP(E36&amp;U36&amp;F36,tab_act&amp;tab_mod&amp;tab_act1,tab_csb1)*V36*T36/MGMT)</f>
        <v>1.4388000000000001</v>
      </c>
      <c r="AF36" s="133" cm="1">
        <f t="array" ref="AF36">IF(U36="",0,_xlfn.XLOOKUP(E36&amp;U36&amp;F36,tab_act&amp;tab_mod&amp;tab_act1,tab_csb2)*V36*T36/MGMT)</f>
        <v>0</v>
      </c>
      <c r="AG36" s="133" cm="1">
        <f t="array" ref="AG36">IF(U36="",0,_xlfn.XLOOKUP(E36&amp;U36&amp;F36,tab_act&amp;tab_mod&amp;tab_act1,tab_pdoz)*V36*T36/MGMT)</f>
        <v>0</v>
      </c>
      <c r="AH36" s="133" cm="1">
        <f t="array" ref="AH36">IF(U36="",0,_xlfn.XLOOKUP(E36&amp;U36&amp;F36,tab_act&amp;tab_mod&amp;tab_act1,tab_lns)*V36*T36/MGMT)</f>
        <v>0</v>
      </c>
      <c r="AI36" s="47">
        <f t="shared" si="3"/>
        <v>1.5826800000000001</v>
      </c>
      <c r="AJ36" s="48">
        <f t="shared" ref="AJ36:AJ67" si="8">AK36*ExRate</f>
        <v>0</v>
      </c>
      <c r="AK36" s="49" cm="1">
        <f t="array" ref="AK36">IF(U36="",0,_xlfn.XLOOKUP(E36&amp;U36&amp;F36,tab_act&amp;tab_mod&amp;tab_act1,tab_cash)*V36*T36)</f>
        <v>0</v>
      </c>
      <c r="AN36" s="140" t="str">
        <f t="shared" si="5"/>
        <v>A</v>
      </c>
    </row>
    <row r="37" spans="2:40" x14ac:dyDescent="0.35">
      <c r="B37" s="50" t="s">
        <v>129</v>
      </c>
      <c r="C37" s="44">
        <v>2023</v>
      </c>
      <c r="D37" s="44" t="s">
        <v>100</v>
      </c>
      <c r="E37" s="15" t="s">
        <v>39</v>
      </c>
      <c r="F37" s="142" t="s">
        <v>117</v>
      </c>
      <c r="G37" s="15" t="s">
        <v>159</v>
      </c>
      <c r="H37" s="44"/>
      <c r="I37" s="15" t="s">
        <v>94</v>
      </c>
      <c r="J37" s="15" t="s">
        <v>94</v>
      </c>
      <c r="K37" s="15" t="s">
        <v>160</v>
      </c>
      <c r="L37" s="15" t="s">
        <v>95</v>
      </c>
      <c r="M37" s="15" t="s">
        <v>94</v>
      </c>
      <c r="N37" s="15" t="s">
        <v>67</v>
      </c>
      <c r="O37" s="15" t="s">
        <v>182</v>
      </c>
      <c r="P37" s="15" t="s">
        <v>195</v>
      </c>
      <c r="Q37" s="135"/>
      <c r="R37" s="42">
        <v>155.1</v>
      </c>
      <c r="S37" s="42">
        <f t="shared" si="6"/>
        <v>155.1</v>
      </c>
      <c r="T37" s="43">
        <f t="shared" si="7"/>
        <v>155.1</v>
      </c>
      <c r="U37" s="15" t="s">
        <v>41</v>
      </c>
      <c r="V37" s="150">
        <v>30</v>
      </c>
      <c r="W37" s="133" cm="1">
        <f t="array" ref="W37">IF(U37="",0,_xlfn.XLOOKUP(E37&amp;U37&amp;F37,tab_act&amp;tab_mod&amp;tab_act1,tab_riz)*V37*T37/MGMT)</f>
        <v>0</v>
      </c>
      <c r="X37" s="43" cm="1">
        <f t="array" ref="X37">IF(U37="",0,_xlfn.XLOOKUP(E37&amp;U37&amp;F37,tab_act&amp;tab_mod&amp;tab_act1,tab_mc)*V37*T37/MGMT)</f>
        <v>0</v>
      </c>
      <c r="Y37" s="43" cm="1">
        <f t="array" ref="Y37">IF(U37="",0,_xlfn.XLOOKUP(E37&amp;U37&amp;F37,tab_act&amp;tab_mod&amp;tab_act1,tab_sor)*V37*T37/MGMT)</f>
        <v>0</v>
      </c>
      <c r="Z37" s="43" cm="1">
        <f t="array" ref="Z37">IF(U37="",0,_xlfn.XLOOKUP(E37&amp;U37&amp;F37,tab_act&amp;tab_mod&amp;tab_act1,tab_mg)*V37*T37/MGMT)</f>
        <v>0</v>
      </c>
      <c r="AA37" s="133" cm="1">
        <f t="array" ref="AA37">IF(U37="",0,IF(U37="hybrid-Sch",_xlfn.XLOOKUP(E37&amp;U37&amp;F37,tab_act&amp;tab_mod&amp;tab_act1,tab_ls)*SchLS*T37/MGMT,_xlfn.XLOOKUP(E37&amp;U37&amp;F37,tab_act&amp;tab_mod&amp;tab_act1,tab_ls)*V37*T37/MGMT))</f>
        <v>0</v>
      </c>
      <c r="AB37" s="133" cm="1">
        <f t="array" ref="AB37">IF(U37="",0,_xlfn.XLOOKUP(E37&amp;U37&amp;F37,tab_act&amp;tab_mod&amp;tab_act1,tab_hu)*V37*T37/MGMT)</f>
        <v>9.3060000000000004E-2</v>
      </c>
      <c r="AC37" s="133" cm="1">
        <f t="array" ref="AC37">IF(U37="",0,_xlfn.XLOOKUP(E37&amp;U37&amp;F37,tab_act&amp;tab_mod&amp;tab_act1,tab_mnp)*V37*T37/MGMT)</f>
        <v>0</v>
      </c>
      <c r="AD37" s="133" cm="1">
        <f t="array" ref="AD37">IF(U37="",0,_xlfn.XLOOKUP(E37&amp;U37&amp;F37,tab_act&amp;tab_mod&amp;tab_act1,tab_Psup)*V37*T37/MGMT)</f>
        <v>0</v>
      </c>
      <c r="AE37" s="133" cm="1">
        <f t="array" ref="AE37">IF(U37="",0,_xlfn.XLOOKUP(E37&amp;U37&amp;F37,tab_act&amp;tab_mod&amp;tab_act1,tab_csb1)*V37*T37/MGMT)</f>
        <v>0.93059999999999998</v>
      </c>
      <c r="AF37" s="133" cm="1">
        <f t="array" ref="AF37">IF(U37="",0,_xlfn.XLOOKUP(E37&amp;U37&amp;F37,tab_act&amp;tab_mod&amp;tab_act1,tab_csb2)*V37*T37/MGMT)</f>
        <v>0</v>
      </c>
      <c r="AG37" s="133" cm="1">
        <f t="array" ref="AG37">IF(U37="",0,_xlfn.XLOOKUP(E37&amp;U37&amp;F37,tab_act&amp;tab_mod&amp;tab_act1,tab_pdoz)*V37*T37/MGMT)</f>
        <v>0</v>
      </c>
      <c r="AH37" s="133" cm="1">
        <f t="array" ref="AH37">IF(U37="",0,_xlfn.XLOOKUP(E37&amp;U37&amp;F37,tab_act&amp;tab_mod&amp;tab_act1,tab_lns)*V37*T37/MGMT)</f>
        <v>0</v>
      </c>
      <c r="AI37" s="47">
        <f t="shared" si="3"/>
        <v>1.02366</v>
      </c>
      <c r="AJ37" s="48">
        <f t="shared" si="8"/>
        <v>0</v>
      </c>
      <c r="AK37" s="49" cm="1">
        <f t="array" ref="AK37">IF(U37="",0,_xlfn.XLOOKUP(E37&amp;U37&amp;F37,tab_act&amp;tab_mod&amp;tab_act1,tab_cash)*V37*T37)</f>
        <v>0</v>
      </c>
      <c r="AN37" s="140" t="str">
        <f t="shared" si="5"/>
        <v>A</v>
      </c>
    </row>
    <row r="38" spans="2:40" x14ac:dyDescent="0.35">
      <c r="B38" s="50" t="s">
        <v>129</v>
      </c>
      <c r="C38" s="44">
        <v>2023</v>
      </c>
      <c r="D38" s="44" t="s">
        <v>100</v>
      </c>
      <c r="E38" s="15" t="s">
        <v>39</v>
      </c>
      <c r="F38" s="142" t="s">
        <v>117</v>
      </c>
      <c r="G38" s="15" t="s">
        <v>159</v>
      </c>
      <c r="H38" s="44"/>
      <c r="I38" s="15" t="s">
        <v>94</v>
      </c>
      <c r="J38" s="15" t="s">
        <v>94</v>
      </c>
      <c r="K38" s="15" t="s">
        <v>160</v>
      </c>
      <c r="L38" s="15" t="s">
        <v>95</v>
      </c>
      <c r="M38" s="15" t="s">
        <v>94</v>
      </c>
      <c r="N38" s="15" t="s">
        <v>67</v>
      </c>
      <c r="O38" s="15" t="s">
        <v>182</v>
      </c>
      <c r="P38" s="15" t="s">
        <v>196</v>
      </c>
      <c r="Q38" s="135"/>
      <c r="R38" s="42">
        <v>502.7</v>
      </c>
      <c r="S38" s="42">
        <f t="shared" si="6"/>
        <v>502.7</v>
      </c>
      <c r="T38" s="43">
        <f t="shared" si="7"/>
        <v>502.7</v>
      </c>
      <c r="U38" s="15" t="s">
        <v>41</v>
      </c>
      <c r="V38" s="150">
        <v>30</v>
      </c>
      <c r="W38" s="133" cm="1">
        <f t="array" ref="W38">IF(U38="",0,_xlfn.XLOOKUP(E38&amp;U38&amp;F38,tab_act&amp;tab_mod&amp;tab_act1,tab_riz)*V38*T38/MGMT)</f>
        <v>0</v>
      </c>
      <c r="X38" s="43" cm="1">
        <f t="array" ref="X38">IF(U38="",0,_xlfn.XLOOKUP(E38&amp;U38&amp;F38,tab_act&amp;tab_mod&amp;tab_act1,tab_mc)*V38*T38/MGMT)</f>
        <v>0</v>
      </c>
      <c r="Y38" s="43" cm="1">
        <f t="array" ref="Y38">IF(U38="",0,_xlfn.XLOOKUP(E38&amp;U38&amp;F38,tab_act&amp;tab_mod&amp;tab_act1,tab_sor)*V38*T38/MGMT)</f>
        <v>0</v>
      </c>
      <c r="Z38" s="43" cm="1">
        <f t="array" ref="Z38">IF(U38="",0,_xlfn.XLOOKUP(E38&amp;U38&amp;F38,tab_act&amp;tab_mod&amp;tab_act1,tab_mg)*V38*T38/MGMT)</f>
        <v>0</v>
      </c>
      <c r="AA38" s="133" cm="1">
        <f t="array" ref="AA38">IF(U38="",0,IF(U38="hybrid-Sch",_xlfn.XLOOKUP(E38&amp;U38&amp;F38,tab_act&amp;tab_mod&amp;tab_act1,tab_ls)*SchLS*T38/MGMT,_xlfn.XLOOKUP(E38&amp;U38&amp;F38,tab_act&amp;tab_mod&amp;tab_act1,tab_ls)*V38*T38/MGMT))</f>
        <v>0</v>
      </c>
      <c r="AB38" s="133" cm="1">
        <f t="array" ref="AB38">IF(U38="",0,_xlfn.XLOOKUP(E38&amp;U38&amp;F38,tab_act&amp;tab_mod&amp;tab_act1,tab_hu)*V38*T38/MGMT)</f>
        <v>0.30162</v>
      </c>
      <c r="AC38" s="133" cm="1">
        <f t="array" ref="AC38">IF(U38="",0,_xlfn.XLOOKUP(E38&amp;U38&amp;F38,tab_act&amp;tab_mod&amp;tab_act1,tab_mnp)*V38*T38/MGMT)</f>
        <v>0</v>
      </c>
      <c r="AD38" s="133" cm="1">
        <f t="array" ref="AD38">IF(U38="",0,_xlfn.XLOOKUP(E38&amp;U38&amp;F38,tab_act&amp;tab_mod&amp;tab_act1,tab_Psup)*V38*T38/MGMT)</f>
        <v>0</v>
      </c>
      <c r="AE38" s="133" cm="1">
        <f t="array" ref="AE38">IF(U38="",0,_xlfn.XLOOKUP(E38&amp;U38&amp;F38,tab_act&amp;tab_mod&amp;tab_act1,tab_csb1)*V38*T38/MGMT)</f>
        <v>3.0162</v>
      </c>
      <c r="AF38" s="133" cm="1">
        <f t="array" ref="AF38">IF(U38="",0,_xlfn.XLOOKUP(E38&amp;U38&amp;F38,tab_act&amp;tab_mod&amp;tab_act1,tab_csb2)*V38*T38/MGMT)</f>
        <v>0</v>
      </c>
      <c r="AG38" s="133" cm="1">
        <f t="array" ref="AG38">IF(U38="",0,_xlfn.XLOOKUP(E38&amp;U38&amp;F38,tab_act&amp;tab_mod&amp;tab_act1,tab_pdoz)*V38*T38/MGMT)</f>
        <v>0</v>
      </c>
      <c r="AH38" s="133" cm="1">
        <f t="array" ref="AH38">IF(U38="",0,_xlfn.XLOOKUP(E38&amp;U38&amp;F38,tab_act&amp;tab_mod&amp;tab_act1,tab_lns)*V38*T38/MGMT)</f>
        <v>0</v>
      </c>
      <c r="AI38" s="47">
        <f t="shared" si="3"/>
        <v>3.3178200000000002</v>
      </c>
      <c r="AJ38" s="48">
        <f t="shared" si="8"/>
        <v>0</v>
      </c>
      <c r="AK38" s="49" cm="1">
        <f t="array" ref="AK38">IF(U38="",0,_xlfn.XLOOKUP(E38&amp;U38&amp;F38,tab_act&amp;tab_mod&amp;tab_act1,tab_cash)*V38*T38)</f>
        <v>0</v>
      </c>
      <c r="AN38" s="140" t="str">
        <f t="shared" si="5"/>
        <v>A</v>
      </c>
    </row>
    <row r="39" spans="2:40" x14ac:dyDescent="0.35">
      <c r="B39" s="50" t="s">
        <v>129</v>
      </c>
      <c r="C39" s="44">
        <v>2023</v>
      </c>
      <c r="D39" s="44" t="s">
        <v>100</v>
      </c>
      <c r="E39" s="15" t="s">
        <v>39</v>
      </c>
      <c r="F39" s="142" t="s">
        <v>117</v>
      </c>
      <c r="G39" s="15" t="s">
        <v>159</v>
      </c>
      <c r="H39" s="44"/>
      <c r="I39" s="15" t="s">
        <v>94</v>
      </c>
      <c r="J39" s="15" t="s">
        <v>94</v>
      </c>
      <c r="K39" s="15" t="s">
        <v>160</v>
      </c>
      <c r="L39" s="15" t="s">
        <v>95</v>
      </c>
      <c r="M39" s="15" t="s">
        <v>94</v>
      </c>
      <c r="N39" s="15" t="s">
        <v>67</v>
      </c>
      <c r="O39" s="15" t="s">
        <v>182</v>
      </c>
      <c r="P39" s="15" t="s">
        <v>197</v>
      </c>
      <c r="Q39" s="135"/>
      <c r="R39" s="42">
        <v>63.8</v>
      </c>
      <c r="S39" s="42">
        <f t="shared" si="6"/>
        <v>63.8</v>
      </c>
      <c r="T39" s="43">
        <f t="shared" si="7"/>
        <v>63.8</v>
      </c>
      <c r="U39" s="15" t="s">
        <v>41</v>
      </c>
      <c r="V39" s="150">
        <v>30</v>
      </c>
      <c r="W39" s="133" cm="1">
        <f t="array" ref="W39">IF(U39="",0,_xlfn.XLOOKUP(E39&amp;U39&amp;F39,tab_act&amp;tab_mod&amp;tab_act1,tab_riz)*V39*T39/MGMT)</f>
        <v>0</v>
      </c>
      <c r="X39" s="43" cm="1">
        <f t="array" ref="X39">IF(U39="",0,_xlfn.XLOOKUP(E39&amp;U39&amp;F39,tab_act&amp;tab_mod&amp;tab_act1,tab_mc)*V39*T39/MGMT)</f>
        <v>0</v>
      </c>
      <c r="Y39" s="43" cm="1">
        <f t="array" ref="Y39">IF(U39="",0,_xlfn.XLOOKUP(E39&amp;U39&amp;F39,tab_act&amp;tab_mod&amp;tab_act1,tab_sor)*V39*T39/MGMT)</f>
        <v>0</v>
      </c>
      <c r="Z39" s="43" cm="1">
        <f t="array" ref="Z39">IF(U39="",0,_xlfn.XLOOKUP(E39&amp;U39&amp;F39,tab_act&amp;tab_mod&amp;tab_act1,tab_mg)*V39*T39/MGMT)</f>
        <v>0</v>
      </c>
      <c r="AA39" s="133" cm="1">
        <f t="array" ref="AA39">IF(U39="",0,IF(U39="hybrid-Sch",_xlfn.XLOOKUP(E39&amp;U39&amp;F39,tab_act&amp;tab_mod&amp;tab_act1,tab_ls)*SchLS*T39/MGMT,_xlfn.XLOOKUP(E39&amp;U39&amp;F39,tab_act&amp;tab_mod&amp;tab_act1,tab_ls)*V39*T39/MGMT))</f>
        <v>0</v>
      </c>
      <c r="AB39" s="133" cm="1">
        <f t="array" ref="AB39">IF(U39="",0,_xlfn.XLOOKUP(E39&amp;U39&amp;F39,tab_act&amp;tab_mod&amp;tab_act1,tab_hu)*V39*T39/MGMT)</f>
        <v>3.8280000000000002E-2</v>
      </c>
      <c r="AC39" s="133" cm="1">
        <f t="array" ref="AC39">IF(U39="",0,_xlfn.XLOOKUP(E39&amp;U39&amp;F39,tab_act&amp;tab_mod&amp;tab_act1,tab_mnp)*V39*T39/MGMT)</f>
        <v>0</v>
      </c>
      <c r="AD39" s="133" cm="1">
        <f t="array" ref="AD39">IF(U39="",0,_xlfn.XLOOKUP(E39&amp;U39&amp;F39,tab_act&amp;tab_mod&amp;tab_act1,tab_Psup)*V39*T39/MGMT)</f>
        <v>0</v>
      </c>
      <c r="AE39" s="133" cm="1">
        <f t="array" ref="AE39">IF(U39="",0,_xlfn.XLOOKUP(E39&amp;U39&amp;F39,tab_act&amp;tab_mod&amp;tab_act1,tab_csb1)*V39*T39/MGMT)</f>
        <v>0.38279999999999997</v>
      </c>
      <c r="AF39" s="133" cm="1">
        <f t="array" ref="AF39">IF(U39="",0,_xlfn.XLOOKUP(E39&amp;U39&amp;F39,tab_act&amp;tab_mod&amp;tab_act1,tab_csb2)*V39*T39/MGMT)</f>
        <v>0</v>
      </c>
      <c r="AG39" s="133" cm="1">
        <f t="array" ref="AG39">IF(U39="",0,_xlfn.XLOOKUP(E39&amp;U39&amp;F39,tab_act&amp;tab_mod&amp;tab_act1,tab_pdoz)*V39*T39/MGMT)</f>
        <v>0</v>
      </c>
      <c r="AH39" s="133" cm="1">
        <f t="array" ref="AH39">IF(U39="",0,_xlfn.XLOOKUP(E39&amp;U39&amp;F39,tab_act&amp;tab_mod&amp;tab_act1,tab_lns)*V39*T39/MGMT)</f>
        <v>0</v>
      </c>
      <c r="AI39" s="47">
        <f t="shared" si="3"/>
        <v>0.42107999999999995</v>
      </c>
      <c r="AJ39" s="48">
        <f t="shared" si="8"/>
        <v>0</v>
      </c>
      <c r="AK39" s="49" cm="1">
        <f t="array" ref="AK39">IF(U39="",0,_xlfn.XLOOKUP(E39&amp;U39&amp;F39,tab_act&amp;tab_mod&amp;tab_act1,tab_cash)*V39*T39)</f>
        <v>0</v>
      </c>
      <c r="AN39" s="140" t="str">
        <f t="shared" si="5"/>
        <v>A</v>
      </c>
    </row>
    <row r="40" spans="2:40" x14ac:dyDescent="0.35">
      <c r="B40" s="50" t="s">
        <v>129</v>
      </c>
      <c r="C40" s="44">
        <v>2023</v>
      </c>
      <c r="D40" s="44" t="s">
        <v>100</v>
      </c>
      <c r="E40" s="15" t="s">
        <v>39</v>
      </c>
      <c r="F40" s="142" t="s">
        <v>117</v>
      </c>
      <c r="G40" s="15" t="s">
        <v>159</v>
      </c>
      <c r="H40" s="44"/>
      <c r="I40" s="15" t="s">
        <v>94</v>
      </c>
      <c r="J40" s="15" t="s">
        <v>94</v>
      </c>
      <c r="K40" s="15" t="s">
        <v>160</v>
      </c>
      <c r="L40" s="15" t="s">
        <v>95</v>
      </c>
      <c r="M40" s="15" t="s">
        <v>94</v>
      </c>
      <c r="N40" s="15" t="s">
        <v>67</v>
      </c>
      <c r="O40" s="15" t="s">
        <v>182</v>
      </c>
      <c r="P40" s="15" t="s">
        <v>198</v>
      </c>
      <c r="Q40" s="135"/>
      <c r="R40" s="42">
        <v>35.200000000000003</v>
      </c>
      <c r="S40" s="42">
        <f t="shared" si="6"/>
        <v>35.200000000000003</v>
      </c>
      <c r="T40" s="43">
        <f t="shared" si="7"/>
        <v>35.200000000000003</v>
      </c>
      <c r="U40" s="15" t="s">
        <v>41</v>
      </c>
      <c r="V40" s="150">
        <v>30</v>
      </c>
      <c r="W40" s="133" cm="1">
        <f t="array" ref="W40">IF(U40="",0,_xlfn.XLOOKUP(E40&amp;U40&amp;F40,tab_act&amp;tab_mod&amp;tab_act1,tab_riz)*V40*T40/MGMT)</f>
        <v>0</v>
      </c>
      <c r="X40" s="43" cm="1">
        <f t="array" ref="X40">IF(U40="",0,_xlfn.XLOOKUP(E40&amp;U40&amp;F40,tab_act&amp;tab_mod&amp;tab_act1,tab_mc)*V40*T40/MGMT)</f>
        <v>0</v>
      </c>
      <c r="Y40" s="43" cm="1">
        <f t="array" ref="Y40">IF(U40="",0,_xlfn.XLOOKUP(E40&amp;U40&amp;F40,tab_act&amp;tab_mod&amp;tab_act1,tab_sor)*V40*T40/MGMT)</f>
        <v>0</v>
      </c>
      <c r="Z40" s="43" cm="1">
        <f t="array" ref="Z40">IF(U40="",0,_xlfn.XLOOKUP(E40&amp;U40&amp;F40,tab_act&amp;tab_mod&amp;tab_act1,tab_mg)*V40*T40/MGMT)</f>
        <v>0</v>
      </c>
      <c r="AA40" s="133" cm="1">
        <f t="array" ref="AA40">IF(U40="",0,IF(U40="hybrid-Sch",_xlfn.XLOOKUP(E40&amp;U40&amp;F40,tab_act&amp;tab_mod&amp;tab_act1,tab_ls)*SchLS*T40/MGMT,_xlfn.XLOOKUP(E40&amp;U40&amp;F40,tab_act&amp;tab_mod&amp;tab_act1,tab_ls)*V40*T40/MGMT))</f>
        <v>0</v>
      </c>
      <c r="AB40" s="133" cm="1">
        <f t="array" ref="AB40">IF(U40="",0,_xlfn.XLOOKUP(E40&amp;U40&amp;F40,tab_act&amp;tab_mod&amp;tab_act1,tab_hu)*V40*T40/MGMT)</f>
        <v>2.112E-2</v>
      </c>
      <c r="AC40" s="133" cm="1">
        <f t="array" ref="AC40">IF(U40="",0,_xlfn.XLOOKUP(E40&amp;U40&amp;F40,tab_act&amp;tab_mod&amp;tab_act1,tab_mnp)*V40*T40/MGMT)</f>
        <v>0</v>
      </c>
      <c r="AD40" s="133" cm="1">
        <f t="array" ref="AD40">IF(U40="",0,_xlfn.XLOOKUP(E40&amp;U40&amp;F40,tab_act&amp;tab_mod&amp;tab_act1,tab_Psup)*V40*T40/MGMT)</f>
        <v>0</v>
      </c>
      <c r="AE40" s="133" cm="1">
        <f t="array" ref="AE40">IF(U40="",0,_xlfn.XLOOKUP(E40&amp;U40&amp;F40,tab_act&amp;tab_mod&amp;tab_act1,tab_csb1)*V40*T40/MGMT)</f>
        <v>0.21120000000000003</v>
      </c>
      <c r="AF40" s="133" cm="1">
        <f t="array" ref="AF40">IF(U40="",0,_xlfn.XLOOKUP(E40&amp;U40&amp;F40,tab_act&amp;tab_mod&amp;tab_act1,tab_csb2)*V40*T40/MGMT)</f>
        <v>0</v>
      </c>
      <c r="AG40" s="133" cm="1">
        <f t="array" ref="AG40">IF(U40="",0,_xlfn.XLOOKUP(E40&amp;U40&amp;F40,tab_act&amp;tab_mod&amp;tab_act1,tab_pdoz)*V40*T40/MGMT)</f>
        <v>0</v>
      </c>
      <c r="AH40" s="133" cm="1">
        <f t="array" ref="AH40">IF(U40="",0,_xlfn.XLOOKUP(E40&amp;U40&amp;F40,tab_act&amp;tab_mod&amp;tab_act1,tab_lns)*V40*T40/MGMT)</f>
        <v>0</v>
      </c>
      <c r="AI40" s="47">
        <f t="shared" si="3"/>
        <v>0.23232000000000003</v>
      </c>
      <c r="AJ40" s="48">
        <f t="shared" si="8"/>
        <v>0</v>
      </c>
      <c r="AK40" s="49" cm="1">
        <f t="array" ref="AK40">IF(U40="",0,_xlfn.XLOOKUP(E40&amp;U40&amp;F40,tab_act&amp;tab_mod&amp;tab_act1,tab_cash)*V40*T40)</f>
        <v>0</v>
      </c>
      <c r="AN40" s="140" t="str">
        <f t="shared" si="5"/>
        <v>A</v>
      </c>
    </row>
    <row r="41" spans="2:40" x14ac:dyDescent="0.35">
      <c r="B41" s="50" t="s">
        <v>129</v>
      </c>
      <c r="C41" s="44">
        <v>2023</v>
      </c>
      <c r="D41" s="44" t="s">
        <v>100</v>
      </c>
      <c r="E41" s="15" t="s">
        <v>39</v>
      </c>
      <c r="F41" s="142" t="s">
        <v>117</v>
      </c>
      <c r="G41" s="15" t="s">
        <v>159</v>
      </c>
      <c r="H41" s="44"/>
      <c r="I41" s="15" t="s">
        <v>94</v>
      </c>
      <c r="J41" s="15" t="s">
        <v>94</v>
      </c>
      <c r="K41" s="15" t="s">
        <v>160</v>
      </c>
      <c r="L41" s="15" t="s">
        <v>95</v>
      </c>
      <c r="M41" s="15" t="s">
        <v>94</v>
      </c>
      <c r="N41" s="15" t="s">
        <v>67</v>
      </c>
      <c r="O41" s="15" t="s">
        <v>182</v>
      </c>
      <c r="P41" s="15" t="s">
        <v>199</v>
      </c>
      <c r="Q41" s="135"/>
      <c r="R41" s="42">
        <v>213.4</v>
      </c>
      <c r="S41" s="42">
        <f t="shared" si="6"/>
        <v>213.4</v>
      </c>
      <c r="T41" s="43">
        <f t="shared" si="7"/>
        <v>213.4</v>
      </c>
      <c r="U41" s="15" t="s">
        <v>41</v>
      </c>
      <c r="V41" s="150">
        <v>30</v>
      </c>
      <c r="W41" s="133" cm="1">
        <f t="array" ref="W41">IF(U41="",0,_xlfn.XLOOKUP(E41&amp;U41&amp;F41,tab_act&amp;tab_mod&amp;tab_act1,tab_riz)*V41*T41/MGMT)</f>
        <v>0</v>
      </c>
      <c r="X41" s="43" cm="1">
        <f t="array" ref="X41">IF(U41="",0,_xlfn.XLOOKUP(E41&amp;U41&amp;F41,tab_act&amp;tab_mod&amp;tab_act1,tab_mc)*V41*T41/MGMT)</f>
        <v>0</v>
      </c>
      <c r="Y41" s="43" cm="1">
        <f t="array" ref="Y41">IF(U41="",0,_xlfn.XLOOKUP(E41&amp;U41&amp;F41,tab_act&amp;tab_mod&amp;tab_act1,tab_sor)*V41*T41/MGMT)</f>
        <v>0</v>
      </c>
      <c r="Z41" s="43" cm="1">
        <f t="array" ref="Z41">IF(U41="",0,_xlfn.XLOOKUP(E41&amp;U41&amp;F41,tab_act&amp;tab_mod&amp;tab_act1,tab_mg)*V41*T41/MGMT)</f>
        <v>0</v>
      </c>
      <c r="AA41" s="133" cm="1">
        <f t="array" ref="AA41">IF(U41="",0,IF(U41="hybrid-Sch",_xlfn.XLOOKUP(E41&amp;U41&amp;F41,tab_act&amp;tab_mod&amp;tab_act1,tab_ls)*SchLS*T41/MGMT,_xlfn.XLOOKUP(E41&amp;U41&amp;F41,tab_act&amp;tab_mod&amp;tab_act1,tab_ls)*V41*T41/MGMT))</f>
        <v>0</v>
      </c>
      <c r="AB41" s="133" cm="1">
        <f t="array" ref="AB41">IF(U41="",0,_xlfn.XLOOKUP(E41&amp;U41&amp;F41,tab_act&amp;tab_mod&amp;tab_act1,tab_hu)*V41*T41/MGMT)</f>
        <v>0.12803999999999999</v>
      </c>
      <c r="AC41" s="133" cm="1">
        <f t="array" ref="AC41">IF(U41="",0,_xlfn.XLOOKUP(E41&amp;U41&amp;F41,tab_act&amp;tab_mod&amp;tab_act1,tab_mnp)*V41*T41/MGMT)</f>
        <v>0</v>
      </c>
      <c r="AD41" s="133" cm="1">
        <f t="array" ref="AD41">IF(U41="",0,_xlfn.XLOOKUP(E41&amp;U41&amp;F41,tab_act&amp;tab_mod&amp;tab_act1,tab_Psup)*V41*T41/MGMT)</f>
        <v>0</v>
      </c>
      <c r="AE41" s="133" cm="1">
        <f t="array" ref="AE41">IF(U41="",0,_xlfn.XLOOKUP(E41&amp;U41&amp;F41,tab_act&amp;tab_mod&amp;tab_act1,tab_csb1)*V41*T41/MGMT)</f>
        <v>1.2804</v>
      </c>
      <c r="AF41" s="133" cm="1">
        <f t="array" ref="AF41">IF(U41="",0,_xlfn.XLOOKUP(E41&amp;U41&amp;F41,tab_act&amp;tab_mod&amp;tab_act1,tab_csb2)*V41*T41/MGMT)</f>
        <v>0</v>
      </c>
      <c r="AG41" s="133" cm="1">
        <f t="array" ref="AG41">IF(U41="",0,_xlfn.XLOOKUP(E41&amp;U41&amp;F41,tab_act&amp;tab_mod&amp;tab_act1,tab_pdoz)*V41*T41/MGMT)</f>
        <v>0</v>
      </c>
      <c r="AH41" s="133" cm="1">
        <f t="array" ref="AH41">IF(U41="",0,_xlfn.XLOOKUP(E41&amp;U41&amp;F41,tab_act&amp;tab_mod&amp;tab_act1,tab_lns)*V41*T41/MGMT)</f>
        <v>0</v>
      </c>
      <c r="AI41" s="47">
        <f t="shared" si="3"/>
        <v>1.4084399999999999</v>
      </c>
      <c r="AJ41" s="48">
        <f t="shared" si="8"/>
        <v>0</v>
      </c>
      <c r="AK41" s="49" cm="1">
        <f t="array" ref="AK41">IF(U41="",0,_xlfn.XLOOKUP(E41&amp;U41&amp;F41,tab_act&amp;tab_mod&amp;tab_act1,tab_cash)*V41*T41)</f>
        <v>0</v>
      </c>
      <c r="AN41" s="140" t="str">
        <f t="shared" si="5"/>
        <v>A</v>
      </c>
    </row>
    <row r="42" spans="2:40" x14ac:dyDescent="0.35">
      <c r="B42" s="50" t="s">
        <v>129</v>
      </c>
      <c r="C42" s="44">
        <v>2023</v>
      </c>
      <c r="D42" s="44" t="s">
        <v>100</v>
      </c>
      <c r="E42" s="15" t="s">
        <v>39</v>
      </c>
      <c r="F42" s="142" t="s">
        <v>117</v>
      </c>
      <c r="G42" s="15" t="s">
        <v>159</v>
      </c>
      <c r="H42" s="44"/>
      <c r="I42" s="15" t="s">
        <v>94</v>
      </c>
      <c r="J42" s="15" t="s">
        <v>94</v>
      </c>
      <c r="K42" s="15" t="s">
        <v>160</v>
      </c>
      <c r="L42" s="15" t="s">
        <v>95</v>
      </c>
      <c r="M42" s="15" t="s">
        <v>94</v>
      </c>
      <c r="N42" s="15" t="s">
        <v>67</v>
      </c>
      <c r="O42" s="15" t="s">
        <v>200</v>
      </c>
      <c r="P42" s="15" t="s">
        <v>201</v>
      </c>
      <c r="Q42" s="135"/>
      <c r="R42" s="42">
        <v>394.9</v>
      </c>
      <c r="S42" s="42">
        <f t="shared" si="6"/>
        <v>394.9</v>
      </c>
      <c r="T42" s="43">
        <f t="shared" si="7"/>
        <v>394.9</v>
      </c>
      <c r="U42" s="15" t="s">
        <v>41</v>
      </c>
      <c r="V42" s="150">
        <v>30</v>
      </c>
      <c r="W42" s="133" cm="1">
        <f t="array" ref="W42">IF(U42="",0,_xlfn.XLOOKUP(E42&amp;U42&amp;F42,tab_act&amp;tab_mod&amp;tab_act1,tab_riz)*V42*T42/MGMT)</f>
        <v>0</v>
      </c>
      <c r="X42" s="43" cm="1">
        <f t="array" ref="X42">IF(U42="",0,_xlfn.XLOOKUP(E42&amp;U42&amp;F42,tab_act&amp;tab_mod&amp;tab_act1,tab_mc)*V42*T42/MGMT)</f>
        <v>0</v>
      </c>
      <c r="Y42" s="43" cm="1">
        <f t="array" ref="Y42">IF(U42="",0,_xlfn.XLOOKUP(E42&amp;U42&amp;F42,tab_act&amp;tab_mod&amp;tab_act1,tab_sor)*V42*T42/MGMT)</f>
        <v>0</v>
      </c>
      <c r="Z42" s="43" cm="1">
        <f t="array" ref="Z42">IF(U42="",0,_xlfn.XLOOKUP(E42&amp;U42&amp;F42,tab_act&amp;tab_mod&amp;tab_act1,tab_mg)*V42*T42/MGMT)</f>
        <v>0</v>
      </c>
      <c r="AA42" s="133" cm="1">
        <f t="array" ref="AA42">IF(U42="",0,IF(U42="hybrid-Sch",_xlfn.XLOOKUP(E42&amp;U42&amp;F42,tab_act&amp;tab_mod&amp;tab_act1,tab_ls)*SchLS*T42/MGMT,_xlfn.XLOOKUP(E42&amp;U42&amp;F42,tab_act&amp;tab_mod&amp;tab_act1,tab_ls)*V42*T42/MGMT))</f>
        <v>0</v>
      </c>
      <c r="AB42" s="133" cm="1">
        <f t="array" ref="AB42">IF(U42="",0,_xlfn.XLOOKUP(E42&amp;U42&amp;F42,tab_act&amp;tab_mod&amp;tab_act1,tab_hu)*V42*T42/MGMT)</f>
        <v>0.23694000000000001</v>
      </c>
      <c r="AC42" s="133" cm="1">
        <f t="array" ref="AC42">IF(U42="",0,_xlfn.XLOOKUP(E42&amp;U42&amp;F42,tab_act&amp;tab_mod&amp;tab_act1,tab_mnp)*V42*T42/MGMT)</f>
        <v>0</v>
      </c>
      <c r="AD42" s="133" cm="1">
        <f t="array" ref="AD42">IF(U42="",0,_xlfn.XLOOKUP(E42&amp;U42&amp;F42,tab_act&amp;tab_mod&amp;tab_act1,tab_Psup)*V42*T42/MGMT)</f>
        <v>0</v>
      </c>
      <c r="AE42" s="133" cm="1">
        <f t="array" ref="AE42">IF(U42="",0,_xlfn.XLOOKUP(E42&amp;U42&amp;F42,tab_act&amp;tab_mod&amp;tab_act1,tab_csb1)*V42*T42/MGMT)</f>
        <v>2.3694000000000002</v>
      </c>
      <c r="AF42" s="133" cm="1">
        <f t="array" ref="AF42">IF(U42="",0,_xlfn.XLOOKUP(E42&amp;U42&amp;F42,tab_act&amp;tab_mod&amp;tab_act1,tab_csb2)*V42*T42/MGMT)</f>
        <v>0</v>
      </c>
      <c r="AG42" s="133" cm="1">
        <f t="array" ref="AG42">IF(U42="",0,_xlfn.XLOOKUP(E42&amp;U42&amp;F42,tab_act&amp;tab_mod&amp;tab_act1,tab_pdoz)*V42*T42/MGMT)</f>
        <v>0</v>
      </c>
      <c r="AH42" s="133" cm="1">
        <f t="array" ref="AH42">IF(U42="",0,_xlfn.XLOOKUP(E42&amp;U42&amp;F42,tab_act&amp;tab_mod&amp;tab_act1,tab_lns)*V42*T42/MGMT)</f>
        <v>0</v>
      </c>
      <c r="AI42" s="47">
        <f t="shared" si="3"/>
        <v>2.6063400000000003</v>
      </c>
      <c r="AJ42" s="48">
        <f t="shared" si="8"/>
        <v>0</v>
      </c>
      <c r="AK42" s="49" cm="1">
        <f t="array" ref="AK42">IF(U42="",0,_xlfn.XLOOKUP(E42&amp;U42&amp;F42,tab_act&amp;tab_mod&amp;tab_act1,tab_cash)*V42*T42)</f>
        <v>0</v>
      </c>
      <c r="AN42" s="140" t="str">
        <f t="shared" si="5"/>
        <v>A</v>
      </c>
    </row>
    <row r="43" spans="2:40" x14ac:dyDescent="0.35">
      <c r="B43" s="50" t="s">
        <v>129</v>
      </c>
      <c r="C43" s="44">
        <v>2023</v>
      </c>
      <c r="D43" s="44" t="s">
        <v>100</v>
      </c>
      <c r="E43" s="15" t="s">
        <v>39</v>
      </c>
      <c r="F43" s="142" t="s">
        <v>117</v>
      </c>
      <c r="G43" s="15" t="s">
        <v>159</v>
      </c>
      <c r="H43" s="44"/>
      <c r="I43" s="15" t="s">
        <v>94</v>
      </c>
      <c r="J43" s="15" t="s">
        <v>94</v>
      </c>
      <c r="K43" s="15" t="s">
        <v>160</v>
      </c>
      <c r="L43" s="15" t="s">
        <v>95</v>
      </c>
      <c r="M43" s="15" t="s">
        <v>94</v>
      </c>
      <c r="N43" s="15" t="s">
        <v>67</v>
      </c>
      <c r="O43" s="15" t="s">
        <v>200</v>
      </c>
      <c r="P43" s="15" t="s">
        <v>202</v>
      </c>
      <c r="Q43" s="135"/>
      <c r="R43" s="42">
        <v>325.60000000000002</v>
      </c>
      <c r="S43" s="42">
        <f t="shared" si="6"/>
        <v>325.60000000000002</v>
      </c>
      <c r="T43" s="43">
        <f t="shared" si="7"/>
        <v>325.60000000000002</v>
      </c>
      <c r="U43" s="15" t="s">
        <v>41</v>
      </c>
      <c r="V43" s="150">
        <v>30</v>
      </c>
      <c r="W43" s="133" cm="1">
        <f t="array" ref="W43">IF(U43="",0,_xlfn.XLOOKUP(E43&amp;U43&amp;F43,tab_act&amp;tab_mod&amp;tab_act1,tab_riz)*V43*T43/MGMT)</f>
        <v>0</v>
      </c>
      <c r="X43" s="43" cm="1">
        <f t="array" ref="X43">IF(U43="",0,_xlfn.XLOOKUP(E43&amp;U43&amp;F43,tab_act&amp;tab_mod&amp;tab_act1,tab_mc)*V43*T43/MGMT)</f>
        <v>0</v>
      </c>
      <c r="Y43" s="43" cm="1">
        <f t="array" ref="Y43">IF(U43="",0,_xlfn.XLOOKUP(E43&amp;U43&amp;F43,tab_act&amp;tab_mod&amp;tab_act1,tab_sor)*V43*T43/MGMT)</f>
        <v>0</v>
      </c>
      <c r="Z43" s="43" cm="1">
        <f t="array" ref="Z43">IF(U43="",0,_xlfn.XLOOKUP(E43&amp;U43&amp;F43,tab_act&amp;tab_mod&amp;tab_act1,tab_mg)*V43*T43/MGMT)</f>
        <v>0</v>
      </c>
      <c r="AA43" s="133" cm="1">
        <f t="array" ref="AA43">IF(U43="",0,IF(U43="hybrid-Sch",_xlfn.XLOOKUP(E43&amp;U43&amp;F43,tab_act&amp;tab_mod&amp;tab_act1,tab_ls)*SchLS*T43/MGMT,_xlfn.XLOOKUP(E43&amp;U43&amp;F43,tab_act&amp;tab_mod&amp;tab_act1,tab_ls)*V43*T43/MGMT))</f>
        <v>0</v>
      </c>
      <c r="AB43" s="133" cm="1">
        <f t="array" ref="AB43">IF(U43="",0,_xlfn.XLOOKUP(E43&amp;U43&amp;F43,tab_act&amp;tab_mod&amp;tab_act1,tab_hu)*V43*T43/MGMT)</f>
        <v>0.19536000000000001</v>
      </c>
      <c r="AC43" s="133" cm="1">
        <f t="array" ref="AC43">IF(U43="",0,_xlfn.XLOOKUP(E43&amp;U43&amp;F43,tab_act&amp;tab_mod&amp;tab_act1,tab_mnp)*V43*T43/MGMT)</f>
        <v>0</v>
      </c>
      <c r="AD43" s="133" cm="1">
        <f t="array" ref="AD43">IF(U43="",0,_xlfn.XLOOKUP(E43&amp;U43&amp;F43,tab_act&amp;tab_mod&amp;tab_act1,tab_Psup)*V43*T43/MGMT)</f>
        <v>0</v>
      </c>
      <c r="AE43" s="133" cm="1">
        <f t="array" ref="AE43">IF(U43="",0,_xlfn.XLOOKUP(E43&amp;U43&amp;F43,tab_act&amp;tab_mod&amp;tab_act1,tab_csb1)*V43*T43/MGMT)</f>
        <v>1.9536000000000002</v>
      </c>
      <c r="AF43" s="133" cm="1">
        <f t="array" ref="AF43">IF(U43="",0,_xlfn.XLOOKUP(E43&amp;U43&amp;F43,tab_act&amp;tab_mod&amp;tab_act1,tab_csb2)*V43*T43/MGMT)</f>
        <v>0</v>
      </c>
      <c r="AG43" s="133" cm="1">
        <f t="array" ref="AG43">IF(U43="",0,_xlfn.XLOOKUP(E43&amp;U43&amp;F43,tab_act&amp;tab_mod&amp;tab_act1,tab_pdoz)*V43*T43/MGMT)</f>
        <v>0</v>
      </c>
      <c r="AH43" s="133" cm="1">
        <f t="array" ref="AH43">IF(U43="",0,_xlfn.XLOOKUP(E43&amp;U43&amp;F43,tab_act&amp;tab_mod&amp;tab_act1,tab_lns)*V43*T43/MGMT)</f>
        <v>0</v>
      </c>
      <c r="AI43" s="47">
        <f t="shared" si="3"/>
        <v>2.1489600000000002</v>
      </c>
      <c r="AJ43" s="48">
        <f t="shared" si="8"/>
        <v>0</v>
      </c>
      <c r="AK43" s="49" cm="1">
        <f t="array" ref="AK43">IF(U43="",0,_xlfn.XLOOKUP(E43&amp;U43&amp;F43,tab_act&amp;tab_mod&amp;tab_act1,tab_cash)*V43*T43)</f>
        <v>0</v>
      </c>
      <c r="AN43" s="140" t="str">
        <f t="shared" si="5"/>
        <v>A</v>
      </c>
    </row>
    <row r="44" spans="2:40" x14ac:dyDescent="0.35">
      <c r="B44" s="50" t="s">
        <v>129</v>
      </c>
      <c r="C44" s="44">
        <v>2023</v>
      </c>
      <c r="D44" s="44" t="s">
        <v>100</v>
      </c>
      <c r="E44" s="15" t="s">
        <v>39</v>
      </c>
      <c r="F44" s="142" t="s">
        <v>117</v>
      </c>
      <c r="G44" s="15" t="s">
        <v>159</v>
      </c>
      <c r="H44" s="44"/>
      <c r="I44" s="15" t="s">
        <v>94</v>
      </c>
      <c r="J44" s="15" t="s">
        <v>94</v>
      </c>
      <c r="K44" s="15" t="s">
        <v>160</v>
      </c>
      <c r="L44" s="15" t="s">
        <v>95</v>
      </c>
      <c r="M44" s="15" t="s">
        <v>94</v>
      </c>
      <c r="N44" s="15" t="s">
        <v>67</v>
      </c>
      <c r="O44" s="15" t="s">
        <v>200</v>
      </c>
      <c r="P44" s="15" t="s">
        <v>203</v>
      </c>
      <c r="Q44" s="135"/>
      <c r="R44" s="42">
        <v>592.9</v>
      </c>
      <c r="S44" s="42">
        <f t="shared" si="6"/>
        <v>592.9</v>
      </c>
      <c r="T44" s="43">
        <f t="shared" si="7"/>
        <v>592.9</v>
      </c>
      <c r="U44" s="15" t="s">
        <v>41</v>
      </c>
      <c r="V44" s="150">
        <v>30</v>
      </c>
      <c r="W44" s="133" cm="1">
        <f t="array" ref="W44">IF(U44="",0,_xlfn.XLOOKUP(E44&amp;U44&amp;F44,tab_act&amp;tab_mod&amp;tab_act1,tab_riz)*V44*T44/MGMT)</f>
        <v>0</v>
      </c>
      <c r="X44" s="43" cm="1">
        <f t="array" ref="X44">IF(U44="",0,_xlfn.XLOOKUP(E44&amp;U44&amp;F44,tab_act&amp;tab_mod&amp;tab_act1,tab_mc)*V44*T44/MGMT)</f>
        <v>0</v>
      </c>
      <c r="Y44" s="43" cm="1">
        <f t="array" ref="Y44">IF(U44="",0,_xlfn.XLOOKUP(E44&amp;U44&amp;F44,tab_act&amp;tab_mod&amp;tab_act1,tab_sor)*V44*T44/MGMT)</f>
        <v>0</v>
      </c>
      <c r="Z44" s="43" cm="1">
        <f t="array" ref="Z44">IF(U44="",0,_xlfn.XLOOKUP(E44&amp;U44&amp;F44,tab_act&amp;tab_mod&amp;tab_act1,tab_mg)*V44*T44/MGMT)</f>
        <v>0</v>
      </c>
      <c r="AA44" s="133" cm="1">
        <f t="array" ref="AA44">IF(U44="",0,IF(U44="hybrid-Sch",_xlfn.XLOOKUP(E44&amp;U44&amp;F44,tab_act&amp;tab_mod&amp;tab_act1,tab_ls)*SchLS*T44/MGMT,_xlfn.XLOOKUP(E44&amp;U44&amp;F44,tab_act&amp;tab_mod&amp;tab_act1,tab_ls)*V44*T44/MGMT))</f>
        <v>0</v>
      </c>
      <c r="AB44" s="133" cm="1">
        <f t="array" ref="AB44">IF(U44="",0,_xlfn.XLOOKUP(E44&amp;U44&amp;F44,tab_act&amp;tab_mod&amp;tab_act1,tab_hu)*V44*T44/MGMT)</f>
        <v>0.35574</v>
      </c>
      <c r="AC44" s="133" cm="1">
        <f t="array" ref="AC44">IF(U44="",0,_xlfn.XLOOKUP(E44&amp;U44&amp;F44,tab_act&amp;tab_mod&amp;tab_act1,tab_mnp)*V44*T44/MGMT)</f>
        <v>0</v>
      </c>
      <c r="AD44" s="133" cm="1">
        <f t="array" ref="AD44">IF(U44="",0,_xlfn.XLOOKUP(E44&amp;U44&amp;F44,tab_act&amp;tab_mod&amp;tab_act1,tab_Psup)*V44*T44/MGMT)</f>
        <v>0</v>
      </c>
      <c r="AE44" s="133" cm="1">
        <f t="array" ref="AE44">IF(U44="",0,_xlfn.XLOOKUP(E44&amp;U44&amp;F44,tab_act&amp;tab_mod&amp;tab_act1,tab_csb1)*V44*T44/MGMT)</f>
        <v>3.5573999999999999</v>
      </c>
      <c r="AF44" s="133" cm="1">
        <f t="array" ref="AF44">IF(U44="",0,_xlfn.XLOOKUP(E44&amp;U44&amp;F44,tab_act&amp;tab_mod&amp;tab_act1,tab_csb2)*V44*T44/MGMT)</f>
        <v>0</v>
      </c>
      <c r="AG44" s="133" cm="1">
        <f t="array" ref="AG44">IF(U44="",0,_xlfn.XLOOKUP(E44&amp;U44&amp;F44,tab_act&amp;tab_mod&amp;tab_act1,tab_pdoz)*V44*T44/MGMT)</f>
        <v>0</v>
      </c>
      <c r="AH44" s="133" cm="1">
        <f t="array" ref="AH44">IF(U44="",0,_xlfn.XLOOKUP(E44&amp;U44&amp;F44,tab_act&amp;tab_mod&amp;tab_act1,tab_lns)*V44*T44/MGMT)</f>
        <v>0</v>
      </c>
      <c r="AI44" s="47">
        <f t="shared" si="3"/>
        <v>3.9131399999999998</v>
      </c>
      <c r="AJ44" s="48">
        <f t="shared" si="8"/>
        <v>0</v>
      </c>
      <c r="AK44" s="49" cm="1">
        <f t="array" ref="AK44">IF(U44="",0,_xlfn.XLOOKUP(E44&amp;U44&amp;F44,tab_act&amp;tab_mod&amp;tab_act1,tab_cash)*V44*T44)</f>
        <v>0</v>
      </c>
      <c r="AN44" s="140" t="str">
        <f t="shared" si="5"/>
        <v>A</v>
      </c>
    </row>
    <row r="45" spans="2:40" x14ac:dyDescent="0.35">
      <c r="B45" s="50" t="s">
        <v>129</v>
      </c>
      <c r="C45" s="44">
        <v>2023</v>
      </c>
      <c r="D45" s="44" t="s">
        <v>100</v>
      </c>
      <c r="E45" s="15" t="s">
        <v>39</v>
      </c>
      <c r="F45" s="142" t="s">
        <v>117</v>
      </c>
      <c r="G45" s="15" t="s">
        <v>159</v>
      </c>
      <c r="H45" s="44"/>
      <c r="I45" s="15" t="s">
        <v>94</v>
      </c>
      <c r="J45" s="15" t="s">
        <v>94</v>
      </c>
      <c r="K45" s="15" t="s">
        <v>160</v>
      </c>
      <c r="L45" s="15" t="s">
        <v>95</v>
      </c>
      <c r="M45" s="15" t="s">
        <v>94</v>
      </c>
      <c r="N45" s="15" t="s">
        <v>67</v>
      </c>
      <c r="O45" s="15" t="s">
        <v>200</v>
      </c>
      <c r="P45" s="15" t="s">
        <v>204</v>
      </c>
      <c r="Q45" s="135"/>
      <c r="R45" s="42">
        <v>342.1</v>
      </c>
      <c r="S45" s="42">
        <f t="shared" si="6"/>
        <v>342.1</v>
      </c>
      <c r="T45" s="43">
        <f t="shared" si="7"/>
        <v>342.1</v>
      </c>
      <c r="U45" s="15" t="s">
        <v>41</v>
      </c>
      <c r="V45" s="150">
        <v>30</v>
      </c>
      <c r="W45" s="133" cm="1">
        <f t="array" ref="W45">IF(U45="",0,_xlfn.XLOOKUP(E45&amp;U45&amp;F45,tab_act&amp;tab_mod&amp;tab_act1,tab_riz)*V45*T45/MGMT)</f>
        <v>0</v>
      </c>
      <c r="X45" s="43" cm="1">
        <f t="array" ref="X45">IF(U45="",0,_xlfn.XLOOKUP(E45&amp;U45&amp;F45,tab_act&amp;tab_mod&amp;tab_act1,tab_mc)*V45*T45/MGMT)</f>
        <v>0</v>
      </c>
      <c r="Y45" s="43" cm="1">
        <f t="array" ref="Y45">IF(U45="",0,_xlfn.XLOOKUP(E45&amp;U45&amp;F45,tab_act&amp;tab_mod&amp;tab_act1,tab_sor)*V45*T45/MGMT)</f>
        <v>0</v>
      </c>
      <c r="Z45" s="43" cm="1">
        <f t="array" ref="Z45">IF(U45="",0,_xlfn.XLOOKUP(E45&amp;U45&amp;F45,tab_act&amp;tab_mod&amp;tab_act1,tab_mg)*V45*T45/MGMT)</f>
        <v>0</v>
      </c>
      <c r="AA45" s="133" cm="1">
        <f t="array" ref="AA45">IF(U45="",0,IF(U45="hybrid-Sch",_xlfn.XLOOKUP(E45&amp;U45&amp;F45,tab_act&amp;tab_mod&amp;tab_act1,tab_ls)*SchLS*T45/MGMT,_xlfn.XLOOKUP(E45&amp;U45&amp;F45,tab_act&amp;tab_mod&amp;tab_act1,tab_ls)*V45*T45/MGMT))</f>
        <v>0</v>
      </c>
      <c r="AB45" s="133" cm="1">
        <f t="array" ref="AB45">IF(U45="",0,_xlfn.XLOOKUP(E45&amp;U45&amp;F45,tab_act&amp;tab_mod&amp;tab_act1,tab_hu)*V45*T45/MGMT)</f>
        <v>0.20526</v>
      </c>
      <c r="AC45" s="133" cm="1">
        <f t="array" ref="AC45">IF(U45="",0,_xlfn.XLOOKUP(E45&amp;U45&amp;F45,tab_act&amp;tab_mod&amp;tab_act1,tab_mnp)*V45*T45/MGMT)</f>
        <v>0</v>
      </c>
      <c r="AD45" s="133" cm="1">
        <f t="array" ref="AD45">IF(U45="",0,_xlfn.XLOOKUP(E45&amp;U45&amp;F45,tab_act&amp;tab_mod&amp;tab_act1,tab_Psup)*V45*T45/MGMT)</f>
        <v>0</v>
      </c>
      <c r="AE45" s="133" cm="1">
        <f t="array" ref="AE45">IF(U45="",0,_xlfn.XLOOKUP(E45&amp;U45&amp;F45,tab_act&amp;tab_mod&amp;tab_act1,tab_csb1)*V45*T45/MGMT)</f>
        <v>2.0526000000000004</v>
      </c>
      <c r="AF45" s="133" cm="1">
        <f t="array" ref="AF45">IF(U45="",0,_xlfn.XLOOKUP(E45&amp;U45&amp;F45,tab_act&amp;tab_mod&amp;tab_act1,tab_csb2)*V45*T45/MGMT)</f>
        <v>0</v>
      </c>
      <c r="AG45" s="133" cm="1">
        <f t="array" ref="AG45">IF(U45="",0,_xlfn.XLOOKUP(E45&amp;U45&amp;F45,tab_act&amp;tab_mod&amp;tab_act1,tab_pdoz)*V45*T45/MGMT)</f>
        <v>0</v>
      </c>
      <c r="AH45" s="133" cm="1">
        <f t="array" ref="AH45">IF(U45="",0,_xlfn.XLOOKUP(E45&amp;U45&amp;F45,tab_act&amp;tab_mod&amp;tab_act1,tab_lns)*V45*T45/MGMT)</f>
        <v>0</v>
      </c>
      <c r="AI45" s="47">
        <f t="shared" si="3"/>
        <v>2.2578600000000004</v>
      </c>
      <c r="AJ45" s="48">
        <f t="shared" si="8"/>
        <v>0</v>
      </c>
      <c r="AK45" s="49" cm="1">
        <f t="array" ref="AK45">IF(U45="",0,_xlfn.XLOOKUP(E45&amp;U45&amp;F45,tab_act&amp;tab_mod&amp;tab_act1,tab_cash)*V45*T45)</f>
        <v>0</v>
      </c>
      <c r="AN45" s="140" t="str">
        <f t="shared" si="5"/>
        <v>A</v>
      </c>
    </row>
    <row r="46" spans="2:40" x14ac:dyDescent="0.35">
      <c r="B46" s="50" t="s">
        <v>129</v>
      </c>
      <c r="C46" s="44">
        <v>2023</v>
      </c>
      <c r="D46" s="44" t="s">
        <v>100</v>
      </c>
      <c r="E46" s="15" t="s">
        <v>39</v>
      </c>
      <c r="F46" s="142" t="s">
        <v>117</v>
      </c>
      <c r="G46" s="15" t="s">
        <v>159</v>
      </c>
      <c r="H46" s="44"/>
      <c r="I46" s="15" t="s">
        <v>94</v>
      </c>
      <c r="J46" s="15" t="s">
        <v>94</v>
      </c>
      <c r="K46" s="15" t="s">
        <v>160</v>
      </c>
      <c r="L46" s="15" t="s">
        <v>95</v>
      </c>
      <c r="M46" s="15" t="s">
        <v>94</v>
      </c>
      <c r="N46" s="15" t="s">
        <v>67</v>
      </c>
      <c r="O46" s="15" t="s">
        <v>200</v>
      </c>
      <c r="P46" s="15" t="s">
        <v>205</v>
      </c>
      <c r="Q46" s="135"/>
      <c r="R46" s="42">
        <v>66</v>
      </c>
      <c r="S46" s="42">
        <f t="shared" si="6"/>
        <v>66</v>
      </c>
      <c r="T46" s="43">
        <f t="shared" si="7"/>
        <v>66</v>
      </c>
      <c r="U46" s="15" t="s">
        <v>41</v>
      </c>
      <c r="V46" s="150">
        <v>30</v>
      </c>
      <c r="W46" s="133" cm="1">
        <f t="array" ref="W46">IF(U46="",0,_xlfn.XLOOKUP(E46&amp;U46&amp;F46,tab_act&amp;tab_mod&amp;tab_act1,tab_riz)*V46*T46/MGMT)</f>
        <v>0</v>
      </c>
      <c r="X46" s="43" cm="1">
        <f t="array" ref="X46">IF(U46="",0,_xlfn.XLOOKUP(E46&amp;U46&amp;F46,tab_act&amp;tab_mod&amp;tab_act1,tab_mc)*V46*T46/MGMT)</f>
        <v>0</v>
      </c>
      <c r="Y46" s="43" cm="1">
        <f t="array" ref="Y46">IF(U46="",0,_xlfn.XLOOKUP(E46&amp;U46&amp;F46,tab_act&amp;tab_mod&amp;tab_act1,tab_sor)*V46*T46/MGMT)</f>
        <v>0</v>
      </c>
      <c r="Z46" s="43" cm="1">
        <f t="array" ref="Z46">IF(U46="",0,_xlfn.XLOOKUP(E46&amp;U46&amp;F46,tab_act&amp;tab_mod&amp;tab_act1,tab_mg)*V46*T46/MGMT)</f>
        <v>0</v>
      </c>
      <c r="AA46" s="133" cm="1">
        <f t="array" ref="AA46">IF(U46="",0,IF(U46="hybrid-Sch",_xlfn.XLOOKUP(E46&amp;U46&amp;F46,tab_act&amp;tab_mod&amp;tab_act1,tab_ls)*SchLS*T46/MGMT,_xlfn.XLOOKUP(E46&amp;U46&amp;F46,tab_act&amp;tab_mod&amp;tab_act1,tab_ls)*V46*T46/MGMT))</f>
        <v>0</v>
      </c>
      <c r="AB46" s="133" cm="1">
        <f t="array" ref="AB46">IF(U46="",0,_xlfn.XLOOKUP(E46&amp;U46&amp;F46,tab_act&amp;tab_mod&amp;tab_act1,tab_hu)*V46*T46/MGMT)</f>
        <v>3.9600000000000003E-2</v>
      </c>
      <c r="AC46" s="133" cm="1">
        <f t="array" ref="AC46">IF(U46="",0,_xlfn.XLOOKUP(E46&amp;U46&amp;F46,tab_act&amp;tab_mod&amp;tab_act1,tab_mnp)*V46*T46/MGMT)</f>
        <v>0</v>
      </c>
      <c r="AD46" s="133" cm="1">
        <f t="array" ref="AD46">IF(U46="",0,_xlfn.XLOOKUP(E46&amp;U46&amp;F46,tab_act&amp;tab_mod&amp;tab_act1,tab_Psup)*V46*T46/MGMT)</f>
        <v>0</v>
      </c>
      <c r="AE46" s="133" cm="1">
        <f t="array" ref="AE46">IF(U46="",0,_xlfn.XLOOKUP(E46&amp;U46&amp;F46,tab_act&amp;tab_mod&amp;tab_act1,tab_csb1)*V46*T46/MGMT)</f>
        <v>0.39600000000000002</v>
      </c>
      <c r="AF46" s="133" cm="1">
        <f t="array" ref="AF46">IF(U46="",0,_xlfn.XLOOKUP(E46&amp;U46&amp;F46,tab_act&amp;tab_mod&amp;tab_act1,tab_csb2)*V46*T46/MGMT)</f>
        <v>0</v>
      </c>
      <c r="AG46" s="133" cm="1">
        <f t="array" ref="AG46">IF(U46="",0,_xlfn.XLOOKUP(E46&amp;U46&amp;F46,tab_act&amp;tab_mod&amp;tab_act1,tab_pdoz)*V46*T46/MGMT)</f>
        <v>0</v>
      </c>
      <c r="AH46" s="133" cm="1">
        <f t="array" ref="AH46">IF(U46="",0,_xlfn.XLOOKUP(E46&amp;U46&amp;F46,tab_act&amp;tab_mod&amp;tab_act1,tab_lns)*V46*T46/MGMT)</f>
        <v>0</v>
      </c>
      <c r="AI46" s="47">
        <f t="shared" si="3"/>
        <v>0.43560000000000004</v>
      </c>
      <c r="AJ46" s="48">
        <f t="shared" si="8"/>
        <v>0</v>
      </c>
      <c r="AK46" s="49" cm="1">
        <f t="array" ref="AK46">IF(U46="",0,_xlfn.XLOOKUP(E46&amp;U46&amp;F46,tab_act&amp;tab_mod&amp;tab_act1,tab_cash)*V46*T46)</f>
        <v>0</v>
      </c>
      <c r="AN46" s="140" t="str">
        <f t="shared" si="5"/>
        <v>A</v>
      </c>
    </row>
    <row r="47" spans="2:40" x14ac:dyDescent="0.35">
      <c r="B47" s="50" t="s">
        <v>129</v>
      </c>
      <c r="C47" s="44">
        <v>2023</v>
      </c>
      <c r="D47" s="44" t="s">
        <v>100</v>
      </c>
      <c r="E47" s="15" t="s">
        <v>39</v>
      </c>
      <c r="F47" s="142" t="s">
        <v>117</v>
      </c>
      <c r="G47" s="15" t="s">
        <v>159</v>
      </c>
      <c r="H47" s="44"/>
      <c r="I47" s="15" t="s">
        <v>94</v>
      </c>
      <c r="J47" s="15" t="s">
        <v>94</v>
      </c>
      <c r="K47" s="15" t="s">
        <v>160</v>
      </c>
      <c r="L47" s="15" t="s">
        <v>95</v>
      </c>
      <c r="M47" s="15" t="s">
        <v>94</v>
      </c>
      <c r="N47" s="15" t="s">
        <v>67</v>
      </c>
      <c r="O47" s="15" t="s">
        <v>206</v>
      </c>
      <c r="P47" s="15" t="s">
        <v>207</v>
      </c>
      <c r="Q47" s="135"/>
      <c r="R47" s="42">
        <v>295.89999999999998</v>
      </c>
      <c r="S47" s="42">
        <f t="shared" si="6"/>
        <v>295.89999999999998</v>
      </c>
      <c r="T47" s="43">
        <f t="shared" si="7"/>
        <v>295.89999999999998</v>
      </c>
      <c r="U47" s="15" t="s">
        <v>41</v>
      </c>
      <c r="V47" s="150">
        <v>30</v>
      </c>
      <c r="W47" s="133" cm="1">
        <f t="array" ref="W47">IF(U47="",0,_xlfn.XLOOKUP(E47&amp;U47&amp;F47,tab_act&amp;tab_mod&amp;tab_act1,tab_riz)*V47*T47/MGMT)</f>
        <v>0</v>
      </c>
      <c r="X47" s="43" cm="1">
        <f t="array" ref="X47">IF(U47="",0,_xlfn.XLOOKUP(E47&amp;U47&amp;F47,tab_act&amp;tab_mod&amp;tab_act1,tab_mc)*V47*T47/MGMT)</f>
        <v>0</v>
      </c>
      <c r="Y47" s="43" cm="1">
        <f t="array" ref="Y47">IF(U47="",0,_xlfn.XLOOKUP(E47&amp;U47&amp;F47,tab_act&amp;tab_mod&amp;tab_act1,tab_sor)*V47*T47/MGMT)</f>
        <v>0</v>
      </c>
      <c r="Z47" s="43" cm="1">
        <f t="array" ref="Z47">IF(U47="",0,_xlfn.XLOOKUP(E47&amp;U47&amp;F47,tab_act&amp;tab_mod&amp;tab_act1,tab_mg)*V47*T47/MGMT)</f>
        <v>0</v>
      </c>
      <c r="AA47" s="133" cm="1">
        <f t="array" ref="AA47">IF(U47="",0,IF(U47="hybrid-Sch",_xlfn.XLOOKUP(E47&amp;U47&amp;F47,tab_act&amp;tab_mod&amp;tab_act1,tab_ls)*SchLS*T47/MGMT,_xlfn.XLOOKUP(E47&amp;U47&amp;F47,tab_act&amp;tab_mod&amp;tab_act1,tab_ls)*V47*T47/MGMT))</f>
        <v>0</v>
      </c>
      <c r="AB47" s="133" cm="1">
        <f t="array" ref="AB47">IF(U47="",0,_xlfn.XLOOKUP(E47&amp;U47&amp;F47,tab_act&amp;tab_mod&amp;tab_act1,tab_hu)*V47*T47/MGMT)</f>
        <v>0.17754</v>
      </c>
      <c r="AC47" s="133" cm="1">
        <f t="array" ref="AC47">IF(U47="",0,_xlfn.XLOOKUP(E47&amp;U47&amp;F47,tab_act&amp;tab_mod&amp;tab_act1,tab_mnp)*V47*T47/MGMT)</f>
        <v>0</v>
      </c>
      <c r="AD47" s="133" cm="1">
        <f t="array" ref="AD47">IF(U47="",0,_xlfn.XLOOKUP(E47&amp;U47&amp;F47,tab_act&amp;tab_mod&amp;tab_act1,tab_Psup)*V47*T47/MGMT)</f>
        <v>0</v>
      </c>
      <c r="AE47" s="133" cm="1">
        <f t="array" ref="AE47">IF(U47="",0,_xlfn.XLOOKUP(E47&amp;U47&amp;F47,tab_act&amp;tab_mod&amp;tab_act1,tab_csb1)*V47*T47/MGMT)</f>
        <v>1.7753999999999999</v>
      </c>
      <c r="AF47" s="133" cm="1">
        <f t="array" ref="AF47">IF(U47="",0,_xlfn.XLOOKUP(E47&amp;U47&amp;F47,tab_act&amp;tab_mod&amp;tab_act1,tab_csb2)*V47*T47/MGMT)</f>
        <v>0</v>
      </c>
      <c r="AG47" s="133" cm="1">
        <f t="array" ref="AG47">IF(U47="",0,_xlfn.XLOOKUP(E47&amp;U47&amp;F47,tab_act&amp;tab_mod&amp;tab_act1,tab_pdoz)*V47*T47/MGMT)</f>
        <v>0</v>
      </c>
      <c r="AH47" s="133" cm="1">
        <f t="array" ref="AH47">IF(U47="",0,_xlfn.XLOOKUP(E47&amp;U47&amp;F47,tab_act&amp;tab_mod&amp;tab_act1,tab_lns)*V47*T47/MGMT)</f>
        <v>0</v>
      </c>
      <c r="AI47" s="47">
        <f t="shared" si="3"/>
        <v>1.9529399999999999</v>
      </c>
      <c r="AJ47" s="48">
        <f t="shared" si="8"/>
        <v>0</v>
      </c>
      <c r="AK47" s="49" cm="1">
        <f t="array" ref="AK47">IF(U47="",0,_xlfn.XLOOKUP(E47&amp;U47&amp;F47,tab_act&amp;tab_mod&amp;tab_act1,tab_cash)*V47*T47)</f>
        <v>0</v>
      </c>
      <c r="AN47" s="140" t="str">
        <f t="shared" si="5"/>
        <v>A</v>
      </c>
    </row>
    <row r="48" spans="2:40" x14ac:dyDescent="0.35">
      <c r="B48" s="50" t="s">
        <v>129</v>
      </c>
      <c r="C48" s="44">
        <v>2023</v>
      </c>
      <c r="D48" s="44" t="s">
        <v>100</v>
      </c>
      <c r="E48" s="15" t="s">
        <v>39</v>
      </c>
      <c r="F48" s="142" t="s">
        <v>117</v>
      </c>
      <c r="G48" s="15" t="s">
        <v>159</v>
      </c>
      <c r="H48" s="44"/>
      <c r="I48" s="15" t="s">
        <v>94</v>
      </c>
      <c r="J48" s="15" t="s">
        <v>94</v>
      </c>
      <c r="K48" s="15" t="s">
        <v>160</v>
      </c>
      <c r="L48" s="15" t="s">
        <v>95</v>
      </c>
      <c r="M48" s="15" t="s">
        <v>94</v>
      </c>
      <c r="N48" s="15" t="s">
        <v>67</v>
      </c>
      <c r="O48" s="15" t="s">
        <v>206</v>
      </c>
      <c r="P48" s="15" t="s">
        <v>208</v>
      </c>
      <c r="Q48" s="135"/>
      <c r="R48" s="42">
        <v>198</v>
      </c>
      <c r="S48" s="42">
        <f t="shared" si="6"/>
        <v>198</v>
      </c>
      <c r="T48" s="43">
        <f t="shared" si="7"/>
        <v>198</v>
      </c>
      <c r="U48" s="15" t="s">
        <v>41</v>
      </c>
      <c r="V48" s="150">
        <v>30</v>
      </c>
      <c r="W48" s="133" cm="1">
        <f t="array" ref="W48">IF(U48="",0,_xlfn.XLOOKUP(E48&amp;U48&amp;F48,tab_act&amp;tab_mod&amp;tab_act1,tab_riz)*V48*T48/MGMT)</f>
        <v>0</v>
      </c>
      <c r="X48" s="43" cm="1">
        <f t="array" ref="X48">IF(U48="",0,_xlfn.XLOOKUP(E48&amp;U48&amp;F48,tab_act&amp;tab_mod&amp;tab_act1,tab_mc)*V48*T48/MGMT)</f>
        <v>0</v>
      </c>
      <c r="Y48" s="43" cm="1">
        <f t="array" ref="Y48">IF(U48="",0,_xlfn.XLOOKUP(E48&amp;U48&amp;F48,tab_act&amp;tab_mod&amp;tab_act1,tab_sor)*V48*T48/MGMT)</f>
        <v>0</v>
      </c>
      <c r="Z48" s="43" cm="1">
        <f t="array" ref="Z48">IF(U48="",0,_xlfn.XLOOKUP(E48&amp;U48&amp;F48,tab_act&amp;tab_mod&amp;tab_act1,tab_mg)*V48*T48/MGMT)</f>
        <v>0</v>
      </c>
      <c r="AA48" s="133" cm="1">
        <f t="array" ref="AA48">IF(U48="",0,IF(U48="hybrid-Sch",_xlfn.XLOOKUP(E48&amp;U48&amp;F48,tab_act&amp;tab_mod&amp;tab_act1,tab_ls)*SchLS*T48/MGMT,_xlfn.XLOOKUP(E48&amp;U48&amp;F48,tab_act&amp;tab_mod&amp;tab_act1,tab_ls)*V48*T48/MGMT))</f>
        <v>0</v>
      </c>
      <c r="AB48" s="133" cm="1">
        <f t="array" ref="AB48">IF(U48="",0,_xlfn.XLOOKUP(E48&amp;U48&amp;F48,tab_act&amp;tab_mod&amp;tab_act1,tab_hu)*V48*T48/MGMT)</f>
        <v>0.1188</v>
      </c>
      <c r="AC48" s="133" cm="1">
        <f t="array" ref="AC48">IF(U48="",0,_xlfn.XLOOKUP(E48&amp;U48&amp;F48,tab_act&amp;tab_mod&amp;tab_act1,tab_mnp)*V48*T48/MGMT)</f>
        <v>0</v>
      </c>
      <c r="AD48" s="133" cm="1">
        <f t="array" ref="AD48">IF(U48="",0,_xlfn.XLOOKUP(E48&amp;U48&amp;F48,tab_act&amp;tab_mod&amp;tab_act1,tab_Psup)*V48*T48/MGMT)</f>
        <v>0</v>
      </c>
      <c r="AE48" s="133" cm="1">
        <f t="array" ref="AE48">IF(U48="",0,_xlfn.XLOOKUP(E48&amp;U48&amp;F48,tab_act&amp;tab_mod&amp;tab_act1,tab_csb1)*V48*T48/MGMT)</f>
        <v>1.1879999999999999</v>
      </c>
      <c r="AF48" s="133" cm="1">
        <f t="array" ref="AF48">IF(U48="",0,_xlfn.XLOOKUP(E48&amp;U48&amp;F48,tab_act&amp;tab_mod&amp;tab_act1,tab_csb2)*V48*T48/MGMT)</f>
        <v>0</v>
      </c>
      <c r="AG48" s="133" cm="1">
        <f t="array" ref="AG48">IF(U48="",0,_xlfn.XLOOKUP(E48&amp;U48&amp;F48,tab_act&amp;tab_mod&amp;tab_act1,tab_pdoz)*V48*T48/MGMT)</f>
        <v>0</v>
      </c>
      <c r="AH48" s="133" cm="1">
        <f t="array" ref="AH48">IF(U48="",0,_xlfn.XLOOKUP(E48&amp;U48&amp;F48,tab_act&amp;tab_mod&amp;tab_act1,tab_lns)*V48*T48/MGMT)</f>
        <v>0</v>
      </c>
      <c r="AI48" s="47">
        <f t="shared" si="3"/>
        <v>1.3068</v>
      </c>
      <c r="AJ48" s="48">
        <f t="shared" si="8"/>
        <v>0</v>
      </c>
      <c r="AK48" s="49" cm="1">
        <f t="array" ref="AK48">IF(U48="",0,_xlfn.XLOOKUP(E48&amp;U48&amp;F48,tab_act&amp;tab_mod&amp;tab_act1,tab_cash)*V48*T48)</f>
        <v>0</v>
      </c>
      <c r="AN48" s="140" t="str">
        <f t="shared" si="5"/>
        <v>A</v>
      </c>
    </row>
    <row r="49" spans="1:40" x14ac:dyDescent="0.35">
      <c r="B49" s="50" t="s">
        <v>129</v>
      </c>
      <c r="C49" s="44">
        <v>2023</v>
      </c>
      <c r="D49" s="44" t="s">
        <v>100</v>
      </c>
      <c r="E49" s="15" t="s">
        <v>39</v>
      </c>
      <c r="F49" s="142" t="s">
        <v>117</v>
      </c>
      <c r="G49" s="15" t="s">
        <v>159</v>
      </c>
      <c r="H49" s="44"/>
      <c r="I49" s="15" t="s">
        <v>94</v>
      </c>
      <c r="J49" s="15" t="s">
        <v>94</v>
      </c>
      <c r="K49" s="15" t="s">
        <v>160</v>
      </c>
      <c r="L49" s="15" t="s">
        <v>95</v>
      </c>
      <c r="M49" s="15" t="s">
        <v>94</v>
      </c>
      <c r="N49" s="15" t="s">
        <v>67</v>
      </c>
      <c r="O49" s="15" t="s">
        <v>206</v>
      </c>
      <c r="P49" s="15" t="s">
        <v>209</v>
      </c>
      <c r="Q49" s="135"/>
      <c r="R49" s="42">
        <v>185.9</v>
      </c>
      <c r="S49" s="42">
        <f t="shared" si="6"/>
        <v>185.9</v>
      </c>
      <c r="T49" s="43">
        <f t="shared" si="7"/>
        <v>185.9</v>
      </c>
      <c r="U49" s="15" t="s">
        <v>41</v>
      </c>
      <c r="V49" s="150">
        <v>30</v>
      </c>
      <c r="W49" s="133" cm="1">
        <f t="array" ref="W49">IF(U49="",0,_xlfn.XLOOKUP(E49&amp;U49&amp;F49,tab_act&amp;tab_mod&amp;tab_act1,tab_riz)*V49*T49/MGMT)</f>
        <v>0</v>
      </c>
      <c r="X49" s="43" cm="1">
        <f t="array" ref="X49">IF(U49="",0,_xlfn.XLOOKUP(E49&amp;U49&amp;F49,tab_act&amp;tab_mod&amp;tab_act1,tab_mc)*V49*T49/MGMT)</f>
        <v>0</v>
      </c>
      <c r="Y49" s="43" cm="1">
        <f t="array" ref="Y49">IF(U49="",0,_xlfn.XLOOKUP(E49&amp;U49&amp;F49,tab_act&amp;tab_mod&amp;tab_act1,tab_sor)*V49*T49/MGMT)</f>
        <v>0</v>
      </c>
      <c r="Z49" s="43" cm="1">
        <f t="array" ref="Z49">IF(U49="",0,_xlfn.XLOOKUP(E49&amp;U49&amp;F49,tab_act&amp;tab_mod&amp;tab_act1,tab_mg)*V49*T49/MGMT)</f>
        <v>0</v>
      </c>
      <c r="AA49" s="133" cm="1">
        <f t="array" ref="AA49">IF(U49="",0,IF(U49="hybrid-Sch",_xlfn.XLOOKUP(E49&amp;U49&amp;F49,tab_act&amp;tab_mod&amp;tab_act1,tab_ls)*SchLS*T49/MGMT,_xlfn.XLOOKUP(E49&amp;U49&amp;F49,tab_act&amp;tab_mod&amp;tab_act1,tab_ls)*V49*T49/MGMT))</f>
        <v>0</v>
      </c>
      <c r="AB49" s="133" cm="1">
        <f t="array" ref="AB49">IF(U49="",0,_xlfn.XLOOKUP(E49&amp;U49&amp;F49,tab_act&amp;tab_mod&amp;tab_act1,tab_hu)*V49*T49/MGMT)</f>
        <v>0.11154</v>
      </c>
      <c r="AC49" s="133" cm="1">
        <f t="array" ref="AC49">IF(U49="",0,_xlfn.XLOOKUP(E49&amp;U49&amp;F49,tab_act&amp;tab_mod&amp;tab_act1,tab_mnp)*V49*T49/MGMT)</f>
        <v>0</v>
      </c>
      <c r="AD49" s="133" cm="1">
        <f t="array" ref="AD49">IF(U49="",0,_xlfn.XLOOKUP(E49&amp;U49&amp;F49,tab_act&amp;tab_mod&amp;tab_act1,tab_Psup)*V49*T49/MGMT)</f>
        <v>0</v>
      </c>
      <c r="AE49" s="133" cm="1">
        <f t="array" ref="AE49">IF(U49="",0,_xlfn.XLOOKUP(E49&amp;U49&amp;F49,tab_act&amp;tab_mod&amp;tab_act1,tab_csb1)*V49*T49/MGMT)</f>
        <v>1.1153999999999999</v>
      </c>
      <c r="AF49" s="133" cm="1">
        <f t="array" ref="AF49">IF(U49="",0,_xlfn.XLOOKUP(E49&amp;U49&amp;F49,tab_act&amp;tab_mod&amp;tab_act1,tab_csb2)*V49*T49/MGMT)</f>
        <v>0</v>
      </c>
      <c r="AG49" s="133" cm="1">
        <f t="array" ref="AG49">IF(U49="",0,_xlfn.XLOOKUP(E49&amp;U49&amp;F49,tab_act&amp;tab_mod&amp;tab_act1,tab_pdoz)*V49*T49/MGMT)</f>
        <v>0</v>
      </c>
      <c r="AH49" s="133" cm="1">
        <f t="array" ref="AH49">IF(U49="",0,_xlfn.XLOOKUP(E49&amp;U49&amp;F49,tab_act&amp;tab_mod&amp;tab_act1,tab_lns)*V49*T49/MGMT)</f>
        <v>0</v>
      </c>
      <c r="AI49" s="47">
        <f t="shared" si="3"/>
        <v>1.2269399999999999</v>
      </c>
      <c r="AJ49" s="48">
        <f t="shared" si="8"/>
        <v>0</v>
      </c>
      <c r="AK49" s="49" cm="1">
        <f t="array" ref="AK49">IF(U49="",0,_xlfn.XLOOKUP(E49&amp;U49&amp;F49,tab_act&amp;tab_mod&amp;tab_act1,tab_cash)*V49*T49)</f>
        <v>0</v>
      </c>
      <c r="AN49" s="140" t="str">
        <f t="shared" si="5"/>
        <v>A</v>
      </c>
    </row>
    <row r="50" spans="1:40" x14ac:dyDescent="0.35">
      <c r="B50" s="50" t="s">
        <v>129</v>
      </c>
      <c r="C50" s="44">
        <v>2023</v>
      </c>
      <c r="D50" s="44" t="s">
        <v>100</v>
      </c>
      <c r="E50" s="15" t="s">
        <v>39</v>
      </c>
      <c r="F50" s="142" t="s">
        <v>117</v>
      </c>
      <c r="G50" s="15" t="s">
        <v>159</v>
      </c>
      <c r="H50" s="44"/>
      <c r="I50" s="15" t="s">
        <v>94</v>
      </c>
      <c r="J50" s="15" t="s">
        <v>94</v>
      </c>
      <c r="K50" s="15" t="s">
        <v>160</v>
      </c>
      <c r="L50" s="15" t="s">
        <v>95</v>
      </c>
      <c r="M50" s="15" t="s">
        <v>94</v>
      </c>
      <c r="N50" s="15" t="s">
        <v>67</v>
      </c>
      <c r="O50" s="15" t="s">
        <v>206</v>
      </c>
      <c r="P50" s="15" t="s">
        <v>210</v>
      </c>
      <c r="Q50" s="135"/>
      <c r="R50" s="42">
        <v>398.2</v>
      </c>
      <c r="S50" s="42">
        <f t="shared" si="6"/>
        <v>398.2</v>
      </c>
      <c r="T50" s="43">
        <f t="shared" si="7"/>
        <v>398.2</v>
      </c>
      <c r="U50" s="15" t="s">
        <v>41</v>
      </c>
      <c r="V50" s="150">
        <v>30</v>
      </c>
      <c r="W50" s="133" cm="1">
        <f t="array" ref="W50">IF(U50="",0,_xlfn.XLOOKUP(E50&amp;U50&amp;F50,tab_act&amp;tab_mod&amp;tab_act1,tab_riz)*V50*T50/MGMT)</f>
        <v>0</v>
      </c>
      <c r="X50" s="43" cm="1">
        <f t="array" ref="X50">IF(U50="",0,_xlfn.XLOOKUP(E50&amp;U50&amp;F50,tab_act&amp;tab_mod&amp;tab_act1,tab_mc)*V50*T50/MGMT)</f>
        <v>0</v>
      </c>
      <c r="Y50" s="43" cm="1">
        <f t="array" ref="Y50">IF(U50="",0,_xlfn.XLOOKUP(E50&amp;U50&amp;F50,tab_act&amp;tab_mod&amp;tab_act1,tab_sor)*V50*T50/MGMT)</f>
        <v>0</v>
      </c>
      <c r="Z50" s="43" cm="1">
        <f t="array" ref="Z50">IF(U50="",0,_xlfn.XLOOKUP(E50&amp;U50&amp;F50,tab_act&amp;tab_mod&amp;tab_act1,tab_mg)*V50*T50/MGMT)</f>
        <v>0</v>
      </c>
      <c r="AA50" s="133" cm="1">
        <f t="array" ref="AA50">IF(U50="",0,IF(U50="hybrid-Sch",_xlfn.XLOOKUP(E50&amp;U50&amp;F50,tab_act&amp;tab_mod&amp;tab_act1,tab_ls)*SchLS*T50/MGMT,_xlfn.XLOOKUP(E50&amp;U50&amp;F50,tab_act&amp;tab_mod&amp;tab_act1,tab_ls)*V50*T50/MGMT))</f>
        <v>0</v>
      </c>
      <c r="AB50" s="133" cm="1">
        <f t="array" ref="AB50">IF(U50="",0,_xlfn.XLOOKUP(E50&amp;U50&amp;F50,tab_act&amp;tab_mod&amp;tab_act1,tab_hu)*V50*T50/MGMT)</f>
        <v>0.23891999999999999</v>
      </c>
      <c r="AC50" s="133" cm="1">
        <f t="array" ref="AC50">IF(U50="",0,_xlfn.XLOOKUP(E50&amp;U50&amp;F50,tab_act&amp;tab_mod&amp;tab_act1,tab_mnp)*V50*T50/MGMT)</f>
        <v>0</v>
      </c>
      <c r="AD50" s="133" cm="1">
        <f t="array" ref="AD50">IF(U50="",0,_xlfn.XLOOKUP(E50&amp;U50&amp;F50,tab_act&amp;tab_mod&amp;tab_act1,tab_Psup)*V50*T50/MGMT)</f>
        <v>0</v>
      </c>
      <c r="AE50" s="133" cm="1">
        <f t="array" ref="AE50">IF(U50="",0,_xlfn.XLOOKUP(E50&amp;U50&amp;F50,tab_act&amp;tab_mod&amp;tab_act1,tab_csb1)*V50*T50/MGMT)</f>
        <v>2.3892000000000002</v>
      </c>
      <c r="AF50" s="133" cm="1">
        <f t="array" ref="AF50">IF(U50="",0,_xlfn.XLOOKUP(E50&amp;U50&amp;F50,tab_act&amp;tab_mod&amp;tab_act1,tab_csb2)*V50*T50/MGMT)</f>
        <v>0</v>
      </c>
      <c r="AG50" s="133" cm="1">
        <f t="array" ref="AG50">IF(U50="",0,_xlfn.XLOOKUP(E50&amp;U50&amp;F50,tab_act&amp;tab_mod&amp;tab_act1,tab_pdoz)*V50*T50/MGMT)</f>
        <v>0</v>
      </c>
      <c r="AH50" s="133" cm="1">
        <f t="array" ref="AH50">IF(U50="",0,_xlfn.XLOOKUP(E50&amp;U50&amp;F50,tab_act&amp;tab_mod&amp;tab_act1,tab_lns)*V50*T50/MGMT)</f>
        <v>0</v>
      </c>
      <c r="AI50" s="47">
        <f t="shared" si="3"/>
        <v>2.62812</v>
      </c>
      <c r="AJ50" s="48">
        <f t="shared" si="8"/>
        <v>0</v>
      </c>
      <c r="AK50" s="49" cm="1">
        <f t="array" ref="AK50">IF(U50="",0,_xlfn.XLOOKUP(E50&amp;U50&amp;F50,tab_act&amp;tab_mod&amp;tab_act1,tab_cash)*V50*T50)</f>
        <v>0</v>
      </c>
      <c r="AN50" s="140" t="str">
        <f t="shared" si="5"/>
        <v>A</v>
      </c>
    </row>
    <row r="51" spans="1:40" x14ac:dyDescent="0.35">
      <c r="B51" s="50" t="s">
        <v>129</v>
      </c>
      <c r="C51" s="44">
        <v>2023</v>
      </c>
      <c r="D51" s="44" t="s">
        <v>100</v>
      </c>
      <c r="E51" s="15" t="s">
        <v>39</v>
      </c>
      <c r="F51" s="142" t="s">
        <v>117</v>
      </c>
      <c r="G51" s="15" t="s">
        <v>159</v>
      </c>
      <c r="H51" s="44"/>
      <c r="I51" s="15" t="s">
        <v>94</v>
      </c>
      <c r="J51" s="15" t="s">
        <v>94</v>
      </c>
      <c r="K51" s="15" t="s">
        <v>160</v>
      </c>
      <c r="L51" s="15" t="s">
        <v>95</v>
      </c>
      <c r="M51" s="15" t="s">
        <v>94</v>
      </c>
      <c r="N51" s="15" t="s">
        <v>67</v>
      </c>
      <c r="O51" s="15" t="s">
        <v>206</v>
      </c>
      <c r="P51" s="15" t="s">
        <v>211</v>
      </c>
      <c r="Q51" s="135"/>
      <c r="R51" s="42">
        <v>209</v>
      </c>
      <c r="S51" s="42">
        <f t="shared" si="6"/>
        <v>209</v>
      </c>
      <c r="T51" s="43">
        <f t="shared" si="7"/>
        <v>209</v>
      </c>
      <c r="U51" s="15" t="s">
        <v>41</v>
      </c>
      <c r="V51" s="150">
        <v>30</v>
      </c>
      <c r="W51" s="133" cm="1">
        <f t="array" ref="W51">IF(U51="",0,_xlfn.XLOOKUP(E51&amp;U51&amp;F51,tab_act&amp;tab_mod&amp;tab_act1,tab_riz)*V51*T51/MGMT)</f>
        <v>0</v>
      </c>
      <c r="X51" s="43" cm="1">
        <f t="array" ref="X51">IF(U51="",0,_xlfn.XLOOKUP(E51&amp;U51&amp;F51,tab_act&amp;tab_mod&amp;tab_act1,tab_mc)*V51*T51/MGMT)</f>
        <v>0</v>
      </c>
      <c r="Y51" s="43" cm="1">
        <f t="array" ref="Y51">IF(U51="",0,_xlfn.XLOOKUP(E51&amp;U51&amp;F51,tab_act&amp;tab_mod&amp;tab_act1,tab_sor)*V51*T51/MGMT)</f>
        <v>0</v>
      </c>
      <c r="Z51" s="43" cm="1">
        <f t="array" ref="Z51">IF(U51="",0,_xlfn.XLOOKUP(E51&amp;U51&amp;F51,tab_act&amp;tab_mod&amp;tab_act1,tab_mg)*V51*T51/MGMT)</f>
        <v>0</v>
      </c>
      <c r="AA51" s="133" cm="1">
        <f t="array" ref="AA51">IF(U51="",0,IF(U51="hybrid-Sch",_xlfn.XLOOKUP(E51&amp;U51&amp;F51,tab_act&amp;tab_mod&amp;tab_act1,tab_ls)*SchLS*T51/MGMT,_xlfn.XLOOKUP(E51&amp;U51&amp;F51,tab_act&amp;tab_mod&amp;tab_act1,tab_ls)*V51*T51/MGMT))</f>
        <v>0</v>
      </c>
      <c r="AB51" s="133" cm="1">
        <f t="array" ref="AB51">IF(U51="",0,_xlfn.XLOOKUP(E51&amp;U51&amp;F51,tab_act&amp;tab_mod&amp;tab_act1,tab_hu)*V51*T51/MGMT)</f>
        <v>0.12540000000000001</v>
      </c>
      <c r="AC51" s="133" cm="1">
        <f t="array" ref="AC51">IF(U51="",0,_xlfn.XLOOKUP(E51&amp;U51&amp;F51,tab_act&amp;tab_mod&amp;tab_act1,tab_mnp)*V51*T51/MGMT)</f>
        <v>0</v>
      </c>
      <c r="AD51" s="133" cm="1">
        <f t="array" ref="AD51">IF(U51="",0,_xlfn.XLOOKUP(E51&amp;U51&amp;F51,tab_act&amp;tab_mod&amp;tab_act1,tab_Psup)*V51*T51/MGMT)</f>
        <v>0</v>
      </c>
      <c r="AE51" s="133" cm="1">
        <f t="array" ref="AE51">IF(U51="",0,_xlfn.XLOOKUP(E51&amp;U51&amp;F51,tab_act&amp;tab_mod&amp;tab_act1,tab_csb1)*V51*T51/MGMT)</f>
        <v>1.254</v>
      </c>
      <c r="AF51" s="133" cm="1">
        <f t="array" ref="AF51">IF(U51="",0,_xlfn.XLOOKUP(E51&amp;U51&amp;F51,tab_act&amp;tab_mod&amp;tab_act1,tab_csb2)*V51*T51/MGMT)</f>
        <v>0</v>
      </c>
      <c r="AG51" s="133" cm="1">
        <f t="array" ref="AG51">IF(U51="",0,_xlfn.XLOOKUP(E51&amp;U51&amp;F51,tab_act&amp;tab_mod&amp;tab_act1,tab_pdoz)*V51*T51/MGMT)</f>
        <v>0</v>
      </c>
      <c r="AH51" s="133" cm="1">
        <f t="array" ref="AH51">IF(U51="",0,_xlfn.XLOOKUP(E51&amp;U51&amp;F51,tab_act&amp;tab_mod&amp;tab_act1,tab_lns)*V51*T51/MGMT)</f>
        <v>0</v>
      </c>
      <c r="AI51" s="47">
        <f t="shared" si="3"/>
        <v>1.3794</v>
      </c>
      <c r="AJ51" s="48">
        <f t="shared" si="8"/>
        <v>0</v>
      </c>
      <c r="AK51" s="49" cm="1">
        <f t="array" ref="AK51">IF(U51="",0,_xlfn.XLOOKUP(E51&amp;U51&amp;F51,tab_act&amp;tab_mod&amp;tab_act1,tab_cash)*V51*T51)</f>
        <v>0</v>
      </c>
      <c r="AN51" s="140" t="str">
        <f t="shared" si="5"/>
        <v>A</v>
      </c>
    </row>
    <row r="52" spans="1:40" x14ac:dyDescent="0.35">
      <c r="B52" s="50" t="s">
        <v>129</v>
      </c>
      <c r="C52" s="44">
        <v>2023</v>
      </c>
      <c r="D52" s="44" t="s">
        <v>100</v>
      </c>
      <c r="E52" s="15" t="s">
        <v>39</v>
      </c>
      <c r="F52" s="15" t="s">
        <v>117</v>
      </c>
      <c r="G52" s="15" t="s">
        <v>159</v>
      </c>
      <c r="H52" s="44"/>
      <c r="I52" s="15" t="s">
        <v>213</v>
      </c>
      <c r="J52" s="15" t="s">
        <v>91</v>
      </c>
      <c r="K52" s="15" t="s">
        <v>97</v>
      </c>
      <c r="L52" s="15" t="s">
        <v>212</v>
      </c>
      <c r="M52" s="15" t="s">
        <v>158</v>
      </c>
      <c r="N52" s="15" t="s">
        <v>68</v>
      </c>
      <c r="O52" s="15" t="s">
        <v>152</v>
      </c>
      <c r="P52" s="15" t="s">
        <v>214</v>
      </c>
      <c r="Q52" s="135"/>
      <c r="R52" s="42">
        <v>568</v>
      </c>
      <c r="S52" s="42">
        <f t="shared" si="6"/>
        <v>568</v>
      </c>
      <c r="T52" s="43">
        <f t="shared" si="7"/>
        <v>568</v>
      </c>
      <c r="U52" s="15" t="s">
        <v>41</v>
      </c>
      <c r="V52" s="150">
        <v>30</v>
      </c>
      <c r="W52" s="133" cm="1">
        <f t="array" ref="W52">IF(U52="",0,_xlfn.XLOOKUP(E52&amp;U52&amp;F52,tab_act&amp;tab_mod&amp;tab_act1,tab_riz)*V52*T52/MGMT)</f>
        <v>0</v>
      </c>
      <c r="X52" s="43" cm="1">
        <f t="array" ref="X52">IF(U52="",0,_xlfn.XLOOKUP(E52&amp;U52&amp;F52,tab_act&amp;tab_mod&amp;tab_act1,tab_mc)*V52*T52/MGMT)</f>
        <v>0</v>
      </c>
      <c r="Y52" s="43" cm="1">
        <f t="array" ref="Y52">IF(U52="",0,_xlfn.XLOOKUP(E52&amp;U52&amp;F52,tab_act&amp;tab_mod&amp;tab_act1,tab_sor)*V52*T52/MGMT)</f>
        <v>0</v>
      </c>
      <c r="Z52" s="43" cm="1">
        <f t="array" ref="Z52">IF(U52="",0,_xlfn.XLOOKUP(E52&amp;U52&amp;F52,tab_act&amp;tab_mod&amp;tab_act1,tab_mg)*V52*T52/MGMT)</f>
        <v>0</v>
      </c>
      <c r="AA52" s="133" cm="1">
        <f t="array" ref="AA52">IF(U52="",0,IF(U52="hybrid-Sch",_xlfn.XLOOKUP(E52&amp;U52&amp;F52,tab_act&amp;tab_mod&amp;tab_act1,tab_ls)*SchLS*T52/MGMT,_xlfn.XLOOKUP(E52&amp;U52&amp;F52,tab_act&amp;tab_mod&amp;tab_act1,tab_ls)*V52*T52/MGMT))</f>
        <v>0</v>
      </c>
      <c r="AB52" s="133" cm="1">
        <f t="array" ref="AB52">IF(U52="",0,_xlfn.XLOOKUP(E52&amp;U52&amp;F52,tab_act&amp;tab_mod&amp;tab_act1,tab_hu)*V52*T52/MGMT)</f>
        <v>0.34079999999999999</v>
      </c>
      <c r="AC52" s="133" cm="1">
        <f t="array" ref="AC52">IF(U52="",0,_xlfn.XLOOKUP(E52&amp;U52&amp;F52,tab_act&amp;tab_mod&amp;tab_act1,tab_mnp)*V52*T52/MGMT)</f>
        <v>0</v>
      </c>
      <c r="AD52" s="133" cm="1">
        <f t="array" ref="AD52">IF(U52="",0,_xlfn.XLOOKUP(E52&amp;U52&amp;F52,tab_act&amp;tab_mod&amp;tab_act1,tab_Psup)*V52*T52/MGMT)</f>
        <v>0</v>
      </c>
      <c r="AE52" s="133" cm="1">
        <f t="array" ref="AE52">IF(U52="",0,_xlfn.XLOOKUP(E52&amp;U52&amp;F52,tab_act&amp;tab_mod&amp;tab_act1,tab_csb1)*V52*T52/MGMT)</f>
        <v>3.4079999999999999</v>
      </c>
      <c r="AF52" s="133" cm="1">
        <f t="array" ref="AF52">IF(U52="",0,_xlfn.XLOOKUP(E52&amp;U52&amp;F52,tab_act&amp;tab_mod&amp;tab_act1,tab_csb2)*V52*T52/MGMT)</f>
        <v>0</v>
      </c>
      <c r="AG52" s="133" cm="1">
        <f t="array" ref="AG52">IF(U52="",0,_xlfn.XLOOKUP(E52&amp;U52&amp;F52,tab_act&amp;tab_mod&amp;tab_act1,tab_pdoz)*V52*T52/MGMT)</f>
        <v>0</v>
      </c>
      <c r="AH52" s="133" cm="1">
        <f t="array" ref="AH52">IF(U52="",0,_xlfn.XLOOKUP(E52&amp;U52&amp;F52,tab_act&amp;tab_mod&amp;tab_act1,tab_lns)*V52*T52/MGMT)</f>
        <v>0</v>
      </c>
      <c r="AI52" s="47">
        <f t="shared" si="3"/>
        <v>3.7488000000000001</v>
      </c>
      <c r="AJ52" s="48">
        <f t="shared" si="8"/>
        <v>0</v>
      </c>
      <c r="AK52" s="49" cm="1">
        <f t="array" ref="AK52">IF(U52="",0,_xlfn.XLOOKUP(E52&amp;U52&amp;F52,tab_act&amp;tab_mod&amp;tab_act1,tab_cash)*V52*T52)</f>
        <v>0</v>
      </c>
      <c r="AN52" s="140" t="str">
        <f t="shared" si="5"/>
        <v>A</v>
      </c>
    </row>
    <row r="53" spans="1:40" x14ac:dyDescent="0.35">
      <c r="B53" s="50" t="s">
        <v>129</v>
      </c>
      <c r="C53" s="44">
        <v>2023</v>
      </c>
      <c r="D53" s="44" t="s">
        <v>100</v>
      </c>
      <c r="E53" s="15" t="s">
        <v>39</v>
      </c>
      <c r="F53" s="15" t="s">
        <v>117</v>
      </c>
      <c r="G53" s="15" t="s">
        <v>159</v>
      </c>
      <c r="H53" s="44"/>
      <c r="I53" s="15" t="s">
        <v>213</v>
      </c>
      <c r="J53" s="15" t="s">
        <v>91</v>
      </c>
      <c r="K53" s="15" t="s">
        <v>97</v>
      </c>
      <c r="L53" s="15" t="s">
        <v>212</v>
      </c>
      <c r="M53" s="15" t="s">
        <v>158</v>
      </c>
      <c r="N53" s="15" t="s">
        <v>68</v>
      </c>
      <c r="O53" s="15" t="s">
        <v>152</v>
      </c>
      <c r="P53" s="15" t="s">
        <v>215</v>
      </c>
      <c r="Q53" s="135"/>
      <c r="R53" s="42">
        <v>606</v>
      </c>
      <c r="S53" s="42">
        <f t="shared" si="6"/>
        <v>606</v>
      </c>
      <c r="T53" s="43">
        <f t="shared" si="7"/>
        <v>606</v>
      </c>
      <c r="U53" s="15" t="s">
        <v>41</v>
      </c>
      <c r="V53" s="150">
        <v>30</v>
      </c>
      <c r="W53" s="133" cm="1">
        <f t="array" ref="W53">IF(U53="",0,_xlfn.XLOOKUP(E53&amp;U53&amp;F53,tab_act&amp;tab_mod&amp;tab_act1,tab_riz)*V53*T53/MGMT)</f>
        <v>0</v>
      </c>
      <c r="X53" s="43" cm="1">
        <f t="array" ref="X53">IF(U53="",0,_xlfn.XLOOKUP(E53&amp;U53&amp;F53,tab_act&amp;tab_mod&amp;tab_act1,tab_mc)*V53*T53/MGMT)</f>
        <v>0</v>
      </c>
      <c r="Y53" s="43" cm="1">
        <f t="array" ref="Y53">IF(U53="",0,_xlfn.XLOOKUP(E53&amp;U53&amp;F53,tab_act&amp;tab_mod&amp;tab_act1,tab_sor)*V53*T53/MGMT)</f>
        <v>0</v>
      </c>
      <c r="Z53" s="43" cm="1">
        <f t="array" ref="Z53">IF(U53="",0,_xlfn.XLOOKUP(E53&amp;U53&amp;F53,tab_act&amp;tab_mod&amp;tab_act1,tab_mg)*V53*T53/MGMT)</f>
        <v>0</v>
      </c>
      <c r="AA53" s="133" cm="1">
        <f t="array" ref="AA53">IF(U53="",0,IF(U53="hybrid-Sch",_xlfn.XLOOKUP(E53&amp;U53&amp;F53,tab_act&amp;tab_mod&amp;tab_act1,tab_ls)*SchLS*T53/MGMT,_xlfn.XLOOKUP(E53&amp;U53&amp;F53,tab_act&amp;tab_mod&amp;tab_act1,tab_ls)*V53*T53/MGMT))</f>
        <v>0</v>
      </c>
      <c r="AB53" s="133" cm="1">
        <f t="array" ref="AB53">IF(U53="",0,_xlfn.XLOOKUP(E53&amp;U53&amp;F53,tab_act&amp;tab_mod&amp;tab_act1,tab_hu)*V53*T53/MGMT)</f>
        <v>0.36359999999999998</v>
      </c>
      <c r="AC53" s="133" cm="1">
        <f t="array" ref="AC53">IF(U53="",0,_xlfn.XLOOKUP(E53&amp;U53&amp;F53,tab_act&amp;tab_mod&amp;tab_act1,tab_mnp)*V53*T53/MGMT)</f>
        <v>0</v>
      </c>
      <c r="AD53" s="133" cm="1">
        <f t="array" ref="AD53">IF(U53="",0,_xlfn.XLOOKUP(E53&amp;U53&amp;F53,tab_act&amp;tab_mod&amp;tab_act1,tab_Psup)*V53*T53/MGMT)</f>
        <v>0</v>
      </c>
      <c r="AE53" s="133" cm="1">
        <f t="array" ref="AE53">IF(U53="",0,_xlfn.XLOOKUP(E53&amp;U53&amp;F53,tab_act&amp;tab_mod&amp;tab_act1,tab_csb1)*V53*T53/MGMT)</f>
        <v>3.6360000000000001</v>
      </c>
      <c r="AF53" s="133" cm="1">
        <f t="array" ref="AF53">IF(U53="",0,_xlfn.XLOOKUP(E53&amp;U53&amp;F53,tab_act&amp;tab_mod&amp;tab_act1,tab_csb2)*V53*T53/MGMT)</f>
        <v>0</v>
      </c>
      <c r="AG53" s="133" cm="1">
        <f t="array" ref="AG53">IF(U53="",0,_xlfn.XLOOKUP(E53&amp;U53&amp;F53,tab_act&amp;tab_mod&amp;tab_act1,tab_pdoz)*V53*T53/MGMT)</f>
        <v>0</v>
      </c>
      <c r="AH53" s="133" cm="1">
        <f t="array" ref="AH53">IF(U53="",0,_xlfn.XLOOKUP(E53&amp;U53&amp;F53,tab_act&amp;tab_mod&amp;tab_act1,tab_lns)*V53*T53/MGMT)</f>
        <v>0</v>
      </c>
      <c r="AI53" s="47">
        <f t="shared" si="3"/>
        <v>3.9996</v>
      </c>
      <c r="AJ53" s="48">
        <f t="shared" si="8"/>
        <v>0</v>
      </c>
      <c r="AK53" s="49" cm="1">
        <f t="array" ref="AK53">IF(U53="",0,_xlfn.XLOOKUP(E53&amp;U53&amp;F53,tab_act&amp;tab_mod&amp;tab_act1,tab_cash)*V53*T53)</f>
        <v>0</v>
      </c>
      <c r="AN53" s="140" t="str">
        <f t="shared" si="5"/>
        <v>A</v>
      </c>
    </row>
    <row r="54" spans="1:40" x14ac:dyDescent="0.35">
      <c r="B54" s="50" t="s">
        <v>129</v>
      </c>
      <c r="C54" s="44">
        <v>2023</v>
      </c>
      <c r="D54" s="44" t="s">
        <v>100</v>
      </c>
      <c r="E54" s="15" t="s">
        <v>39</v>
      </c>
      <c r="F54" s="15" t="s">
        <v>117</v>
      </c>
      <c r="G54" s="15" t="s">
        <v>159</v>
      </c>
      <c r="H54" s="44"/>
      <c r="I54" s="15" t="s">
        <v>213</v>
      </c>
      <c r="J54" s="15" t="s">
        <v>91</v>
      </c>
      <c r="K54" s="15" t="s">
        <v>97</v>
      </c>
      <c r="L54" s="15" t="s">
        <v>212</v>
      </c>
      <c r="M54" s="15" t="s">
        <v>158</v>
      </c>
      <c r="N54" s="15" t="s">
        <v>68</v>
      </c>
      <c r="O54" s="15" t="s">
        <v>152</v>
      </c>
      <c r="P54" s="15" t="s">
        <v>216</v>
      </c>
      <c r="Q54" s="135"/>
      <c r="R54" s="42">
        <v>160</v>
      </c>
      <c r="S54" s="42">
        <f t="shared" si="6"/>
        <v>160</v>
      </c>
      <c r="T54" s="43">
        <f t="shared" si="7"/>
        <v>160</v>
      </c>
      <c r="U54" s="15" t="s">
        <v>41</v>
      </c>
      <c r="V54" s="150">
        <v>30</v>
      </c>
      <c r="W54" s="133" cm="1">
        <f t="array" ref="W54">IF(U54="",0,_xlfn.XLOOKUP(E54&amp;U54&amp;F54,tab_act&amp;tab_mod&amp;tab_act1,tab_riz)*V54*T54/MGMT)</f>
        <v>0</v>
      </c>
      <c r="X54" s="43" cm="1">
        <f t="array" ref="X54">IF(U54="",0,_xlfn.XLOOKUP(E54&amp;U54&amp;F54,tab_act&amp;tab_mod&amp;tab_act1,tab_mc)*V54*T54/MGMT)</f>
        <v>0</v>
      </c>
      <c r="Y54" s="43" cm="1">
        <f t="array" ref="Y54">IF(U54="",0,_xlfn.XLOOKUP(E54&amp;U54&amp;F54,tab_act&amp;tab_mod&amp;tab_act1,tab_sor)*V54*T54/MGMT)</f>
        <v>0</v>
      </c>
      <c r="Z54" s="43" cm="1">
        <f t="array" ref="Z54">IF(U54="",0,_xlfn.XLOOKUP(E54&amp;U54&amp;F54,tab_act&amp;tab_mod&amp;tab_act1,tab_mg)*V54*T54/MGMT)</f>
        <v>0</v>
      </c>
      <c r="AA54" s="133" cm="1">
        <f t="array" ref="AA54">IF(U54="",0,IF(U54="hybrid-Sch",_xlfn.XLOOKUP(E54&amp;U54&amp;F54,tab_act&amp;tab_mod&amp;tab_act1,tab_ls)*SchLS*T54/MGMT,_xlfn.XLOOKUP(E54&amp;U54&amp;F54,tab_act&amp;tab_mod&amp;tab_act1,tab_ls)*V54*T54/MGMT))</f>
        <v>0</v>
      </c>
      <c r="AB54" s="133" cm="1">
        <f t="array" ref="AB54">IF(U54="",0,_xlfn.XLOOKUP(E54&amp;U54&amp;F54,tab_act&amp;tab_mod&amp;tab_act1,tab_hu)*V54*T54/MGMT)</f>
        <v>9.6000000000000002E-2</v>
      </c>
      <c r="AC54" s="133" cm="1">
        <f t="array" ref="AC54">IF(U54="",0,_xlfn.XLOOKUP(E54&amp;U54&amp;F54,tab_act&amp;tab_mod&amp;tab_act1,tab_mnp)*V54*T54/MGMT)</f>
        <v>0</v>
      </c>
      <c r="AD54" s="133" cm="1">
        <f t="array" ref="AD54">IF(U54="",0,_xlfn.XLOOKUP(E54&amp;U54&amp;F54,tab_act&amp;tab_mod&amp;tab_act1,tab_Psup)*V54*T54/MGMT)</f>
        <v>0</v>
      </c>
      <c r="AE54" s="133" cm="1">
        <f t="array" ref="AE54">IF(U54="",0,_xlfn.XLOOKUP(E54&amp;U54&amp;F54,tab_act&amp;tab_mod&amp;tab_act1,tab_csb1)*V54*T54/MGMT)</f>
        <v>0.96</v>
      </c>
      <c r="AF54" s="133" cm="1">
        <f t="array" ref="AF54">IF(U54="",0,_xlfn.XLOOKUP(E54&amp;U54&amp;F54,tab_act&amp;tab_mod&amp;tab_act1,tab_csb2)*V54*T54/MGMT)</f>
        <v>0</v>
      </c>
      <c r="AG54" s="133" cm="1">
        <f t="array" ref="AG54">IF(U54="",0,_xlfn.XLOOKUP(E54&amp;U54&amp;F54,tab_act&amp;tab_mod&amp;tab_act1,tab_pdoz)*V54*T54/MGMT)</f>
        <v>0</v>
      </c>
      <c r="AH54" s="133" cm="1">
        <f t="array" ref="AH54">IF(U54="",0,_xlfn.XLOOKUP(E54&amp;U54&amp;F54,tab_act&amp;tab_mod&amp;tab_act1,tab_lns)*V54*T54/MGMT)</f>
        <v>0</v>
      </c>
      <c r="AI54" s="47">
        <f t="shared" si="3"/>
        <v>1.056</v>
      </c>
      <c r="AJ54" s="48">
        <f t="shared" si="8"/>
        <v>0</v>
      </c>
      <c r="AK54" s="49" cm="1">
        <f t="array" ref="AK54">IF(U54="",0,_xlfn.XLOOKUP(E54&amp;U54&amp;F54,tab_act&amp;tab_mod&amp;tab_act1,tab_cash)*V54*T54)</f>
        <v>0</v>
      </c>
      <c r="AN54" s="140" t="str">
        <f t="shared" si="5"/>
        <v>A</v>
      </c>
    </row>
    <row r="55" spans="1:40" x14ac:dyDescent="0.35">
      <c r="B55" s="50" t="s">
        <v>129</v>
      </c>
      <c r="C55" s="44">
        <v>2023</v>
      </c>
      <c r="D55" s="44" t="s">
        <v>100</v>
      </c>
      <c r="E55" s="15" t="s">
        <v>39</v>
      </c>
      <c r="F55" s="15" t="s">
        <v>117</v>
      </c>
      <c r="G55" s="15" t="s">
        <v>159</v>
      </c>
      <c r="H55" s="44"/>
      <c r="I55" s="15" t="s">
        <v>213</v>
      </c>
      <c r="J55" s="15" t="s">
        <v>91</v>
      </c>
      <c r="K55" s="15" t="s">
        <v>97</v>
      </c>
      <c r="L55" s="15" t="s">
        <v>212</v>
      </c>
      <c r="M55" s="15" t="s">
        <v>158</v>
      </c>
      <c r="N55" s="15" t="s">
        <v>68</v>
      </c>
      <c r="O55" s="15" t="s">
        <v>152</v>
      </c>
      <c r="P55" s="15" t="s">
        <v>217</v>
      </c>
      <c r="Q55" s="135"/>
      <c r="R55" s="42">
        <v>146</v>
      </c>
      <c r="S55" s="42">
        <f t="shared" si="6"/>
        <v>146</v>
      </c>
      <c r="T55" s="43">
        <f t="shared" si="7"/>
        <v>146</v>
      </c>
      <c r="U55" s="15" t="s">
        <v>41</v>
      </c>
      <c r="V55" s="150">
        <v>30</v>
      </c>
      <c r="W55" s="133" cm="1">
        <f t="array" ref="W55">IF(U55="",0,_xlfn.XLOOKUP(E55&amp;U55&amp;F55,tab_act&amp;tab_mod&amp;tab_act1,tab_riz)*V55*T55/MGMT)</f>
        <v>0</v>
      </c>
      <c r="X55" s="43" cm="1">
        <f t="array" ref="X55">IF(U55="",0,_xlfn.XLOOKUP(E55&amp;U55&amp;F55,tab_act&amp;tab_mod&amp;tab_act1,tab_mc)*V55*T55/MGMT)</f>
        <v>0</v>
      </c>
      <c r="Y55" s="43" cm="1">
        <f t="array" ref="Y55">IF(U55="",0,_xlfn.XLOOKUP(E55&amp;U55&amp;F55,tab_act&amp;tab_mod&amp;tab_act1,tab_sor)*V55*T55/MGMT)</f>
        <v>0</v>
      </c>
      <c r="Z55" s="43" cm="1">
        <f t="array" ref="Z55">IF(U55="",0,_xlfn.XLOOKUP(E55&amp;U55&amp;F55,tab_act&amp;tab_mod&amp;tab_act1,tab_mg)*V55*T55/MGMT)</f>
        <v>0</v>
      </c>
      <c r="AA55" s="133" cm="1">
        <f t="array" ref="AA55">IF(U55="",0,IF(U55="hybrid-Sch",_xlfn.XLOOKUP(E55&amp;U55&amp;F55,tab_act&amp;tab_mod&amp;tab_act1,tab_ls)*SchLS*T55/MGMT,_xlfn.XLOOKUP(E55&amp;U55&amp;F55,tab_act&amp;tab_mod&amp;tab_act1,tab_ls)*V55*T55/MGMT))</f>
        <v>0</v>
      </c>
      <c r="AB55" s="133" cm="1">
        <f t="array" ref="AB55">IF(U55="",0,_xlfn.XLOOKUP(E55&amp;U55&amp;F55,tab_act&amp;tab_mod&amp;tab_act1,tab_hu)*V55*T55/MGMT)</f>
        <v>8.7599999999999997E-2</v>
      </c>
      <c r="AC55" s="133" cm="1">
        <f t="array" ref="AC55">IF(U55="",0,_xlfn.XLOOKUP(E55&amp;U55&amp;F55,tab_act&amp;tab_mod&amp;tab_act1,tab_mnp)*V55*T55/MGMT)</f>
        <v>0</v>
      </c>
      <c r="AD55" s="133" cm="1">
        <f t="array" ref="AD55">IF(U55="",0,_xlfn.XLOOKUP(E55&amp;U55&amp;F55,tab_act&amp;tab_mod&amp;tab_act1,tab_Psup)*V55*T55/MGMT)</f>
        <v>0</v>
      </c>
      <c r="AE55" s="133" cm="1">
        <f t="array" ref="AE55">IF(U55="",0,_xlfn.XLOOKUP(E55&amp;U55&amp;F55,tab_act&amp;tab_mod&amp;tab_act1,tab_csb1)*V55*T55/MGMT)</f>
        <v>0.876</v>
      </c>
      <c r="AF55" s="133" cm="1">
        <f t="array" ref="AF55">IF(U55="",0,_xlfn.XLOOKUP(E55&amp;U55&amp;F55,tab_act&amp;tab_mod&amp;tab_act1,tab_csb2)*V55*T55/MGMT)</f>
        <v>0</v>
      </c>
      <c r="AG55" s="133" cm="1">
        <f t="array" ref="AG55">IF(U55="",0,_xlfn.XLOOKUP(E55&amp;U55&amp;F55,tab_act&amp;tab_mod&amp;tab_act1,tab_pdoz)*V55*T55/MGMT)</f>
        <v>0</v>
      </c>
      <c r="AH55" s="133" cm="1">
        <f t="array" ref="AH55">IF(U55="",0,_xlfn.XLOOKUP(E55&amp;U55&amp;F55,tab_act&amp;tab_mod&amp;tab_act1,tab_lns)*V55*T55/MGMT)</f>
        <v>0</v>
      </c>
      <c r="AI55" s="47">
        <f t="shared" si="3"/>
        <v>0.96360000000000001</v>
      </c>
      <c r="AJ55" s="48">
        <f t="shared" si="8"/>
        <v>0</v>
      </c>
      <c r="AK55" s="49" cm="1">
        <f t="array" ref="AK55">IF(U55="",0,_xlfn.XLOOKUP(E55&amp;U55&amp;F55,tab_act&amp;tab_mod&amp;tab_act1,tab_cash)*V55*T55)</f>
        <v>0</v>
      </c>
      <c r="AN55" s="140" t="str">
        <f t="shared" si="5"/>
        <v>A</v>
      </c>
    </row>
    <row r="56" spans="1:40" x14ac:dyDescent="0.35">
      <c r="B56" s="50" t="s">
        <v>129</v>
      </c>
      <c r="C56" s="44">
        <v>2023</v>
      </c>
      <c r="D56" s="44" t="s">
        <v>100</v>
      </c>
      <c r="E56" s="15" t="s">
        <v>39</v>
      </c>
      <c r="F56" s="15" t="s">
        <v>117</v>
      </c>
      <c r="G56" s="15" t="s">
        <v>159</v>
      </c>
      <c r="H56" s="44"/>
      <c r="I56" s="15" t="s">
        <v>213</v>
      </c>
      <c r="J56" s="15" t="s">
        <v>91</v>
      </c>
      <c r="K56" s="15" t="s">
        <v>97</v>
      </c>
      <c r="L56" s="15" t="s">
        <v>212</v>
      </c>
      <c r="M56" s="15" t="s">
        <v>158</v>
      </c>
      <c r="N56" s="15" t="s">
        <v>68</v>
      </c>
      <c r="O56" s="15" t="s">
        <v>152</v>
      </c>
      <c r="P56" s="15" t="s">
        <v>218</v>
      </c>
      <c r="Q56" s="135"/>
      <c r="R56" s="42">
        <v>580</v>
      </c>
      <c r="S56" s="42">
        <f t="shared" si="6"/>
        <v>580</v>
      </c>
      <c r="T56" s="43">
        <f t="shared" si="7"/>
        <v>580</v>
      </c>
      <c r="U56" s="15" t="s">
        <v>41</v>
      </c>
      <c r="V56" s="150">
        <v>30</v>
      </c>
      <c r="W56" s="133" cm="1">
        <f t="array" ref="W56">IF(U56="",0,_xlfn.XLOOKUP(E56&amp;U56&amp;F56,tab_act&amp;tab_mod&amp;tab_act1,tab_riz)*V56*T56/MGMT)</f>
        <v>0</v>
      </c>
      <c r="X56" s="43" cm="1">
        <f t="array" ref="X56">IF(U56="",0,_xlfn.XLOOKUP(E56&amp;U56&amp;F56,tab_act&amp;tab_mod&amp;tab_act1,tab_mc)*V56*T56/MGMT)</f>
        <v>0</v>
      </c>
      <c r="Y56" s="43" cm="1">
        <f t="array" ref="Y56">IF(U56="",0,_xlfn.XLOOKUP(E56&amp;U56&amp;F56,tab_act&amp;tab_mod&amp;tab_act1,tab_sor)*V56*T56/MGMT)</f>
        <v>0</v>
      </c>
      <c r="Z56" s="43" cm="1">
        <f t="array" ref="Z56">IF(U56="",0,_xlfn.XLOOKUP(E56&amp;U56&amp;F56,tab_act&amp;tab_mod&amp;tab_act1,tab_mg)*V56*T56/MGMT)</f>
        <v>0</v>
      </c>
      <c r="AA56" s="133" cm="1">
        <f t="array" ref="AA56">IF(U56="",0,IF(U56="hybrid-Sch",_xlfn.XLOOKUP(E56&amp;U56&amp;F56,tab_act&amp;tab_mod&amp;tab_act1,tab_ls)*SchLS*T56/MGMT,_xlfn.XLOOKUP(E56&amp;U56&amp;F56,tab_act&amp;tab_mod&amp;tab_act1,tab_ls)*V56*T56/MGMT))</f>
        <v>0</v>
      </c>
      <c r="AB56" s="133" cm="1">
        <f t="array" ref="AB56">IF(U56="",0,_xlfn.XLOOKUP(E56&amp;U56&amp;F56,tab_act&amp;tab_mod&amp;tab_act1,tab_hu)*V56*T56/MGMT)</f>
        <v>0.34799999999999998</v>
      </c>
      <c r="AC56" s="133" cm="1">
        <f t="array" ref="AC56">IF(U56="",0,_xlfn.XLOOKUP(E56&amp;U56&amp;F56,tab_act&amp;tab_mod&amp;tab_act1,tab_mnp)*V56*T56/MGMT)</f>
        <v>0</v>
      </c>
      <c r="AD56" s="133" cm="1">
        <f t="array" ref="AD56">IF(U56="",0,_xlfn.XLOOKUP(E56&amp;U56&amp;F56,tab_act&amp;tab_mod&amp;tab_act1,tab_Psup)*V56*T56/MGMT)</f>
        <v>0</v>
      </c>
      <c r="AE56" s="133" cm="1">
        <f t="array" ref="AE56">IF(U56="",0,_xlfn.XLOOKUP(E56&amp;U56&amp;F56,tab_act&amp;tab_mod&amp;tab_act1,tab_csb1)*V56*T56/MGMT)</f>
        <v>3.48</v>
      </c>
      <c r="AF56" s="133" cm="1">
        <f t="array" ref="AF56">IF(U56="",0,_xlfn.XLOOKUP(E56&amp;U56&amp;F56,tab_act&amp;tab_mod&amp;tab_act1,tab_csb2)*V56*T56/MGMT)</f>
        <v>0</v>
      </c>
      <c r="AG56" s="133" cm="1">
        <f t="array" ref="AG56">IF(U56="",0,_xlfn.XLOOKUP(E56&amp;U56&amp;F56,tab_act&amp;tab_mod&amp;tab_act1,tab_pdoz)*V56*T56/MGMT)</f>
        <v>0</v>
      </c>
      <c r="AH56" s="133" cm="1">
        <f t="array" ref="AH56">IF(U56="",0,_xlfn.XLOOKUP(E56&amp;U56&amp;F56,tab_act&amp;tab_mod&amp;tab_act1,tab_lns)*V56*T56/MGMT)</f>
        <v>0</v>
      </c>
      <c r="AI56" s="47">
        <f t="shared" si="3"/>
        <v>3.8279999999999998</v>
      </c>
      <c r="AJ56" s="48">
        <f t="shared" si="8"/>
        <v>0</v>
      </c>
      <c r="AK56" s="49" cm="1">
        <f t="array" ref="AK56">IF(U56="",0,_xlfn.XLOOKUP(E56&amp;U56&amp;F56,tab_act&amp;tab_mod&amp;tab_act1,tab_cash)*V56*T56)</f>
        <v>0</v>
      </c>
      <c r="AN56" s="140" t="str">
        <f t="shared" si="5"/>
        <v>A</v>
      </c>
    </row>
    <row r="57" spans="1:40" x14ac:dyDescent="0.35">
      <c r="B57" s="50" t="s">
        <v>129</v>
      </c>
      <c r="C57" s="44">
        <v>2023</v>
      </c>
      <c r="D57" s="44" t="s">
        <v>100</v>
      </c>
      <c r="E57" s="15" t="s">
        <v>39</v>
      </c>
      <c r="F57" s="15" t="s">
        <v>117</v>
      </c>
      <c r="G57" s="15" t="s">
        <v>159</v>
      </c>
      <c r="H57" s="44"/>
      <c r="I57" s="15" t="s">
        <v>213</v>
      </c>
      <c r="J57" s="15" t="s">
        <v>91</v>
      </c>
      <c r="K57" s="15" t="s">
        <v>97</v>
      </c>
      <c r="L57" s="15" t="s">
        <v>212</v>
      </c>
      <c r="M57" s="15" t="s">
        <v>158</v>
      </c>
      <c r="N57" s="15" t="s">
        <v>68</v>
      </c>
      <c r="O57" s="15" t="s">
        <v>152</v>
      </c>
      <c r="P57" s="15" t="s">
        <v>219</v>
      </c>
      <c r="Q57" s="135"/>
      <c r="R57" s="42">
        <v>202</v>
      </c>
      <c r="S57" s="42">
        <f t="shared" si="6"/>
        <v>202</v>
      </c>
      <c r="T57" s="43">
        <f t="shared" si="7"/>
        <v>202</v>
      </c>
      <c r="U57" s="15" t="s">
        <v>41</v>
      </c>
      <c r="V57" s="150">
        <v>30</v>
      </c>
      <c r="W57" s="133" cm="1">
        <f t="array" ref="W57">IF(U57="",0,_xlfn.XLOOKUP(E57&amp;U57&amp;F57,tab_act&amp;tab_mod&amp;tab_act1,tab_riz)*V57*T57/MGMT)</f>
        <v>0</v>
      </c>
      <c r="X57" s="43" cm="1">
        <f t="array" ref="X57">IF(U57="",0,_xlfn.XLOOKUP(E57&amp;U57&amp;F57,tab_act&amp;tab_mod&amp;tab_act1,tab_mc)*V57*T57/MGMT)</f>
        <v>0</v>
      </c>
      <c r="Y57" s="43" cm="1">
        <f t="array" ref="Y57">IF(U57="",0,_xlfn.XLOOKUP(E57&amp;U57&amp;F57,tab_act&amp;tab_mod&amp;tab_act1,tab_sor)*V57*T57/MGMT)</f>
        <v>0</v>
      </c>
      <c r="Z57" s="43" cm="1">
        <f t="array" ref="Z57">IF(U57="",0,_xlfn.XLOOKUP(E57&amp;U57&amp;F57,tab_act&amp;tab_mod&amp;tab_act1,tab_mg)*V57*T57/MGMT)</f>
        <v>0</v>
      </c>
      <c r="AA57" s="133" cm="1">
        <f t="array" ref="AA57">IF(U57="",0,IF(U57="hybrid-Sch",_xlfn.XLOOKUP(E57&amp;U57&amp;F57,tab_act&amp;tab_mod&amp;tab_act1,tab_ls)*SchLS*T57/MGMT,_xlfn.XLOOKUP(E57&amp;U57&amp;F57,tab_act&amp;tab_mod&amp;tab_act1,tab_ls)*V57*T57/MGMT))</f>
        <v>0</v>
      </c>
      <c r="AB57" s="133" cm="1">
        <f t="array" ref="AB57">IF(U57="",0,_xlfn.XLOOKUP(E57&amp;U57&amp;F57,tab_act&amp;tab_mod&amp;tab_act1,tab_hu)*V57*T57/MGMT)</f>
        <v>0.1212</v>
      </c>
      <c r="AC57" s="133" cm="1">
        <f t="array" ref="AC57">IF(U57="",0,_xlfn.XLOOKUP(E57&amp;U57&amp;F57,tab_act&amp;tab_mod&amp;tab_act1,tab_mnp)*V57*T57/MGMT)</f>
        <v>0</v>
      </c>
      <c r="AD57" s="133" cm="1">
        <f t="array" ref="AD57">IF(U57="",0,_xlfn.XLOOKUP(E57&amp;U57&amp;F57,tab_act&amp;tab_mod&amp;tab_act1,tab_Psup)*V57*T57/MGMT)</f>
        <v>0</v>
      </c>
      <c r="AE57" s="133" cm="1">
        <f t="array" ref="AE57">IF(U57="",0,_xlfn.XLOOKUP(E57&amp;U57&amp;F57,tab_act&amp;tab_mod&amp;tab_act1,tab_csb1)*V57*T57/MGMT)</f>
        <v>1.212</v>
      </c>
      <c r="AF57" s="133" cm="1">
        <f t="array" ref="AF57">IF(U57="",0,_xlfn.XLOOKUP(E57&amp;U57&amp;F57,tab_act&amp;tab_mod&amp;tab_act1,tab_csb2)*V57*T57/MGMT)</f>
        <v>0</v>
      </c>
      <c r="AG57" s="133" cm="1">
        <f t="array" ref="AG57">IF(U57="",0,_xlfn.XLOOKUP(E57&amp;U57&amp;F57,tab_act&amp;tab_mod&amp;tab_act1,tab_pdoz)*V57*T57/MGMT)</f>
        <v>0</v>
      </c>
      <c r="AH57" s="133" cm="1">
        <f t="array" ref="AH57">IF(U57="",0,_xlfn.XLOOKUP(E57&amp;U57&amp;F57,tab_act&amp;tab_mod&amp;tab_act1,tab_lns)*V57*T57/MGMT)</f>
        <v>0</v>
      </c>
      <c r="AI57" s="47">
        <f t="shared" si="3"/>
        <v>1.3331999999999999</v>
      </c>
      <c r="AJ57" s="48">
        <f t="shared" si="8"/>
        <v>0</v>
      </c>
      <c r="AK57" s="49" cm="1">
        <f t="array" ref="AK57">IF(U57="",0,_xlfn.XLOOKUP(E57&amp;U57&amp;F57,tab_act&amp;tab_mod&amp;tab_act1,tab_cash)*V57*T57)</f>
        <v>0</v>
      </c>
      <c r="AN57" s="140" t="str">
        <f t="shared" si="5"/>
        <v>A</v>
      </c>
    </row>
    <row r="58" spans="1:40" x14ac:dyDescent="0.35">
      <c r="B58" s="50" t="s">
        <v>129</v>
      </c>
      <c r="C58" s="44">
        <v>2023</v>
      </c>
      <c r="D58" s="44" t="s">
        <v>100</v>
      </c>
      <c r="E58" s="15" t="s">
        <v>39</v>
      </c>
      <c r="F58" s="15" t="s">
        <v>117</v>
      </c>
      <c r="G58" s="15" t="s">
        <v>159</v>
      </c>
      <c r="H58" s="44"/>
      <c r="I58" s="15" t="s">
        <v>213</v>
      </c>
      <c r="J58" s="15" t="s">
        <v>91</v>
      </c>
      <c r="K58" s="15" t="s">
        <v>97</v>
      </c>
      <c r="L58" s="15" t="s">
        <v>212</v>
      </c>
      <c r="M58" s="15" t="s">
        <v>158</v>
      </c>
      <c r="N58" s="15" t="s">
        <v>68</v>
      </c>
      <c r="O58" s="15" t="s">
        <v>152</v>
      </c>
      <c r="P58" s="15" t="s">
        <v>220</v>
      </c>
      <c r="Q58" s="135"/>
      <c r="R58" s="42">
        <v>148</v>
      </c>
      <c r="S58" s="42">
        <f t="shared" si="6"/>
        <v>148</v>
      </c>
      <c r="T58" s="43">
        <f t="shared" si="7"/>
        <v>148</v>
      </c>
      <c r="U58" s="15" t="s">
        <v>41</v>
      </c>
      <c r="V58" s="150">
        <v>30</v>
      </c>
      <c r="W58" s="133" cm="1">
        <f t="array" ref="W58">IF(U58="",0,_xlfn.XLOOKUP(E58&amp;U58&amp;F58,tab_act&amp;tab_mod&amp;tab_act1,tab_riz)*V58*T58/MGMT)</f>
        <v>0</v>
      </c>
      <c r="X58" s="43" cm="1">
        <f t="array" ref="X58">IF(U58="",0,_xlfn.XLOOKUP(E58&amp;U58&amp;F58,tab_act&amp;tab_mod&amp;tab_act1,tab_mc)*V58*T58/MGMT)</f>
        <v>0</v>
      </c>
      <c r="Y58" s="43" cm="1">
        <f t="array" ref="Y58">IF(U58="",0,_xlfn.XLOOKUP(E58&amp;U58&amp;F58,tab_act&amp;tab_mod&amp;tab_act1,tab_sor)*V58*T58/MGMT)</f>
        <v>0</v>
      </c>
      <c r="Z58" s="43" cm="1">
        <f t="array" ref="Z58">IF(U58="",0,_xlfn.XLOOKUP(E58&amp;U58&amp;F58,tab_act&amp;tab_mod&amp;tab_act1,tab_mg)*V58*T58/MGMT)</f>
        <v>0</v>
      </c>
      <c r="AA58" s="133" cm="1">
        <f t="array" ref="AA58">IF(U58="",0,IF(U58="hybrid-Sch",_xlfn.XLOOKUP(E58&amp;U58&amp;F58,tab_act&amp;tab_mod&amp;tab_act1,tab_ls)*SchLS*T58/MGMT,_xlfn.XLOOKUP(E58&amp;U58&amp;F58,tab_act&amp;tab_mod&amp;tab_act1,tab_ls)*V58*T58/MGMT))</f>
        <v>0</v>
      </c>
      <c r="AB58" s="133" cm="1">
        <f t="array" ref="AB58">IF(U58="",0,_xlfn.XLOOKUP(E58&amp;U58&amp;F58,tab_act&amp;tab_mod&amp;tab_act1,tab_hu)*V58*T58/MGMT)</f>
        <v>8.8800000000000004E-2</v>
      </c>
      <c r="AC58" s="133" cm="1">
        <f t="array" ref="AC58">IF(U58="",0,_xlfn.XLOOKUP(E58&amp;U58&amp;F58,tab_act&amp;tab_mod&amp;tab_act1,tab_mnp)*V58*T58/MGMT)</f>
        <v>0</v>
      </c>
      <c r="AD58" s="133" cm="1">
        <f t="array" ref="AD58">IF(U58="",0,_xlfn.XLOOKUP(E58&amp;U58&amp;F58,tab_act&amp;tab_mod&amp;tab_act1,tab_Psup)*V58*T58/MGMT)</f>
        <v>0</v>
      </c>
      <c r="AE58" s="133" cm="1">
        <f t="array" ref="AE58">IF(U58="",0,_xlfn.XLOOKUP(E58&amp;U58&amp;F58,tab_act&amp;tab_mod&amp;tab_act1,tab_csb1)*V58*T58/MGMT)</f>
        <v>0.88800000000000001</v>
      </c>
      <c r="AF58" s="133" cm="1">
        <f t="array" ref="AF58">IF(U58="",0,_xlfn.XLOOKUP(E58&amp;U58&amp;F58,tab_act&amp;tab_mod&amp;tab_act1,tab_csb2)*V58*T58/MGMT)</f>
        <v>0</v>
      </c>
      <c r="AG58" s="133" cm="1">
        <f t="array" ref="AG58">IF(U58="",0,_xlfn.XLOOKUP(E58&amp;U58&amp;F58,tab_act&amp;tab_mod&amp;tab_act1,tab_pdoz)*V58*T58/MGMT)</f>
        <v>0</v>
      </c>
      <c r="AH58" s="133" cm="1">
        <f t="array" ref="AH58">IF(U58="",0,_xlfn.XLOOKUP(E58&amp;U58&amp;F58,tab_act&amp;tab_mod&amp;tab_act1,tab_lns)*V58*T58/MGMT)</f>
        <v>0</v>
      </c>
      <c r="AI58" s="47">
        <f t="shared" si="3"/>
        <v>0.9768</v>
      </c>
      <c r="AJ58" s="48">
        <f t="shared" si="8"/>
        <v>0</v>
      </c>
      <c r="AK58" s="49" cm="1">
        <f t="array" ref="AK58">IF(U58="",0,_xlfn.XLOOKUP(E58&amp;U58&amp;F58,tab_act&amp;tab_mod&amp;tab_act1,tab_cash)*V58*T58)</f>
        <v>0</v>
      </c>
      <c r="AN58" s="140" t="str">
        <f t="shared" si="5"/>
        <v>A</v>
      </c>
    </row>
    <row r="59" spans="1:40" x14ac:dyDescent="0.35">
      <c r="B59" s="50" t="s">
        <v>129</v>
      </c>
      <c r="C59" s="44">
        <v>2023</v>
      </c>
      <c r="D59" s="44" t="s">
        <v>100</v>
      </c>
      <c r="E59" s="15" t="s">
        <v>39</v>
      </c>
      <c r="F59" s="15" t="s">
        <v>117</v>
      </c>
      <c r="G59" s="15" t="s">
        <v>159</v>
      </c>
      <c r="H59" s="44"/>
      <c r="I59" s="15" t="s">
        <v>213</v>
      </c>
      <c r="J59" s="15" t="s">
        <v>91</v>
      </c>
      <c r="K59" s="15" t="s">
        <v>97</v>
      </c>
      <c r="L59" s="15" t="s">
        <v>212</v>
      </c>
      <c r="M59" s="15" t="s">
        <v>158</v>
      </c>
      <c r="N59" s="15" t="s">
        <v>68</v>
      </c>
      <c r="O59" s="15" t="s">
        <v>152</v>
      </c>
      <c r="P59" s="15" t="s">
        <v>221</v>
      </c>
      <c r="Q59" s="135"/>
      <c r="R59" s="42">
        <v>218</v>
      </c>
      <c r="S59" s="42">
        <f t="shared" si="6"/>
        <v>218</v>
      </c>
      <c r="T59" s="43">
        <f t="shared" si="7"/>
        <v>218</v>
      </c>
      <c r="U59" s="15" t="s">
        <v>41</v>
      </c>
      <c r="V59" s="150">
        <v>30</v>
      </c>
      <c r="W59" s="133" cm="1">
        <f t="array" ref="W59">IF(U59="",0,_xlfn.XLOOKUP(E59&amp;U59&amp;F59,tab_act&amp;tab_mod&amp;tab_act1,tab_riz)*V59*T59/MGMT)</f>
        <v>0</v>
      </c>
      <c r="X59" s="43" cm="1">
        <f t="array" ref="X59">IF(U59="",0,_xlfn.XLOOKUP(E59&amp;U59&amp;F59,tab_act&amp;tab_mod&amp;tab_act1,tab_mc)*V59*T59/MGMT)</f>
        <v>0</v>
      </c>
      <c r="Y59" s="43" cm="1">
        <f t="array" ref="Y59">IF(U59="",0,_xlfn.XLOOKUP(E59&amp;U59&amp;F59,tab_act&amp;tab_mod&amp;tab_act1,tab_sor)*V59*T59/MGMT)</f>
        <v>0</v>
      </c>
      <c r="Z59" s="43" cm="1">
        <f t="array" ref="Z59">IF(U59="",0,_xlfn.XLOOKUP(E59&amp;U59&amp;F59,tab_act&amp;tab_mod&amp;tab_act1,tab_mg)*V59*T59/MGMT)</f>
        <v>0</v>
      </c>
      <c r="AA59" s="133" cm="1">
        <f t="array" ref="AA59">IF(U59="",0,IF(U59="hybrid-Sch",_xlfn.XLOOKUP(E59&amp;U59&amp;F59,tab_act&amp;tab_mod&amp;tab_act1,tab_ls)*SchLS*T59/MGMT,_xlfn.XLOOKUP(E59&amp;U59&amp;F59,tab_act&amp;tab_mod&amp;tab_act1,tab_ls)*V59*T59/MGMT))</f>
        <v>0</v>
      </c>
      <c r="AB59" s="133" cm="1">
        <f t="array" ref="AB59">IF(U59="",0,_xlfn.XLOOKUP(E59&amp;U59&amp;F59,tab_act&amp;tab_mod&amp;tab_act1,tab_hu)*V59*T59/MGMT)</f>
        <v>0.1308</v>
      </c>
      <c r="AC59" s="133" cm="1">
        <f t="array" ref="AC59">IF(U59="",0,_xlfn.XLOOKUP(E59&amp;U59&amp;F59,tab_act&amp;tab_mod&amp;tab_act1,tab_mnp)*V59*T59/MGMT)</f>
        <v>0</v>
      </c>
      <c r="AD59" s="133" cm="1">
        <f t="array" ref="AD59">IF(U59="",0,_xlfn.XLOOKUP(E59&amp;U59&amp;F59,tab_act&amp;tab_mod&amp;tab_act1,tab_Psup)*V59*T59/MGMT)</f>
        <v>0</v>
      </c>
      <c r="AE59" s="133" cm="1">
        <f t="array" ref="AE59">IF(U59="",0,_xlfn.XLOOKUP(E59&amp;U59&amp;F59,tab_act&amp;tab_mod&amp;tab_act1,tab_csb1)*V59*T59/MGMT)</f>
        <v>1.3080000000000001</v>
      </c>
      <c r="AF59" s="133" cm="1">
        <f t="array" ref="AF59">IF(U59="",0,_xlfn.XLOOKUP(E59&amp;U59&amp;F59,tab_act&amp;tab_mod&amp;tab_act1,tab_csb2)*V59*T59/MGMT)</f>
        <v>0</v>
      </c>
      <c r="AG59" s="133" cm="1">
        <f t="array" ref="AG59">IF(U59="",0,_xlfn.XLOOKUP(E59&amp;U59&amp;F59,tab_act&amp;tab_mod&amp;tab_act1,tab_pdoz)*V59*T59/MGMT)</f>
        <v>0</v>
      </c>
      <c r="AH59" s="133" cm="1">
        <f t="array" ref="AH59">IF(U59="",0,_xlfn.XLOOKUP(E59&amp;U59&amp;F59,tab_act&amp;tab_mod&amp;tab_act1,tab_lns)*V59*T59/MGMT)</f>
        <v>0</v>
      </c>
      <c r="AI59" s="47">
        <f t="shared" si="3"/>
        <v>1.4388000000000001</v>
      </c>
      <c r="AJ59" s="48">
        <f t="shared" si="8"/>
        <v>0</v>
      </c>
      <c r="AK59" s="49" cm="1">
        <f t="array" ref="AK59">IF(U59="",0,_xlfn.XLOOKUP(E59&amp;U59&amp;F59,tab_act&amp;tab_mod&amp;tab_act1,tab_cash)*V59*T59)</f>
        <v>0</v>
      </c>
      <c r="AN59" s="140" t="str">
        <f t="shared" si="5"/>
        <v>A</v>
      </c>
    </row>
    <row r="60" spans="1:40" x14ac:dyDescent="0.35">
      <c r="B60" s="50" t="s">
        <v>129</v>
      </c>
      <c r="C60" s="44">
        <v>2023</v>
      </c>
      <c r="D60" s="44" t="s">
        <v>100</v>
      </c>
      <c r="E60" s="15" t="s">
        <v>39</v>
      </c>
      <c r="F60" s="15" t="s">
        <v>117</v>
      </c>
      <c r="G60" s="15" t="s">
        <v>159</v>
      </c>
      <c r="H60" s="44"/>
      <c r="I60" s="15" t="s">
        <v>213</v>
      </c>
      <c r="J60" s="15" t="s">
        <v>91</v>
      </c>
      <c r="K60" s="15" t="s">
        <v>97</v>
      </c>
      <c r="L60" s="15" t="s">
        <v>212</v>
      </c>
      <c r="M60" s="15" t="s">
        <v>158</v>
      </c>
      <c r="N60" s="15" t="s">
        <v>68</v>
      </c>
      <c r="O60" s="15" t="s">
        <v>222</v>
      </c>
      <c r="P60" s="15" t="s">
        <v>223</v>
      </c>
      <c r="Q60" s="135"/>
      <c r="R60" s="42">
        <v>702</v>
      </c>
      <c r="S60" s="42">
        <f t="shared" si="6"/>
        <v>702</v>
      </c>
      <c r="T60" s="43">
        <f t="shared" si="7"/>
        <v>702</v>
      </c>
      <c r="U60" s="15" t="s">
        <v>41</v>
      </c>
      <c r="V60" s="150">
        <v>30</v>
      </c>
      <c r="W60" s="133" cm="1">
        <f t="array" ref="W60">IF(U60="",0,_xlfn.XLOOKUP(E60&amp;U60&amp;F60,tab_act&amp;tab_mod&amp;tab_act1,tab_riz)*V60*T60/MGMT)</f>
        <v>0</v>
      </c>
      <c r="X60" s="43" cm="1">
        <f t="array" ref="X60">IF(U60="",0,_xlfn.XLOOKUP(E60&amp;U60&amp;F60,tab_act&amp;tab_mod&amp;tab_act1,tab_mc)*V60*T60/MGMT)</f>
        <v>0</v>
      </c>
      <c r="Y60" s="43" cm="1">
        <f t="array" ref="Y60">IF(U60="",0,_xlfn.XLOOKUP(E60&amp;U60&amp;F60,tab_act&amp;tab_mod&amp;tab_act1,tab_sor)*V60*T60/MGMT)</f>
        <v>0</v>
      </c>
      <c r="Z60" s="43" cm="1">
        <f t="array" ref="Z60">IF(U60="",0,_xlfn.XLOOKUP(E60&amp;U60&amp;F60,tab_act&amp;tab_mod&amp;tab_act1,tab_mg)*V60*T60/MGMT)</f>
        <v>0</v>
      </c>
      <c r="AA60" s="133" cm="1">
        <f t="array" ref="AA60">IF(U60="",0,IF(U60="hybrid-Sch",_xlfn.XLOOKUP(E60&amp;U60&amp;F60,tab_act&amp;tab_mod&amp;tab_act1,tab_ls)*SchLS*T60/MGMT,_xlfn.XLOOKUP(E60&amp;U60&amp;F60,tab_act&amp;tab_mod&amp;tab_act1,tab_ls)*V60*T60/MGMT))</f>
        <v>0</v>
      </c>
      <c r="AB60" s="133" cm="1">
        <f t="array" ref="AB60">IF(U60="",0,_xlfn.XLOOKUP(E60&amp;U60&amp;F60,tab_act&amp;tab_mod&amp;tab_act1,tab_hu)*V60*T60/MGMT)</f>
        <v>0.42120000000000002</v>
      </c>
      <c r="AC60" s="133" cm="1">
        <f t="array" ref="AC60">IF(U60="",0,_xlfn.XLOOKUP(E60&amp;U60&amp;F60,tab_act&amp;tab_mod&amp;tab_act1,tab_mnp)*V60*T60/MGMT)</f>
        <v>0</v>
      </c>
      <c r="AD60" s="133" cm="1">
        <f t="array" ref="AD60">IF(U60="",0,_xlfn.XLOOKUP(E60&amp;U60&amp;F60,tab_act&amp;tab_mod&amp;tab_act1,tab_Psup)*V60*T60/MGMT)</f>
        <v>0</v>
      </c>
      <c r="AE60" s="133" cm="1">
        <f t="array" ref="AE60">IF(U60="",0,_xlfn.XLOOKUP(E60&amp;U60&amp;F60,tab_act&amp;tab_mod&amp;tab_act1,tab_csb1)*V60*T60/MGMT)</f>
        <v>4.2119999999999997</v>
      </c>
      <c r="AF60" s="133" cm="1">
        <f t="array" ref="AF60">IF(U60="",0,_xlfn.XLOOKUP(E60&amp;U60&amp;F60,tab_act&amp;tab_mod&amp;tab_act1,tab_csb2)*V60*T60/MGMT)</f>
        <v>0</v>
      </c>
      <c r="AG60" s="133" cm="1">
        <f t="array" ref="AG60">IF(U60="",0,_xlfn.XLOOKUP(E60&amp;U60&amp;F60,tab_act&amp;tab_mod&amp;tab_act1,tab_pdoz)*V60*T60/MGMT)</f>
        <v>0</v>
      </c>
      <c r="AH60" s="133" cm="1">
        <f t="array" ref="AH60">IF(U60="",0,_xlfn.XLOOKUP(E60&amp;U60&amp;F60,tab_act&amp;tab_mod&amp;tab_act1,tab_lns)*V60*T60/MGMT)</f>
        <v>0</v>
      </c>
      <c r="AI60" s="47">
        <f t="shared" si="3"/>
        <v>4.6331999999999995</v>
      </c>
      <c r="AJ60" s="48">
        <f t="shared" si="8"/>
        <v>0</v>
      </c>
      <c r="AK60" s="49" cm="1">
        <f t="array" ref="AK60">IF(U60="",0,_xlfn.XLOOKUP(E60&amp;U60&amp;F60,tab_act&amp;tab_mod&amp;tab_act1,tab_cash)*V60*T60)</f>
        <v>0</v>
      </c>
      <c r="AN60" s="140" t="str">
        <f t="shared" si="5"/>
        <v>A</v>
      </c>
    </row>
    <row r="61" spans="1:40" x14ac:dyDescent="0.35">
      <c r="B61" s="50" t="s">
        <v>129</v>
      </c>
      <c r="C61" s="44">
        <v>2023</v>
      </c>
      <c r="D61" s="44" t="s">
        <v>100</v>
      </c>
      <c r="E61" s="15" t="s">
        <v>39</v>
      </c>
      <c r="F61" s="15" t="s">
        <v>117</v>
      </c>
      <c r="G61" s="15" t="s">
        <v>159</v>
      </c>
      <c r="H61" s="44"/>
      <c r="I61" s="15" t="s">
        <v>213</v>
      </c>
      <c r="J61" s="15" t="s">
        <v>91</v>
      </c>
      <c r="K61" s="15" t="s">
        <v>97</v>
      </c>
      <c r="L61" s="15" t="s">
        <v>212</v>
      </c>
      <c r="M61" s="15" t="s">
        <v>158</v>
      </c>
      <c r="N61" s="15" t="s">
        <v>68</v>
      </c>
      <c r="O61" s="15" t="s">
        <v>222</v>
      </c>
      <c r="P61" s="15" t="s">
        <v>224</v>
      </c>
      <c r="Q61" s="135"/>
      <c r="R61" s="42">
        <v>495</v>
      </c>
      <c r="S61" s="42">
        <f t="shared" si="6"/>
        <v>495</v>
      </c>
      <c r="T61" s="43">
        <f t="shared" si="7"/>
        <v>495</v>
      </c>
      <c r="U61" s="15" t="s">
        <v>41</v>
      </c>
      <c r="V61" s="150">
        <v>30</v>
      </c>
      <c r="W61" s="133" cm="1">
        <f t="array" ref="W61">IF(U61="",0,_xlfn.XLOOKUP(E61&amp;U61&amp;F61,tab_act&amp;tab_mod&amp;tab_act1,tab_riz)*V61*T61/MGMT)</f>
        <v>0</v>
      </c>
      <c r="X61" s="43" cm="1">
        <f t="array" ref="X61">IF(U61="",0,_xlfn.XLOOKUP(E61&amp;U61&amp;F61,tab_act&amp;tab_mod&amp;tab_act1,tab_mc)*V61*T61/MGMT)</f>
        <v>0</v>
      </c>
      <c r="Y61" s="43" cm="1">
        <f t="array" ref="Y61">IF(U61="",0,_xlfn.XLOOKUP(E61&amp;U61&amp;F61,tab_act&amp;tab_mod&amp;tab_act1,tab_sor)*V61*T61/MGMT)</f>
        <v>0</v>
      </c>
      <c r="Z61" s="43" cm="1">
        <f t="array" ref="Z61">IF(U61="",0,_xlfn.XLOOKUP(E61&amp;U61&amp;F61,tab_act&amp;tab_mod&amp;tab_act1,tab_mg)*V61*T61/MGMT)</f>
        <v>0</v>
      </c>
      <c r="AA61" s="133" cm="1">
        <f t="array" ref="AA61">IF(U61="",0,IF(U61="hybrid-Sch",_xlfn.XLOOKUP(E61&amp;U61&amp;F61,tab_act&amp;tab_mod&amp;tab_act1,tab_ls)*SchLS*T61/MGMT,_xlfn.XLOOKUP(E61&amp;U61&amp;F61,tab_act&amp;tab_mod&amp;tab_act1,tab_ls)*V61*T61/MGMT))</f>
        <v>0</v>
      </c>
      <c r="AB61" s="133" cm="1">
        <f t="array" ref="AB61">IF(U61="",0,_xlfn.XLOOKUP(E61&amp;U61&amp;F61,tab_act&amp;tab_mod&amp;tab_act1,tab_hu)*V61*T61/MGMT)</f>
        <v>0.29699999999999999</v>
      </c>
      <c r="AC61" s="133" cm="1">
        <f t="array" ref="AC61">IF(U61="",0,_xlfn.XLOOKUP(E61&amp;U61&amp;F61,tab_act&amp;tab_mod&amp;tab_act1,tab_mnp)*V61*T61/MGMT)</f>
        <v>0</v>
      </c>
      <c r="AD61" s="133" cm="1">
        <f t="array" ref="AD61">IF(U61="",0,_xlfn.XLOOKUP(E61&amp;U61&amp;F61,tab_act&amp;tab_mod&amp;tab_act1,tab_Psup)*V61*T61/MGMT)</f>
        <v>0</v>
      </c>
      <c r="AE61" s="133" cm="1">
        <f t="array" ref="AE61">IF(U61="",0,_xlfn.XLOOKUP(E61&amp;U61&amp;F61,tab_act&amp;tab_mod&amp;tab_act1,tab_csb1)*V61*T61/MGMT)</f>
        <v>2.97</v>
      </c>
      <c r="AF61" s="133" cm="1">
        <f t="array" ref="AF61">IF(U61="",0,_xlfn.XLOOKUP(E61&amp;U61&amp;F61,tab_act&amp;tab_mod&amp;tab_act1,tab_csb2)*V61*T61/MGMT)</f>
        <v>0</v>
      </c>
      <c r="AG61" s="133" cm="1">
        <f t="array" ref="AG61">IF(U61="",0,_xlfn.XLOOKUP(E61&amp;U61&amp;F61,tab_act&amp;tab_mod&amp;tab_act1,tab_pdoz)*V61*T61/MGMT)</f>
        <v>0</v>
      </c>
      <c r="AH61" s="133" cm="1">
        <f t="array" ref="AH61">IF(U61="",0,_xlfn.XLOOKUP(E61&amp;U61&amp;F61,tab_act&amp;tab_mod&amp;tab_act1,tab_lns)*V61*T61/MGMT)</f>
        <v>0</v>
      </c>
      <c r="AI61" s="47">
        <f t="shared" si="3"/>
        <v>3.2670000000000003</v>
      </c>
      <c r="AJ61" s="48">
        <f t="shared" si="8"/>
        <v>0</v>
      </c>
      <c r="AK61" s="49" cm="1">
        <f t="array" ref="AK61">IF(U61="",0,_xlfn.XLOOKUP(E61&amp;U61&amp;F61,tab_act&amp;tab_mod&amp;tab_act1,tab_cash)*V61*T61)</f>
        <v>0</v>
      </c>
      <c r="AN61" s="140" t="str">
        <f t="shared" si="5"/>
        <v>A</v>
      </c>
    </row>
    <row r="62" spans="1:40" s="90" customFormat="1" x14ac:dyDescent="0.35">
      <c r="A62"/>
      <c r="B62" s="50" t="s">
        <v>129</v>
      </c>
      <c r="C62" s="44">
        <v>2023</v>
      </c>
      <c r="D62" s="44" t="s">
        <v>100</v>
      </c>
      <c r="E62" s="15" t="s">
        <v>39</v>
      </c>
      <c r="F62" s="15" t="s">
        <v>117</v>
      </c>
      <c r="G62" s="15" t="s">
        <v>159</v>
      </c>
      <c r="H62" s="44"/>
      <c r="I62" s="15" t="s">
        <v>213</v>
      </c>
      <c r="J62" s="15" t="s">
        <v>91</v>
      </c>
      <c r="K62" s="15" t="s">
        <v>97</v>
      </c>
      <c r="L62" s="15" t="s">
        <v>212</v>
      </c>
      <c r="M62" s="15" t="s">
        <v>158</v>
      </c>
      <c r="N62" s="15" t="s">
        <v>68</v>
      </c>
      <c r="O62" s="15" t="s">
        <v>222</v>
      </c>
      <c r="P62" s="15" t="s">
        <v>225</v>
      </c>
      <c r="Q62" s="135"/>
      <c r="R62" s="42">
        <v>702</v>
      </c>
      <c r="S62" s="42">
        <f t="shared" si="6"/>
        <v>702</v>
      </c>
      <c r="T62" s="43">
        <f t="shared" si="7"/>
        <v>702</v>
      </c>
      <c r="U62" s="15" t="s">
        <v>41</v>
      </c>
      <c r="V62" s="150">
        <v>30</v>
      </c>
      <c r="W62" s="133" cm="1">
        <f t="array" ref="W62">IF(U62="",0,_xlfn.XLOOKUP(E62&amp;U62&amp;F62,tab_act&amp;tab_mod&amp;tab_act1,tab_riz)*V62*T62/MGMT)</f>
        <v>0</v>
      </c>
      <c r="X62" s="43" cm="1">
        <f t="array" ref="X62">IF(U62="",0,_xlfn.XLOOKUP(E62&amp;U62&amp;F62,tab_act&amp;tab_mod&amp;tab_act1,tab_mc)*V62*T62/MGMT)</f>
        <v>0</v>
      </c>
      <c r="Y62" s="43" cm="1">
        <f t="array" ref="Y62">IF(U62="",0,_xlfn.XLOOKUP(E62&amp;U62&amp;F62,tab_act&amp;tab_mod&amp;tab_act1,tab_sor)*V62*T62/MGMT)</f>
        <v>0</v>
      </c>
      <c r="Z62" s="43" cm="1">
        <f t="array" ref="Z62">IF(U62="",0,_xlfn.XLOOKUP(E62&amp;U62&amp;F62,tab_act&amp;tab_mod&amp;tab_act1,tab_mg)*V62*T62/MGMT)</f>
        <v>0</v>
      </c>
      <c r="AA62" s="133" cm="1">
        <f t="array" ref="AA62">IF(U62="",0,IF(U62="hybrid-Sch",_xlfn.XLOOKUP(E62&amp;U62&amp;F62,tab_act&amp;tab_mod&amp;tab_act1,tab_ls)*SchLS*T62/MGMT,_xlfn.XLOOKUP(E62&amp;U62&amp;F62,tab_act&amp;tab_mod&amp;tab_act1,tab_ls)*V62*T62/MGMT))</f>
        <v>0</v>
      </c>
      <c r="AB62" s="133" cm="1">
        <f t="array" ref="AB62">IF(U62="",0,_xlfn.XLOOKUP(E62&amp;U62&amp;F62,tab_act&amp;tab_mod&amp;tab_act1,tab_hu)*V62*T62/MGMT)</f>
        <v>0.42120000000000002</v>
      </c>
      <c r="AC62" s="133" cm="1">
        <f t="array" ref="AC62">IF(U62="",0,_xlfn.XLOOKUP(E62&amp;U62&amp;F62,tab_act&amp;tab_mod&amp;tab_act1,tab_mnp)*V62*T62/MGMT)</f>
        <v>0</v>
      </c>
      <c r="AD62" s="133" cm="1">
        <f t="array" ref="AD62">IF(U62="",0,_xlfn.XLOOKUP(E62&amp;U62&amp;F62,tab_act&amp;tab_mod&amp;tab_act1,tab_Psup)*V62*T62/MGMT)</f>
        <v>0</v>
      </c>
      <c r="AE62" s="133" cm="1">
        <f t="array" ref="AE62">IF(U62="",0,_xlfn.XLOOKUP(E62&amp;U62&amp;F62,tab_act&amp;tab_mod&amp;tab_act1,tab_csb1)*V62*T62/MGMT)</f>
        <v>4.2119999999999997</v>
      </c>
      <c r="AF62" s="133" cm="1">
        <f t="array" ref="AF62">IF(U62="",0,_xlfn.XLOOKUP(E62&amp;U62&amp;F62,tab_act&amp;tab_mod&amp;tab_act1,tab_csb2)*V62*T62/MGMT)</f>
        <v>0</v>
      </c>
      <c r="AG62" s="133" cm="1">
        <f t="array" ref="AG62">IF(U62="",0,_xlfn.XLOOKUP(E62&amp;U62&amp;F62,tab_act&amp;tab_mod&amp;tab_act1,tab_pdoz)*V62*T62/MGMT)</f>
        <v>0</v>
      </c>
      <c r="AH62" s="133" cm="1">
        <f t="array" ref="AH62">IF(U62="",0,_xlfn.XLOOKUP(E62&amp;U62&amp;F62,tab_act&amp;tab_mod&amp;tab_act1,tab_lns)*V62*T62/MGMT)</f>
        <v>0</v>
      </c>
      <c r="AI62" s="47">
        <f t="shared" si="3"/>
        <v>4.6331999999999995</v>
      </c>
      <c r="AJ62" s="48">
        <f t="shared" si="8"/>
        <v>0</v>
      </c>
      <c r="AK62" s="49" cm="1">
        <f t="array" ref="AK62">IF(U62="",0,_xlfn.XLOOKUP(E62&amp;U62&amp;F62,tab_act&amp;tab_mod&amp;tab_act1,tab_cash)*V62*T62)</f>
        <v>0</v>
      </c>
      <c r="AL62"/>
      <c r="AM62"/>
      <c r="AN62" s="140" t="str">
        <f t="shared" si="5"/>
        <v>A</v>
      </c>
    </row>
    <row r="63" spans="1:40" s="90" customFormat="1" x14ac:dyDescent="0.35">
      <c r="A63"/>
      <c r="B63" s="50" t="s">
        <v>129</v>
      </c>
      <c r="C63" s="44">
        <v>2023</v>
      </c>
      <c r="D63" s="44" t="s">
        <v>100</v>
      </c>
      <c r="E63" s="15" t="s">
        <v>39</v>
      </c>
      <c r="F63" s="15" t="s">
        <v>117</v>
      </c>
      <c r="G63" s="15" t="s">
        <v>159</v>
      </c>
      <c r="H63" s="44"/>
      <c r="I63" s="15" t="s">
        <v>213</v>
      </c>
      <c r="J63" s="15" t="s">
        <v>91</v>
      </c>
      <c r="K63" s="15" t="s">
        <v>97</v>
      </c>
      <c r="L63" s="15" t="s">
        <v>212</v>
      </c>
      <c r="M63" s="15" t="s">
        <v>158</v>
      </c>
      <c r="N63" s="15" t="s">
        <v>68</v>
      </c>
      <c r="O63" s="15" t="s">
        <v>222</v>
      </c>
      <c r="P63" s="15" t="s">
        <v>226</v>
      </c>
      <c r="Q63" s="135"/>
      <c r="R63" s="42">
        <v>720</v>
      </c>
      <c r="S63" s="42">
        <f t="shared" si="6"/>
        <v>720</v>
      </c>
      <c r="T63" s="43">
        <f t="shared" si="7"/>
        <v>720</v>
      </c>
      <c r="U63" s="15" t="s">
        <v>41</v>
      </c>
      <c r="V63" s="150">
        <v>30</v>
      </c>
      <c r="W63" s="133" cm="1">
        <f t="array" ref="W63">IF(U63="",0,_xlfn.XLOOKUP(E63&amp;U63&amp;F63,tab_act&amp;tab_mod&amp;tab_act1,tab_riz)*V63*T63/MGMT)</f>
        <v>0</v>
      </c>
      <c r="X63" s="43" cm="1">
        <f t="array" ref="X63">IF(U63="",0,_xlfn.XLOOKUP(E63&amp;U63&amp;F63,tab_act&amp;tab_mod&amp;tab_act1,tab_mc)*V63*T63/MGMT)</f>
        <v>0</v>
      </c>
      <c r="Y63" s="43" cm="1">
        <f t="array" ref="Y63">IF(U63="",0,_xlfn.XLOOKUP(E63&amp;U63&amp;F63,tab_act&amp;tab_mod&amp;tab_act1,tab_sor)*V63*T63/MGMT)</f>
        <v>0</v>
      </c>
      <c r="Z63" s="43" cm="1">
        <f t="array" ref="Z63">IF(U63="",0,_xlfn.XLOOKUP(E63&amp;U63&amp;F63,tab_act&amp;tab_mod&amp;tab_act1,tab_mg)*V63*T63/MGMT)</f>
        <v>0</v>
      </c>
      <c r="AA63" s="133" cm="1">
        <f t="array" ref="AA63">IF(U63="",0,IF(U63="hybrid-Sch",_xlfn.XLOOKUP(E63&amp;U63&amp;F63,tab_act&amp;tab_mod&amp;tab_act1,tab_ls)*SchLS*T63/MGMT,_xlfn.XLOOKUP(E63&amp;U63&amp;F63,tab_act&amp;tab_mod&amp;tab_act1,tab_ls)*V63*T63/MGMT))</f>
        <v>0</v>
      </c>
      <c r="AB63" s="133" cm="1">
        <f t="array" ref="AB63">IF(U63="",0,_xlfn.XLOOKUP(E63&amp;U63&amp;F63,tab_act&amp;tab_mod&amp;tab_act1,tab_hu)*V63*T63/MGMT)</f>
        <v>0.432</v>
      </c>
      <c r="AC63" s="133" cm="1">
        <f t="array" ref="AC63">IF(U63="",0,_xlfn.XLOOKUP(E63&amp;U63&amp;F63,tab_act&amp;tab_mod&amp;tab_act1,tab_mnp)*V63*T63/MGMT)</f>
        <v>0</v>
      </c>
      <c r="AD63" s="133" cm="1">
        <f t="array" ref="AD63">IF(U63="",0,_xlfn.XLOOKUP(E63&amp;U63&amp;F63,tab_act&amp;tab_mod&amp;tab_act1,tab_Psup)*V63*T63/MGMT)</f>
        <v>0</v>
      </c>
      <c r="AE63" s="133" cm="1">
        <f t="array" ref="AE63">IF(U63="",0,_xlfn.XLOOKUP(E63&amp;U63&amp;F63,tab_act&amp;tab_mod&amp;tab_act1,tab_csb1)*V63*T63/MGMT)</f>
        <v>4.32</v>
      </c>
      <c r="AF63" s="133" cm="1">
        <f t="array" ref="AF63">IF(U63="",0,_xlfn.XLOOKUP(E63&amp;U63&amp;F63,tab_act&amp;tab_mod&amp;tab_act1,tab_csb2)*V63*T63/MGMT)</f>
        <v>0</v>
      </c>
      <c r="AG63" s="133" cm="1">
        <f t="array" ref="AG63">IF(U63="",0,_xlfn.XLOOKUP(E63&amp;U63&amp;F63,tab_act&amp;tab_mod&amp;tab_act1,tab_pdoz)*V63*T63/MGMT)</f>
        <v>0</v>
      </c>
      <c r="AH63" s="133" cm="1">
        <f t="array" ref="AH63">IF(U63="",0,_xlfn.XLOOKUP(E63&amp;U63&amp;F63,tab_act&amp;tab_mod&amp;tab_act1,tab_lns)*V63*T63/MGMT)</f>
        <v>0</v>
      </c>
      <c r="AI63" s="47">
        <f t="shared" si="3"/>
        <v>4.7520000000000007</v>
      </c>
      <c r="AJ63" s="48">
        <f t="shared" si="8"/>
        <v>0</v>
      </c>
      <c r="AK63" s="49" cm="1">
        <f t="array" ref="AK63">IF(U63="",0,_xlfn.XLOOKUP(E63&amp;U63&amp;F63,tab_act&amp;tab_mod&amp;tab_act1,tab_cash)*V63*T63)</f>
        <v>0</v>
      </c>
      <c r="AL63"/>
      <c r="AM63"/>
      <c r="AN63" s="140" t="str">
        <f t="shared" si="5"/>
        <v>A</v>
      </c>
    </row>
    <row r="64" spans="1:40" s="90" customFormat="1" x14ac:dyDescent="0.35">
      <c r="A64"/>
      <c r="B64" s="50" t="s">
        <v>129</v>
      </c>
      <c r="C64" s="44">
        <v>2023</v>
      </c>
      <c r="D64" s="44" t="s">
        <v>100</v>
      </c>
      <c r="E64" s="15" t="s">
        <v>39</v>
      </c>
      <c r="F64" s="15" t="s">
        <v>117</v>
      </c>
      <c r="G64" s="15" t="s">
        <v>159</v>
      </c>
      <c r="H64" s="44"/>
      <c r="I64" s="15" t="s">
        <v>213</v>
      </c>
      <c r="J64" s="15" t="s">
        <v>91</v>
      </c>
      <c r="K64" s="15" t="s">
        <v>97</v>
      </c>
      <c r="L64" s="15" t="s">
        <v>212</v>
      </c>
      <c r="M64" s="15" t="s">
        <v>158</v>
      </c>
      <c r="N64" s="15" t="s">
        <v>68</v>
      </c>
      <c r="O64" s="15" t="s">
        <v>102</v>
      </c>
      <c r="P64" s="15" t="s">
        <v>227</v>
      </c>
      <c r="Q64" s="135"/>
      <c r="R64" s="42">
        <v>834</v>
      </c>
      <c r="S64" s="42">
        <f t="shared" si="6"/>
        <v>834</v>
      </c>
      <c r="T64" s="43">
        <f t="shared" si="7"/>
        <v>834</v>
      </c>
      <c r="U64" s="15" t="s">
        <v>41</v>
      </c>
      <c r="V64" s="150">
        <v>30</v>
      </c>
      <c r="W64" s="133" cm="1">
        <f t="array" ref="W64">IF(U64="",0,_xlfn.XLOOKUP(E64&amp;U64&amp;F64,tab_act&amp;tab_mod&amp;tab_act1,tab_riz)*V64*T64/MGMT)</f>
        <v>0</v>
      </c>
      <c r="X64" s="43" cm="1">
        <f t="array" ref="X64">IF(U64="",0,_xlfn.XLOOKUP(E64&amp;U64&amp;F64,tab_act&amp;tab_mod&amp;tab_act1,tab_mc)*V64*T64/MGMT)</f>
        <v>0</v>
      </c>
      <c r="Y64" s="43" cm="1">
        <f t="array" ref="Y64">IF(U64="",0,_xlfn.XLOOKUP(E64&amp;U64&amp;F64,tab_act&amp;tab_mod&amp;tab_act1,tab_sor)*V64*T64/MGMT)</f>
        <v>0</v>
      </c>
      <c r="Z64" s="43" cm="1">
        <f t="array" ref="Z64">IF(U64="",0,_xlfn.XLOOKUP(E64&amp;U64&amp;F64,tab_act&amp;tab_mod&amp;tab_act1,tab_mg)*V64*T64/MGMT)</f>
        <v>0</v>
      </c>
      <c r="AA64" s="133" cm="1">
        <f t="array" ref="AA64">IF(U64="",0,IF(U64="hybrid-Sch",_xlfn.XLOOKUP(E64&amp;U64&amp;F64,tab_act&amp;tab_mod&amp;tab_act1,tab_ls)*SchLS*T64/MGMT,_xlfn.XLOOKUP(E64&amp;U64&amp;F64,tab_act&amp;tab_mod&amp;tab_act1,tab_ls)*V64*T64/MGMT))</f>
        <v>0</v>
      </c>
      <c r="AB64" s="133" cm="1">
        <f t="array" ref="AB64">IF(U64="",0,_xlfn.XLOOKUP(E64&amp;U64&amp;F64,tab_act&amp;tab_mod&amp;tab_act1,tab_hu)*V64*T64/MGMT)</f>
        <v>0.50039999999999996</v>
      </c>
      <c r="AC64" s="133" cm="1">
        <f t="array" ref="AC64">IF(U64="",0,_xlfn.XLOOKUP(E64&amp;U64&amp;F64,tab_act&amp;tab_mod&amp;tab_act1,tab_mnp)*V64*T64/MGMT)</f>
        <v>0</v>
      </c>
      <c r="AD64" s="133" cm="1">
        <f t="array" ref="AD64">IF(U64="",0,_xlfn.XLOOKUP(E64&amp;U64&amp;F64,tab_act&amp;tab_mod&amp;tab_act1,tab_Psup)*V64*T64/MGMT)</f>
        <v>0</v>
      </c>
      <c r="AE64" s="133" cm="1">
        <f t="array" ref="AE64">IF(U64="",0,_xlfn.XLOOKUP(E64&amp;U64&amp;F64,tab_act&amp;tab_mod&amp;tab_act1,tab_csb1)*V64*T64/MGMT)</f>
        <v>5.0039999999999996</v>
      </c>
      <c r="AF64" s="133" cm="1">
        <f t="array" ref="AF64">IF(U64="",0,_xlfn.XLOOKUP(E64&amp;U64&amp;F64,tab_act&amp;tab_mod&amp;tab_act1,tab_csb2)*V64*T64/MGMT)</f>
        <v>0</v>
      </c>
      <c r="AG64" s="133" cm="1">
        <f t="array" ref="AG64">IF(U64="",0,_xlfn.XLOOKUP(E64&amp;U64&amp;F64,tab_act&amp;tab_mod&amp;tab_act1,tab_pdoz)*V64*T64/MGMT)</f>
        <v>0</v>
      </c>
      <c r="AH64" s="133" cm="1">
        <f t="array" ref="AH64">IF(U64="",0,_xlfn.XLOOKUP(E64&amp;U64&amp;F64,tab_act&amp;tab_mod&amp;tab_act1,tab_lns)*V64*T64/MGMT)</f>
        <v>0</v>
      </c>
      <c r="AI64" s="47">
        <f t="shared" si="3"/>
        <v>5.5043999999999995</v>
      </c>
      <c r="AJ64" s="48">
        <f t="shared" si="8"/>
        <v>0</v>
      </c>
      <c r="AK64" s="49" cm="1">
        <f t="array" ref="AK64">IF(U64="",0,_xlfn.XLOOKUP(E64&amp;U64&amp;F64,tab_act&amp;tab_mod&amp;tab_act1,tab_cash)*V64*T64)</f>
        <v>0</v>
      </c>
      <c r="AL64"/>
      <c r="AM64"/>
      <c r="AN64" s="140" t="str">
        <f t="shared" si="5"/>
        <v>A</v>
      </c>
    </row>
    <row r="65" spans="1:40" s="90" customFormat="1" x14ac:dyDescent="0.35">
      <c r="A65"/>
      <c r="B65" s="50" t="s">
        <v>129</v>
      </c>
      <c r="C65" s="44">
        <v>2023</v>
      </c>
      <c r="D65" s="44" t="s">
        <v>100</v>
      </c>
      <c r="E65" s="15" t="s">
        <v>39</v>
      </c>
      <c r="F65" s="15" t="s">
        <v>117</v>
      </c>
      <c r="G65" s="15" t="s">
        <v>159</v>
      </c>
      <c r="H65" s="44"/>
      <c r="I65" s="15" t="s">
        <v>213</v>
      </c>
      <c r="J65" s="15" t="s">
        <v>91</v>
      </c>
      <c r="K65" s="15" t="s">
        <v>97</v>
      </c>
      <c r="L65" s="15" t="s">
        <v>212</v>
      </c>
      <c r="M65" s="15" t="s">
        <v>158</v>
      </c>
      <c r="N65" s="15" t="s">
        <v>68</v>
      </c>
      <c r="O65" s="15" t="s">
        <v>102</v>
      </c>
      <c r="P65" s="15" t="s">
        <v>228</v>
      </c>
      <c r="Q65" s="135"/>
      <c r="R65" s="42">
        <v>398</v>
      </c>
      <c r="S65" s="42">
        <f t="shared" si="6"/>
        <v>398</v>
      </c>
      <c r="T65" s="43">
        <f t="shared" si="7"/>
        <v>398</v>
      </c>
      <c r="U65" s="15" t="s">
        <v>41</v>
      </c>
      <c r="V65" s="150">
        <v>30</v>
      </c>
      <c r="W65" s="133" cm="1">
        <f t="array" ref="W65">IF(U65="",0,_xlfn.XLOOKUP(E65&amp;U65&amp;F65,tab_act&amp;tab_mod&amp;tab_act1,tab_riz)*V65*T65/MGMT)</f>
        <v>0</v>
      </c>
      <c r="X65" s="43" cm="1">
        <f t="array" ref="X65">IF(U65="",0,_xlfn.XLOOKUP(E65&amp;U65&amp;F65,tab_act&amp;tab_mod&amp;tab_act1,tab_mc)*V65*T65/MGMT)</f>
        <v>0</v>
      </c>
      <c r="Y65" s="43" cm="1">
        <f t="array" ref="Y65">IF(U65="",0,_xlfn.XLOOKUP(E65&amp;U65&amp;F65,tab_act&amp;tab_mod&amp;tab_act1,tab_sor)*V65*T65/MGMT)</f>
        <v>0</v>
      </c>
      <c r="Z65" s="43" cm="1">
        <f t="array" ref="Z65">IF(U65="",0,_xlfn.XLOOKUP(E65&amp;U65&amp;F65,tab_act&amp;tab_mod&amp;tab_act1,tab_mg)*V65*T65/MGMT)</f>
        <v>0</v>
      </c>
      <c r="AA65" s="133" cm="1">
        <f t="array" ref="AA65">IF(U65="",0,IF(U65="hybrid-Sch",_xlfn.XLOOKUP(E65&amp;U65&amp;F65,tab_act&amp;tab_mod&amp;tab_act1,tab_ls)*SchLS*T65/MGMT,_xlfn.XLOOKUP(E65&amp;U65&amp;F65,tab_act&amp;tab_mod&amp;tab_act1,tab_ls)*V65*T65/MGMT))</f>
        <v>0</v>
      </c>
      <c r="AB65" s="133" cm="1">
        <f t="array" ref="AB65">IF(U65="",0,_xlfn.XLOOKUP(E65&amp;U65&amp;F65,tab_act&amp;tab_mod&amp;tab_act1,tab_hu)*V65*T65/MGMT)</f>
        <v>0.23880000000000001</v>
      </c>
      <c r="AC65" s="133" cm="1">
        <f t="array" ref="AC65">IF(U65="",0,_xlfn.XLOOKUP(E65&amp;U65&amp;F65,tab_act&amp;tab_mod&amp;tab_act1,tab_mnp)*V65*T65/MGMT)</f>
        <v>0</v>
      </c>
      <c r="AD65" s="133" cm="1">
        <f t="array" ref="AD65">IF(U65="",0,_xlfn.XLOOKUP(E65&amp;U65&amp;F65,tab_act&amp;tab_mod&amp;tab_act1,tab_Psup)*V65*T65/MGMT)</f>
        <v>0</v>
      </c>
      <c r="AE65" s="133" cm="1">
        <f t="array" ref="AE65">IF(U65="",0,_xlfn.XLOOKUP(E65&amp;U65&amp;F65,tab_act&amp;tab_mod&amp;tab_act1,tab_csb1)*V65*T65/MGMT)</f>
        <v>2.3879999999999999</v>
      </c>
      <c r="AF65" s="133" cm="1">
        <f t="array" ref="AF65">IF(U65="",0,_xlfn.XLOOKUP(E65&amp;U65&amp;F65,tab_act&amp;tab_mod&amp;tab_act1,tab_csb2)*V65*T65/MGMT)</f>
        <v>0</v>
      </c>
      <c r="AG65" s="133" cm="1">
        <f t="array" ref="AG65">IF(U65="",0,_xlfn.XLOOKUP(E65&amp;U65&amp;F65,tab_act&amp;tab_mod&amp;tab_act1,tab_pdoz)*V65*T65/MGMT)</f>
        <v>0</v>
      </c>
      <c r="AH65" s="133" cm="1">
        <f t="array" ref="AH65">IF(U65="",0,_xlfn.XLOOKUP(E65&amp;U65&amp;F65,tab_act&amp;tab_mod&amp;tab_act1,tab_lns)*V65*T65/MGMT)</f>
        <v>0</v>
      </c>
      <c r="AI65" s="47">
        <f t="shared" si="3"/>
        <v>2.6267999999999998</v>
      </c>
      <c r="AJ65" s="48">
        <f t="shared" si="8"/>
        <v>0</v>
      </c>
      <c r="AK65" s="49" cm="1">
        <f t="array" ref="AK65">IF(U65="",0,_xlfn.XLOOKUP(E65&amp;U65&amp;F65,tab_act&amp;tab_mod&amp;tab_act1,tab_cash)*V65*T65)</f>
        <v>0</v>
      </c>
      <c r="AL65"/>
      <c r="AM65"/>
      <c r="AN65" s="140" t="str">
        <f t="shared" si="5"/>
        <v>A</v>
      </c>
    </row>
    <row r="66" spans="1:40" x14ac:dyDescent="0.35">
      <c r="B66" s="50" t="s">
        <v>129</v>
      </c>
      <c r="C66" s="44">
        <v>2023</v>
      </c>
      <c r="D66" s="44" t="s">
        <v>100</v>
      </c>
      <c r="E66" s="15" t="s">
        <v>39</v>
      </c>
      <c r="F66" s="15" t="s">
        <v>117</v>
      </c>
      <c r="G66" s="15" t="s">
        <v>159</v>
      </c>
      <c r="H66" s="44"/>
      <c r="I66" s="15" t="s">
        <v>213</v>
      </c>
      <c r="J66" s="15" t="s">
        <v>91</v>
      </c>
      <c r="K66" s="15" t="s">
        <v>97</v>
      </c>
      <c r="L66" s="15" t="s">
        <v>212</v>
      </c>
      <c r="M66" s="15" t="s">
        <v>158</v>
      </c>
      <c r="N66" s="15" t="s">
        <v>68</v>
      </c>
      <c r="O66" s="15" t="s">
        <v>102</v>
      </c>
      <c r="P66" s="15" t="s">
        <v>229</v>
      </c>
      <c r="Q66" s="135"/>
      <c r="R66" s="42">
        <v>182</v>
      </c>
      <c r="S66" s="42">
        <f t="shared" si="6"/>
        <v>182</v>
      </c>
      <c r="T66" s="43">
        <f t="shared" si="7"/>
        <v>182</v>
      </c>
      <c r="U66" s="15" t="s">
        <v>41</v>
      </c>
      <c r="V66" s="150">
        <v>30</v>
      </c>
      <c r="W66" s="133" cm="1">
        <f t="array" ref="W66">IF(U66="",0,_xlfn.XLOOKUP(E66&amp;U66&amp;F66,tab_act&amp;tab_mod&amp;tab_act1,tab_riz)*V66*T66/MGMT)</f>
        <v>0</v>
      </c>
      <c r="X66" s="43" cm="1">
        <f t="array" ref="X66">IF(U66="",0,_xlfn.XLOOKUP(E66&amp;U66&amp;F66,tab_act&amp;tab_mod&amp;tab_act1,tab_mc)*V66*T66/MGMT)</f>
        <v>0</v>
      </c>
      <c r="Y66" s="43" cm="1">
        <f t="array" ref="Y66">IF(U66="",0,_xlfn.XLOOKUP(E66&amp;U66&amp;F66,tab_act&amp;tab_mod&amp;tab_act1,tab_sor)*V66*T66/MGMT)</f>
        <v>0</v>
      </c>
      <c r="Z66" s="43" cm="1">
        <f t="array" ref="Z66">IF(U66="",0,_xlfn.XLOOKUP(E66&amp;U66&amp;F66,tab_act&amp;tab_mod&amp;tab_act1,tab_mg)*V66*T66/MGMT)</f>
        <v>0</v>
      </c>
      <c r="AA66" s="133" cm="1">
        <f t="array" ref="AA66">IF(U66="",0,IF(U66="hybrid-Sch",_xlfn.XLOOKUP(E66&amp;U66&amp;F66,tab_act&amp;tab_mod&amp;tab_act1,tab_ls)*SchLS*T66/MGMT,_xlfn.XLOOKUP(E66&amp;U66&amp;F66,tab_act&amp;tab_mod&amp;tab_act1,tab_ls)*V66*T66/MGMT))</f>
        <v>0</v>
      </c>
      <c r="AB66" s="133" cm="1">
        <f t="array" ref="AB66">IF(U66="",0,_xlfn.XLOOKUP(E66&amp;U66&amp;F66,tab_act&amp;tab_mod&amp;tab_act1,tab_hu)*V66*T66/MGMT)</f>
        <v>0.10920000000000001</v>
      </c>
      <c r="AC66" s="133" cm="1">
        <f t="array" ref="AC66">IF(U66="",0,_xlfn.XLOOKUP(E66&amp;U66&amp;F66,tab_act&amp;tab_mod&amp;tab_act1,tab_mnp)*V66*T66/MGMT)</f>
        <v>0</v>
      </c>
      <c r="AD66" s="133" cm="1">
        <f t="array" ref="AD66">IF(U66="",0,_xlfn.XLOOKUP(E66&amp;U66&amp;F66,tab_act&amp;tab_mod&amp;tab_act1,tab_Psup)*V66*T66/MGMT)</f>
        <v>0</v>
      </c>
      <c r="AE66" s="133" cm="1">
        <f t="array" ref="AE66">IF(U66="",0,_xlfn.XLOOKUP(E66&amp;U66&amp;F66,tab_act&amp;tab_mod&amp;tab_act1,tab_csb1)*V66*T66/MGMT)</f>
        <v>1.0920000000000001</v>
      </c>
      <c r="AF66" s="133" cm="1">
        <f t="array" ref="AF66">IF(U66="",0,_xlfn.XLOOKUP(E66&amp;U66&amp;F66,tab_act&amp;tab_mod&amp;tab_act1,tab_csb2)*V66*T66/MGMT)</f>
        <v>0</v>
      </c>
      <c r="AG66" s="133" cm="1">
        <f t="array" ref="AG66">IF(U66="",0,_xlfn.XLOOKUP(E66&amp;U66&amp;F66,tab_act&amp;tab_mod&amp;tab_act1,tab_pdoz)*V66*T66/MGMT)</f>
        <v>0</v>
      </c>
      <c r="AH66" s="133" cm="1">
        <f t="array" ref="AH66">IF(U66="",0,_xlfn.XLOOKUP(E66&amp;U66&amp;F66,tab_act&amp;tab_mod&amp;tab_act1,tab_lns)*V66*T66/MGMT)</f>
        <v>0</v>
      </c>
      <c r="AI66" s="47">
        <f t="shared" si="3"/>
        <v>1.2012</v>
      </c>
      <c r="AJ66" s="48">
        <f t="shared" si="8"/>
        <v>0</v>
      </c>
      <c r="AK66" s="49" cm="1">
        <f t="array" ref="AK66">IF(U66="",0,_xlfn.XLOOKUP(E66&amp;U66&amp;F66,tab_act&amp;tab_mod&amp;tab_act1,tab_cash)*V66*T66)</f>
        <v>0</v>
      </c>
      <c r="AN66" s="140" t="str">
        <f t="shared" si="5"/>
        <v>A</v>
      </c>
    </row>
    <row r="67" spans="1:40" x14ac:dyDescent="0.35">
      <c r="B67" s="50" t="s">
        <v>129</v>
      </c>
      <c r="C67" s="44">
        <v>2023</v>
      </c>
      <c r="D67" s="44" t="s">
        <v>100</v>
      </c>
      <c r="E67" s="15" t="s">
        <v>39</v>
      </c>
      <c r="F67" s="15" t="s">
        <v>117</v>
      </c>
      <c r="G67" s="15" t="s">
        <v>159</v>
      </c>
      <c r="H67" s="44"/>
      <c r="I67" s="15" t="s">
        <v>213</v>
      </c>
      <c r="J67" s="15" t="s">
        <v>91</v>
      </c>
      <c r="K67" s="15" t="s">
        <v>97</v>
      </c>
      <c r="L67" s="15" t="s">
        <v>212</v>
      </c>
      <c r="M67" s="15" t="s">
        <v>158</v>
      </c>
      <c r="N67" s="15" t="s">
        <v>68</v>
      </c>
      <c r="O67" s="15" t="s">
        <v>102</v>
      </c>
      <c r="P67" s="15" t="s">
        <v>230</v>
      </c>
      <c r="Q67" s="135"/>
      <c r="R67" s="42">
        <v>364</v>
      </c>
      <c r="S67" s="42">
        <f t="shared" si="6"/>
        <v>364</v>
      </c>
      <c r="T67" s="43">
        <f t="shared" si="7"/>
        <v>364</v>
      </c>
      <c r="U67" s="15" t="s">
        <v>41</v>
      </c>
      <c r="V67" s="150">
        <v>30</v>
      </c>
      <c r="W67" s="133" cm="1">
        <f t="array" ref="W67">IF(U67="",0,_xlfn.XLOOKUP(E67&amp;U67&amp;F67,tab_act&amp;tab_mod&amp;tab_act1,tab_riz)*V67*T67/MGMT)</f>
        <v>0</v>
      </c>
      <c r="X67" s="43" cm="1">
        <f t="array" ref="X67">IF(U67="",0,_xlfn.XLOOKUP(E67&amp;U67&amp;F67,tab_act&amp;tab_mod&amp;tab_act1,tab_mc)*V67*T67/MGMT)</f>
        <v>0</v>
      </c>
      <c r="Y67" s="43" cm="1">
        <f t="array" ref="Y67">IF(U67="",0,_xlfn.XLOOKUP(E67&amp;U67&amp;F67,tab_act&amp;tab_mod&amp;tab_act1,tab_sor)*V67*T67/MGMT)</f>
        <v>0</v>
      </c>
      <c r="Z67" s="43" cm="1">
        <f t="array" ref="Z67">IF(U67="",0,_xlfn.XLOOKUP(E67&amp;U67&amp;F67,tab_act&amp;tab_mod&amp;tab_act1,tab_mg)*V67*T67/MGMT)</f>
        <v>0</v>
      </c>
      <c r="AA67" s="133" cm="1">
        <f t="array" ref="AA67">IF(U67="",0,IF(U67="hybrid-Sch",_xlfn.XLOOKUP(E67&amp;U67&amp;F67,tab_act&amp;tab_mod&amp;tab_act1,tab_ls)*SchLS*T67/MGMT,_xlfn.XLOOKUP(E67&amp;U67&amp;F67,tab_act&amp;tab_mod&amp;tab_act1,tab_ls)*V67*T67/MGMT))</f>
        <v>0</v>
      </c>
      <c r="AB67" s="133" cm="1">
        <f t="array" ref="AB67">IF(U67="",0,_xlfn.XLOOKUP(E67&amp;U67&amp;F67,tab_act&amp;tab_mod&amp;tab_act1,tab_hu)*V67*T67/MGMT)</f>
        <v>0.21840000000000001</v>
      </c>
      <c r="AC67" s="133" cm="1">
        <f t="array" ref="AC67">IF(U67="",0,_xlfn.XLOOKUP(E67&amp;U67&amp;F67,tab_act&amp;tab_mod&amp;tab_act1,tab_mnp)*V67*T67/MGMT)</f>
        <v>0</v>
      </c>
      <c r="AD67" s="133" cm="1">
        <f t="array" ref="AD67">IF(U67="",0,_xlfn.XLOOKUP(E67&amp;U67&amp;F67,tab_act&amp;tab_mod&amp;tab_act1,tab_Psup)*V67*T67/MGMT)</f>
        <v>0</v>
      </c>
      <c r="AE67" s="133" cm="1">
        <f t="array" ref="AE67">IF(U67="",0,_xlfn.XLOOKUP(E67&amp;U67&amp;F67,tab_act&amp;tab_mod&amp;tab_act1,tab_csb1)*V67*T67/MGMT)</f>
        <v>2.1840000000000002</v>
      </c>
      <c r="AF67" s="133" cm="1">
        <f t="array" ref="AF67">IF(U67="",0,_xlfn.XLOOKUP(E67&amp;U67&amp;F67,tab_act&amp;tab_mod&amp;tab_act1,tab_csb2)*V67*T67/MGMT)</f>
        <v>0</v>
      </c>
      <c r="AG67" s="133" cm="1">
        <f t="array" ref="AG67">IF(U67="",0,_xlfn.XLOOKUP(E67&amp;U67&amp;F67,tab_act&amp;tab_mod&amp;tab_act1,tab_pdoz)*V67*T67/MGMT)</f>
        <v>0</v>
      </c>
      <c r="AH67" s="133" cm="1">
        <f t="array" ref="AH67">IF(U67="",0,_xlfn.XLOOKUP(E67&amp;U67&amp;F67,tab_act&amp;tab_mod&amp;tab_act1,tab_lns)*V67*T67/MGMT)</f>
        <v>0</v>
      </c>
      <c r="AI67" s="47">
        <f t="shared" si="3"/>
        <v>2.4024000000000001</v>
      </c>
      <c r="AJ67" s="48">
        <f t="shared" si="8"/>
        <v>0</v>
      </c>
      <c r="AK67" s="49" cm="1">
        <f t="array" ref="AK67">IF(U67="",0,_xlfn.XLOOKUP(E67&amp;U67&amp;F67,tab_act&amp;tab_mod&amp;tab_act1,tab_cash)*V67*T67)</f>
        <v>0</v>
      </c>
      <c r="AN67" s="140" t="str">
        <f t="shared" si="5"/>
        <v>A</v>
      </c>
    </row>
    <row r="68" spans="1:40" x14ac:dyDescent="0.35">
      <c r="B68" s="50" t="s">
        <v>129</v>
      </c>
      <c r="C68" s="44">
        <v>2023</v>
      </c>
      <c r="D68" s="44" t="s">
        <v>100</v>
      </c>
      <c r="E68" s="15" t="s">
        <v>39</v>
      </c>
      <c r="F68" s="15" t="s">
        <v>117</v>
      </c>
      <c r="G68" s="15" t="s">
        <v>159</v>
      </c>
      <c r="H68" s="44"/>
      <c r="I68" s="15" t="s">
        <v>213</v>
      </c>
      <c r="J68" s="15" t="s">
        <v>91</v>
      </c>
      <c r="K68" s="15" t="s">
        <v>97</v>
      </c>
      <c r="L68" s="15" t="s">
        <v>212</v>
      </c>
      <c r="M68" s="15" t="s">
        <v>158</v>
      </c>
      <c r="N68" s="15" t="s">
        <v>68</v>
      </c>
      <c r="O68" s="15" t="s">
        <v>102</v>
      </c>
      <c r="P68" s="15" t="s">
        <v>231</v>
      </c>
      <c r="Q68" s="135"/>
      <c r="R68" s="42">
        <v>864</v>
      </c>
      <c r="S68" s="42">
        <f t="shared" ref="S68:S99" si="9">SUM(Q68:R68)</f>
        <v>864</v>
      </c>
      <c r="T68" s="43">
        <f t="shared" ref="T68:T99" si="10">IF(E68="Sch",S68,IF(E68="nutrition",S68,S68/5))</f>
        <v>864</v>
      </c>
      <c r="U68" s="15" t="s">
        <v>41</v>
      </c>
      <c r="V68" s="150">
        <v>30</v>
      </c>
      <c r="W68" s="133" cm="1">
        <f t="array" ref="W68">IF(U68="",0,_xlfn.XLOOKUP(E68&amp;U68&amp;F68,tab_act&amp;tab_mod&amp;tab_act1,tab_riz)*V68*T68/MGMT)</f>
        <v>0</v>
      </c>
      <c r="X68" s="43" cm="1">
        <f t="array" ref="X68">IF(U68="",0,_xlfn.XLOOKUP(E68&amp;U68&amp;F68,tab_act&amp;tab_mod&amp;tab_act1,tab_mc)*V68*T68/MGMT)</f>
        <v>0</v>
      </c>
      <c r="Y68" s="43" cm="1">
        <f t="array" ref="Y68">IF(U68="",0,_xlfn.XLOOKUP(E68&amp;U68&amp;F68,tab_act&amp;tab_mod&amp;tab_act1,tab_sor)*V68*T68/MGMT)</f>
        <v>0</v>
      </c>
      <c r="Z68" s="43" cm="1">
        <f t="array" ref="Z68">IF(U68="",0,_xlfn.XLOOKUP(E68&amp;U68&amp;F68,tab_act&amp;tab_mod&amp;tab_act1,tab_mg)*V68*T68/MGMT)</f>
        <v>0</v>
      </c>
      <c r="AA68" s="133" cm="1">
        <f t="array" ref="AA68">IF(U68="",0,IF(U68="hybrid-Sch",_xlfn.XLOOKUP(E68&amp;U68&amp;F68,tab_act&amp;tab_mod&amp;tab_act1,tab_ls)*SchLS*T68/MGMT,_xlfn.XLOOKUP(E68&amp;U68&amp;F68,tab_act&amp;tab_mod&amp;tab_act1,tab_ls)*V68*T68/MGMT))</f>
        <v>0</v>
      </c>
      <c r="AB68" s="133" cm="1">
        <f t="array" ref="AB68">IF(U68="",0,_xlfn.XLOOKUP(E68&amp;U68&amp;F68,tab_act&amp;tab_mod&amp;tab_act1,tab_hu)*V68*T68/MGMT)</f>
        <v>0.51839999999999997</v>
      </c>
      <c r="AC68" s="133" cm="1">
        <f t="array" ref="AC68">IF(U68="",0,_xlfn.XLOOKUP(E68&amp;U68&amp;F68,tab_act&amp;tab_mod&amp;tab_act1,tab_mnp)*V68*T68/MGMT)</f>
        <v>0</v>
      </c>
      <c r="AD68" s="133" cm="1">
        <f t="array" ref="AD68">IF(U68="",0,_xlfn.XLOOKUP(E68&amp;U68&amp;F68,tab_act&amp;tab_mod&amp;tab_act1,tab_Psup)*V68*T68/MGMT)</f>
        <v>0</v>
      </c>
      <c r="AE68" s="133" cm="1">
        <f t="array" ref="AE68">IF(U68="",0,_xlfn.XLOOKUP(E68&amp;U68&amp;F68,tab_act&amp;tab_mod&amp;tab_act1,tab_csb1)*V68*T68/MGMT)</f>
        <v>5.1840000000000002</v>
      </c>
      <c r="AF68" s="133" cm="1">
        <f t="array" ref="AF68">IF(U68="",0,_xlfn.XLOOKUP(E68&amp;U68&amp;F68,tab_act&amp;tab_mod&amp;tab_act1,tab_csb2)*V68*T68/MGMT)</f>
        <v>0</v>
      </c>
      <c r="AG68" s="133" cm="1">
        <f t="array" ref="AG68">IF(U68="",0,_xlfn.XLOOKUP(E68&amp;U68&amp;F68,tab_act&amp;tab_mod&amp;tab_act1,tab_pdoz)*V68*T68/MGMT)</f>
        <v>0</v>
      </c>
      <c r="AH68" s="133" cm="1">
        <f t="array" ref="AH68">IF(U68="",0,_xlfn.XLOOKUP(E68&amp;U68&amp;F68,tab_act&amp;tab_mod&amp;tab_act1,tab_lns)*V68*T68/MGMT)</f>
        <v>0</v>
      </c>
      <c r="AI68" s="47">
        <f t="shared" ref="AI68:AI131" si="11">SUM(W68:AH68)</f>
        <v>5.7023999999999999</v>
      </c>
      <c r="AJ68" s="48">
        <f t="shared" ref="AJ68:AJ99" si="12">AK68*ExRate</f>
        <v>0</v>
      </c>
      <c r="AK68" s="49" cm="1">
        <f t="array" ref="AK68">IF(U68="",0,_xlfn.XLOOKUP(E68&amp;U68&amp;F68,tab_act&amp;tab_mod&amp;tab_act1,tab_cash)*V68*T68)</f>
        <v>0</v>
      </c>
      <c r="AN68" s="140" t="str">
        <f t="shared" ref="AN68:AN131" si="13">IF(V68="","IA",IF(V68=0,"IA","A"))</f>
        <v>A</v>
      </c>
    </row>
    <row r="69" spans="1:40" x14ac:dyDescent="0.35">
      <c r="B69" s="50" t="s">
        <v>129</v>
      </c>
      <c r="C69" s="44">
        <v>2023</v>
      </c>
      <c r="D69" s="44" t="s">
        <v>100</v>
      </c>
      <c r="E69" s="15" t="s">
        <v>39</v>
      </c>
      <c r="F69" s="15" t="s">
        <v>117</v>
      </c>
      <c r="G69" s="15" t="s">
        <v>159</v>
      </c>
      <c r="H69" s="44"/>
      <c r="I69" s="15" t="s">
        <v>213</v>
      </c>
      <c r="J69" s="15" t="s">
        <v>91</v>
      </c>
      <c r="K69" s="15" t="s">
        <v>97</v>
      </c>
      <c r="L69" s="15" t="s">
        <v>212</v>
      </c>
      <c r="M69" s="15" t="s">
        <v>158</v>
      </c>
      <c r="N69" s="15" t="s">
        <v>68</v>
      </c>
      <c r="O69" s="15" t="s">
        <v>102</v>
      </c>
      <c r="P69" s="15" t="s">
        <v>232</v>
      </c>
      <c r="Q69" s="135"/>
      <c r="R69" s="42">
        <v>584</v>
      </c>
      <c r="S69" s="42">
        <f t="shared" si="9"/>
        <v>584</v>
      </c>
      <c r="T69" s="43">
        <f t="shared" si="10"/>
        <v>584</v>
      </c>
      <c r="U69" s="15" t="s">
        <v>41</v>
      </c>
      <c r="V69" s="150">
        <v>30</v>
      </c>
      <c r="W69" s="133" cm="1">
        <f t="array" ref="W69">IF(U69="",0,_xlfn.XLOOKUP(E69&amp;U69&amp;F69,tab_act&amp;tab_mod&amp;tab_act1,tab_riz)*V69*T69/MGMT)</f>
        <v>0</v>
      </c>
      <c r="X69" s="43" cm="1">
        <f t="array" ref="X69">IF(U69="",0,_xlfn.XLOOKUP(E69&amp;U69&amp;F69,tab_act&amp;tab_mod&amp;tab_act1,tab_mc)*V69*T69/MGMT)</f>
        <v>0</v>
      </c>
      <c r="Y69" s="43" cm="1">
        <f t="array" ref="Y69">IF(U69="",0,_xlfn.XLOOKUP(E69&amp;U69&amp;F69,tab_act&amp;tab_mod&amp;tab_act1,tab_sor)*V69*T69/MGMT)</f>
        <v>0</v>
      </c>
      <c r="Z69" s="43" cm="1">
        <f t="array" ref="Z69">IF(U69="",0,_xlfn.XLOOKUP(E69&amp;U69&amp;F69,tab_act&amp;tab_mod&amp;tab_act1,tab_mg)*V69*T69/MGMT)</f>
        <v>0</v>
      </c>
      <c r="AA69" s="133" cm="1">
        <f t="array" ref="AA69">IF(U69="",0,IF(U69="hybrid-Sch",_xlfn.XLOOKUP(E69&amp;U69&amp;F69,tab_act&amp;tab_mod&amp;tab_act1,tab_ls)*SchLS*T69/MGMT,_xlfn.XLOOKUP(E69&amp;U69&amp;F69,tab_act&amp;tab_mod&amp;tab_act1,tab_ls)*V69*T69/MGMT))</f>
        <v>0</v>
      </c>
      <c r="AB69" s="133" cm="1">
        <f t="array" ref="AB69">IF(U69="",0,_xlfn.XLOOKUP(E69&amp;U69&amp;F69,tab_act&amp;tab_mod&amp;tab_act1,tab_hu)*V69*T69/MGMT)</f>
        <v>0.35039999999999999</v>
      </c>
      <c r="AC69" s="133" cm="1">
        <f t="array" ref="AC69">IF(U69="",0,_xlfn.XLOOKUP(E69&amp;U69&amp;F69,tab_act&amp;tab_mod&amp;tab_act1,tab_mnp)*V69*T69/MGMT)</f>
        <v>0</v>
      </c>
      <c r="AD69" s="133" cm="1">
        <f t="array" ref="AD69">IF(U69="",0,_xlfn.XLOOKUP(E69&amp;U69&amp;F69,tab_act&amp;tab_mod&amp;tab_act1,tab_Psup)*V69*T69/MGMT)</f>
        <v>0</v>
      </c>
      <c r="AE69" s="133" cm="1">
        <f t="array" ref="AE69">IF(U69="",0,_xlfn.XLOOKUP(E69&amp;U69&amp;F69,tab_act&amp;tab_mod&amp;tab_act1,tab_csb1)*V69*T69/MGMT)</f>
        <v>3.504</v>
      </c>
      <c r="AF69" s="133" cm="1">
        <f t="array" ref="AF69">IF(U69="",0,_xlfn.XLOOKUP(E69&amp;U69&amp;F69,tab_act&amp;tab_mod&amp;tab_act1,tab_csb2)*V69*T69/MGMT)</f>
        <v>0</v>
      </c>
      <c r="AG69" s="133" cm="1">
        <f t="array" ref="AG69">IF(U69="",0,_xlfn.XLOOKUP(E69&amp;U69&amp;F69,tab_act&amp;tab_mod&amp;tab_act1,tab_pdoz)*V69*T69/MGMT)</f>
        <v>0</v>
      </c>
      <c r="AH69" s="133" cm="1">
        <f t="array" ref="AH69">IF(U69="",0,_xlfn.XLOOKUP(E69&amp;U69&amp;F69,tab_act&amp;tab_mod&amp;tab_act1,tab_lns)*V69*T69/MGMT)</f>
        <v>0</v>
      </c>
      <c r="AI69" s="47">
        <f t="shared" si="11"/>
        <v>3.8544</v>
      </c>
      <c r="AJ69" s="48">
        <f t="shared" si="12"/>
        <v>0</v>
      </c>
      <c r="AK69" s="49" cm="1">
        <f t="array" ref="AK69">IF(U69="",0,_xlfn.XLOOKUP(E69&amp;U69&amp;F69,tab_act&amp;tab_mod&amp;tab_act1,tab_cash)*V69*T69)</f>
        <v>0</v>
      </c>
      <c r="AN69" s="140" t="str">
        <f t="shared" si="13"/>
        <v>A</v>
      </c>
    </row>
    <row r="70" spans="1:40" x14ac:dyDescent="0.35">
      <c r="B70" s="50" t="s">
        <v>129</v>
      </c>
      <c r="C70" s="44">
        <v>2023</v>
      </c>
      <c r="D70" s="44" t="s">
        <v>100</v>
      </c>
      <c r="E70" s="15" t="s">
        <v>39</v>
      </c>
      <c r="F70" s="15" t="s">
        <v>117</v>
      </c>
      <c r="G70" s="15" t="s">
        <v>159</v>
      </c>
      <c r="H70" s="44"/>
      <c r="I70" s="15" t="s">
        <v>213</v>
      </c>
      <c r="J70" s="15" t="s">
        <v>91</v>
      </c>
      <c r="K70" s="15" t="s">
        <v>97</v>
      </c>
      <c r="L70" s="15" t="s">
        <v>212</v>
      </c>
      <c r="M70" s="15" t="s">
        <v>158</v>
      </c>
      <c r="N70" s="15" t="s">
        <v>68</v>
      </c>
      <c r="O70" s="15" t="s">
        <v>104</v>
      </c>
      <c r="P70" s="15" t="s">
        <v>233</v>
      </c>
      <c r="Q70" s="135"/>
      <c r="R70" s="42">
        <v>1434</v>
      </c>
      <c r="S70" s="42">
        <f t="shared" si="9"/>
        <v>1434</v>
      </c>
      <c r="T70" s="43">
        <f t="shared" si="10"/>
        <v>1434</v>
      </c>
      <c r="U70" s="15" t="s">
        <v>41</v>
      </c>
      <c r="V70" s="150">
        <v>30</v>
      </c>
      <c r="W70" s="133" cm="1">
        <f t="array" ref="W70">IF(U70="",0,_xlfn.XLOOKUP(E70&amp;U70&amp;F70,tab_act&amp;tab_mod&amp;tab_act1,tab_riz)*V70*T70/MGMT)</f>
        <v>0</v>
      </c>
      <c r="X70" s="43" cm="1">
        <f t="array" ref="X70">IF(U70="",0,_xlfn.XLOOKUP(E70&amp;U70&amp;F70,tab_act&amp;tab_mod&amp;tab_act1,tab_mc)*V70*T70/MGMT)</f>
        <v>0</v>
      </c>
      <c r="Y70" s="43" cm="1">
        <f t="array" ref="Y70">IF(U70="",0,_xlfn.XLOOKUP(E70&amp;U70&amp;F70,tab_act&amp;tab_mod&amp;tab_act1,tab_sor)*V70*T70/MGMT)</f>
        <v>0</v>
      </c>
      <c r="Z70" s="43" cm="1">
        <f t="array" ref="Z70">IF(U70="",0,_xlfn.XLOOKUP(E70&amp;U70&amp;F70,tab_act&amp;tab_mod&amp;tab_act1,tab_mg)*V70*T70/MGMT)</f>
        <v>0</v>
      </c>
      <c r="AA70" s="133" cm="1">
        <f t="array" ref="AA70">IF(U70="",0,IF(U70="hybrid-Sch",_xlfn.XLOOKUP(E70&amp;U70&amp;F70,tab_act&amp;tab_mod&amp;tab_act1,tab_ls)*SchLS*T70/MGMT,_xlfn.XLOOKUP(E70&amp;U70&amp;F70,tab_act&amp;tab_mod&amp;tab_act1,tab_ls)*V70*T70/MGMT))</f>
        <v>0</v>
      </c>
      <c r="AB70" s="133" cm="1">
        <f t="array" ref="AB70">IF(U70="",0,_xlfn.XLOOKUP(E70&amp;U70&amp;F70,tab_act&amp;tab_mod&amp;tab_act1,tab_hu)*V70*T70/MGMT)</f>
        <v>0.86040000000000005</v>
      </c>
      <c r="AC70" s="133" cm="1">
        <f t="array" ref="AC70">IF(U70="",0,_xlfn.XLOOKUP(E70&amp;U70&amp;F70,tab_act&amp;tab_mod&amp;tab_act1,tab_mnp)*V70*T70/MGMT)</f>
        <v>0</v>
      </c>
      <c r="AD70" s="133" cm="1">
        <f t="array" ref="AD70">IF(U70="",0,_xlfn.XLOOKUP(E70&amp;U70&amp;F70,tab_act&amp;tab_mod&amp;tab_act1,tab_Psup)*V70*T70/MGMT)</f>
        <v>0</v>
      </c>
      <c r="AE70" s="133" cm="1">
        <f t="array" ref="AE70">IF(U70="",0,_xlfn.XLOOKUP(E70&amp;U70&amp;F70,tab_act&amp;tab_mod&amp;tab_act1,tab_csb1)*V70*T70/MGMT)</f>
        <v>8.6039999999999992</v>
      </c>
      <c r="AF70" s="133" cm="1">
        <f t="array" ref="AF70">IF(U70="",0,_xlfn.XLOOKUP(E70&amp;U70&amp;F70,tab_act&amp;tab_mod&amp;tab_act1,tab_csb2)*V70*T70/MGMT)</f>
        <v>0</v>
      </c>
      <c r="AG70" s="133" cm="1">
        <f t="array" ref="AG70">IF(U70="",0,_xlfn.XLOOKUP(E70&amp;U70&amp;F70,tab_act&amp;tab_mod&amp;tab_act1,tab_pdoz)*V70*T70/MGMT)</f>
        <v>0</v>
      </c>
      <c r="AH70" s="133" cm="1">
        <f t="array" ref="AH70">IF(U70="",0,_xlfn.XLOOKUP(E70&amp;U70&amp;F70,tab_act&amp;tab_mod&amp;tab_act1,tab_lns)*V70*T70/MGMT)</f>
        <v>0</v>
      </c>
      <c r="AI70" s="47">
        <f t="shared" si="11"/>
        <v>9.4643999999999995</v>
      </c>
      <c r="AJ70" s="48">
        <f t="shared" si="12"/>
        <v>0</v>
      </c>
      <c r="AK70" s="49" cm="1">
        <f t="array" ref="AK70">IF(U70="",0,_xlfn.XLOOKUP(E70&amp;U70&amp;F70,tab_act&amp;tab_mod&amp;tab_act1,tab_cash)*V70*T70)</f>
        <v>0</v>
      </c>
      <c r="AN70" s="140" t="str">
        <f t="shared" si="13"/>
        <v>A</v>
      </c>
    </row>
    <row r="71" spans="1:40" x14ac:dyDescent="0.35">
      <c r="B71" s="50" t="s">
        <v>129</v>
      </c>
      <c r="C71" s="44">
        <v>2023</v>
      </c>
      <c r="D71" s="44" t="s">
        <v>100</v>
      </c>
      <c r="E71" s="15" t="s">
        <v>39</v>
      </c>
      <c r="F71" s="15" t="s">
        <v>117</v>
      </c>
      <c r="G71" s="15" t="s">
        <v>159</v>
      </c>
      <c r="H71" s="44"/>
      <c r="I71" s="15" t="s">
        <v>213</v>
      </c>
      <c r="J71" s="15" t="s">
        <v>91</v>
      </c>
      <c r="K71" s="15" t="s">
        <v>97</v>
      </c>
      <c r="L71" s="15" t="s">
        <v>212</v>
      </c>
      <c r="M71" s="15" t="s">
        <v>158</v>
      </c>
      <c r="N71" s="15" t="s">
        <v>68</v>
      </c>
      <c r="O71" s="15" t="s">
        <v>104</v>
      </c>
      <c r="P71" s="15" t="s">
        <v>234</v>
      </c>
      <c r="Q71" s="135"/>
      <c r="R71" s="42">
        <v>258</v>
      </c>
      <c r="S71" s="42">
        <f t="shared" si="9"/>
        <v>258</v>
      </c>
      <c r="T71" s="43">
        <f t="shared" si="10"/>
        <v>258</v>
      </c>
      <c r="U71" s="15" t="s">
        <v>41</v>
      </c>
      <c r="V71" s="150">
        <v>30</v>
      </c>
      <c r="W71" s="133" cm="1">
        <f t="array" ref="W71">IF(U71="",0,_xlfn.XLOOKUP(E71&amp;U71&amp;F71,tab_act&amp;tab_mod&amp;tab_act1,tab_riz)*V71*T71/MGMT)</f>
        <v>0</v>
      </c>
      <c r="X71" s="43" cm="1">
        <f t="array" ref="X71">IF(U71="",0,_xlfn.XLOOKUP(E71&amp;U71&amp;F71,tab_act&amp;tab_mod&amp;tab_act1,tab_mc)*V71*T71/MGMT)</f>
        <v>0</v>
      </c>
      <c r="Y71" s="43" cm="1">
        <f t="array" ref="Y71">IF(U71="",0,_xlfn.XLOOKUP(E71&amp;U71&amp;F71,tab_act&amp;tab_mod&amp;tab_act1,tab_sor)*V71*T71/MGMT)</f>
        <v>0</v>
      </c>
      <c r="Z71" s="43" cm="1">
        <f t="array" ref="Z71">IF(U71="",0,_xlfn.XLOOKUP(E71&amp;U71&amp;F71,tab_act&amp;tab_mod&amp;tab_act1,tab_mg)*V71*T71/MGMT)</f>
        <v>0</v>
      </c>
      <c r="AA71" s="133" cm="1">
        <f t="array" ref="AA71">IF(U71="",0,IF(U71="hybrid-Sch",_xlfn.XLOOKUP(E71&amp;U71&amp;F71,tab_act&amp;tab_mod&amp;tab_act1,tab_ls)*SchLS*T71/MGMT,_xlfn.XLOOKUP(E71&amp;U71&amp;F71,tab_act&amp;tab_mod&amp;tab_act1,tab_ls)*V71*T71/MGMT))</f>
        <v>0</v>
      </c>
      <c r="AB71" s="133" cm="1">
        <f t="array" ref="AB71">IF(U71="",0,_xlfn.XLOOKUP(E71&amp;U71&amp;F71,tab_act&amp;tab_mod&amp;tab_act1,tab_hu)*V71*T71/MGMT)</f>
        <v>0.15479999999999999</v>
      </c>
      <c r="AC71" s="133" cm="1">
        <f t="array" ref="AC71">IF(U71="",0,_xlfn.XLOOKUP(E71&amp;U71&amp;F71,tab_act&amp;tab_mod&amp;tab_act1,tab_mnp)*V71*T71/MGMT)</f>
        <v>0</v>
      </c>
      <c r="AD71" s="133" cm="1">
        <f t="array" ref="AD71">IF(U71="",0,_xlfn.XLOOKUP(E71&amp;U71&amp;F71,tab_act&amp;tab_mod&amp;tab_act1,tab_Psup)*V71*T71/MGMT)</f>
        <v>0</v>
      </c>
      <c r="AE71" s="133" cm="1">
        <f t="array" ref="AE71">IF(U71="",0,_xlfn.XLOOKUP(E71&amp;U71&amp;F71,tab_act&amp;tab_mod&amp;tab_act1,tab_csb1)*V71*T71/MGMT)</f>
        <v>1.548</v>
      </c>
      <c r="AF71" s="133" cm="1">
        <f t="array" ref="AF71">IF(U71="",0,_xlfn.XLOOKUP(E71&amp;U71&amp;F71,tab_act&amp;tab_mod&amp;tab_act1,tab_csb2)*V71*T71/MGMT)</f>
        <v>0</v>
      </c>
      <c r="AG71" s="133" cm="1">
        <f t="array" ref="AG71">IF(U71="",0,_xlfn.XLOOKUP(E71&amp;U71&amp;F71,tab_act&amp;tab_mod&amp;tab_act1,tab_pdoz)*V71*T71/MGMT)</f>
        <v>0</v>
      </c>
      <c r="AH71" s="133" cm="1">
        <f t="array" ref="AH71">IF(U71="",0,_xlfn.XLOOKUP(E71&amp;U71&amp;F71,tab_act&amp;tab_mod&amp;tab_act1,tab_lns)*V71*T71/MGMT)</f>
        <v>0</v>
      </c>
      <c r="AI71" s="47">
        <f t="shared" si="11"/>
        <v>1.7028000000000001</v>
      </c>
      <c r="AJ71" s="48">
        <f t="shared" si="12"/>
        <v>0</v>
      </c>
      <c r="AK71" s="49" cm="1">
        <f t="array" ref="AK71">IF(U71="",0,_xlfn.XLOOKUP(E71&amp;U71&amp;F71,tab_act&amp;tab_mod&amp;tab_act1,tab_cash)*V71*T71)</f>
        <v>0</v>
      </c>
      <c r="AN71" s="140" t="str">
        <f t="shared" si="13"/>
        <v>A</v>
      </c>
    </row>
    <row r="72" spans="1:40" x14ac:dyDescent="0.35">
      <c r="B72" s="50" t="s">
        <v>129</v>
      </c>
      <c r="C72" s="44">
        <v>2023</v>
      </c>
      <c r="D72" s="44" t="s">
        <v>100</v>
      </c>
      <c r="E72" s="15" t="s">
        <v>39</v>
      </c>
      <c r="F72" s="15" t="s">
        <v>117</v>
      </c>
      <c r="G72" s="15" t="s">
        <v>159</v>
      </c>
      <c r="H72" s="44"/>
      <c r="I72" s="15" t="s">
        <v>213</v>
      </c>
      <c r="J72" s="15" t="s">
        <v>91</v>
      </c>
      <c r="K72" s="15" t="s">
        <v>97</v>
      </c>
      <c r="L72" s="15" t="s">
        <v>212</v>
      </c>
      <c r="M72" s="15" t="s">
        <v>158</v>
      </c>
      <c r="N72" s="15" t="s">
        <v>68</v>
      </c>
      <c r="O72" s="15" t="s">
        <v>104</v>
      </c>
      <c r="P72" s="15" t="s">
        <v>235</v>
      </c>
      <c r="Q72" s="135"/>
      <c r="R72" s="42">
        <v>342</v>
      </c>
      <c r="S72" s="42">
        <f t="shared" si="9"/>
        <v>342</v>
      </c>
      <c r="T72" s="43">
        <f t="shared" si="10"/>
        <v>342</v>
      </c>
      <c r="U72" s="15" t="s">
        <v>41</v>
      </c>
      <c r="V72" s="150">
        <v>30</v>
      </c>
      <c r="W72" s="133" cm="1">
        <f t="array" ref="W72">IF(U72="",0,_xlfn.XLOOKUP(E72&amp;U72&amp;F72,tab_act&amp;tab_mod&amp;tab_act1,tab_riz)*V72*T72/MGMT)</f>
        <v>0</v>
      </c>
      <c r="X72" s="43" cm="1">
        <f t="array" ref="X72">IF(U72="",0,_xlfn.XLOOKUP(E72&amp;U72&amp;F72,tab_act&amp;tab_mod&amp;tab_act1,tab_mc)*V72*T72/MGMT)</f>
        <v>0</v>
      </c>
      <c r="Y72" s="43" cm="1">
        <f t="array" ref="Y72">IF(U72="",0,_xlfn.XLOOKUP(E72&amp;U72&amp;F72,tab_act&amp;tab_mod&amp;tab_act1,tab_sor)*V72*T72/MGMT)</f>
        <v>0</v>
      </c>
      <c r="Z72" s="43" cm="1">
        <f t="array" ref="Z72">IF(U72="",0,_xlfn.XLOOKUP(E72&amp;U72&amp;F72,tab_act&amp;tab_mod&amp;tab_act1,tab_mg)*V72*T72/MGMT)</f>
        <v>0</v>
      </c>
      <c r="AA72" s="133" cm="1">
        <f t="array" ref="AA72">IF(U72="",0,IF(U72="hybrid-Sch",_xlfn.XLOOKUP(E72&amp;U72&amp;F72,tab_act&amp;tab_mod&amp;tab_act1,tab_ls)*SchLS*T72/MGMT,_xlfn.XLOOKUP(E72&amp;U72&amp;F72,tab_act&amp;tab_mod&amp;tab_act1,tab_ls)*V72*T72/MGMT))</f>
        <v>0</v>
      </c>
      <c r="AB72" s="133" cm="1">
        <f t="array" ref="AB72">IF(U72="",0,_xlfn.XLOOKUP(E72&amp;U72&amp;F72,tab_act&amp;tab_mod&amp;tab_act1,tab_hu)*V72*T72/MGMT)</f>
        <v>0.20519999999999999</v>
      </c>
      <c r="AC72" s="133" cm="1">
        <f t="array" ref="AC72">IF(U72="",0,_xlfn.XLOOKUP(E72&amp;U72&amp;F72,tab_act&amp;tab_mod&amp;tab_act1,tab_mnp)*V72*T72/MGMT)</f>
        <v>0</v>
      </c>
      <c r="AD72" s="133" cm="1">
        <f t="array" ref="AD72">IF(U72="",0,_xlfn.XLOOKUP(E72&amp;U72&amp;F72,tab_act&amp;tab_mod&amp;tab_act1,tab_Psup)*V72*T72/MGMT)</f>
        <v>0</v>
      </c>
      <c r="AE72" s="133" cm="1">
        <f t="array" ref="AE72">IF(U72="",0,_xlfn.XLOOKUP(E72&amp;U72&amp;F72,tab_act&amp;tab_mod&amp;tab_act1,tab_csb1)*V72*T72/MGMT)</f>
        <v>2.052</v>
      </c>
      <c r="AF72" s="133" cm="1">
        <f t="array" ref="AF72">IF(U72="",0,_xlfn.XLOOKUP(E72&amp;U72&amp;F72,tab_act&amp;tab_mod&amp;tab_act1,tab_csb2)*V72*T72/MGMT)</f>
        <v>0</v>
      </c>
      <c r="AG72" s="133" cm="1">
        <f t="array" ref="AG72">IF(U72="",0,_xlfn.XLOOKUP(E72&amp;U72&amp;F72,tab_act&amp;tab_mod&amp;tab_act1,tab_pdoz)*V72*T72/MGMT)</f>
        <v>0</v>
      </c>
      <c r="AH72" s="133" cm="1">
        <f t="array" ref="AH72">IF(U72="",0,_xlfn.XLOOKUP(E72&amp;U72&amp;F72,tab_act&amp;tab_mod&amp;tab_act1,tab_lns)*V72*T72/MGMT)</f>
        <v>0</v>
      </c>
      <c r="AI72" s="47">
        <f t="shared" si="11"/>
        <v>2.2572000000000001</v>
      </c>
      <c r="AJ72" s="48">
        <f t="shared" si="12"/>
        <v>0</v>
      </c>
      <c r="AK72" s="49" cm="1">
        <f t="array" ref="AK72">IF(U72="",0,_xlfn.XLOOKUP(E72&amp;U72&amp;F72,tab_act&amp;tab_mod&amp;tab_act1,tab_cash)*V72*T72)</f>
        <v>0</v>
      </c>
      <c r="AN72" s="140" t="str">
        <f t="shared" si="13"/>
        <v>A</v>
      </c>
    </row>
    <row r="73" spans="1:40" x14ac:dyDescent="0.35">
      <c r="B73" s="50" t="s">
        <v>129</v>
      </c>
      <c r="C73" s="44">
        <v>2023</v>
      </c>
      <c r="D73" s="44" t="s">
        <v>100</v>
      </c>
      <c r="E73" s="15" t="s">
        <v>39</v>
      </c>
      <c r="F73" s="15" t="s">
        <v>117</v>
      </c>
      <c r="G73" s="15" t="s">
        <v>159</v>
      </c>
      <c r="H73" s="44"/>
      <c r="I73" s="15" t="s">
        <v>213</v>
      </c>
      <c r="J73" s="15" t="s">
        <v>91</v>
      </c>
      <c r="K73" s="15" t="s">
        <v>97</v>
      </c>
      <c r="L73" s="15" t="s">
        <v>212</v>
      </c>
      <c r="M73" s="15" t="s">
        <v>158</v>
      </c>
      <c r="N73" s="15" t="s">
        <v>68</v>
      </c>
      <c r="O73" s="15" t="s">
        <v>104</v>
      </c>
      <c r="P73" s="15" t="s">
        <v>236</v>
      </c>
      <c r="Q73" s="135"/>
      <c r="R73" s="42">
        <v>618</v>
      </c>
      <c r="S73" s="42">
        <f t="shared" si="9"/>
        <v>618</v>
      </c>
      <c r="T73" s="43">
        <f t="shared" si="10"/>
        <v>618</v>
      </c>
      <c r="U73" s="15" t="s">
        <v>41</v>
      </c>
      <c r="V73" s="150">
        <v>30</v>
      </c>
      <c r="W73" s="133" cm="1">
        <f t="array" ref="W73">IF(U73="",0,_xlfn.XLOOKUP(E73&amp;U73&amp;F73,tab_act&amp;tab_mod&amp;tab_act1,tab_riz)*V73*T73/MGMT)</f>
        <v>0</v>
      </c>
      <c r="X73" s="43" cm="1">
        <f t="array" ref="X73">IF(U73="",0,_xlfn.XLOOKUP(E73&amp;U73&amp;F73,tab_act&amp;tab_mod&amp;tab_act1,tab_mc)*V73*T73/MGMT)</f>
        <v>0</v>
      </c>
      <c r="Y73" s="43" cm="1">
        <f t="array" ref="Y73">IF(U73="",0,_xlfn.XLOOKUP(E73&amp;U73&amp;F73,tab_act&amp;tab_mod&amp;tab_act1,tab_sor)*V73*T73/MGMT)</f>
        <v>0</v>
      </c>
      <c r="Z73" s="43" cm="1">
        <f t="array" ref="Z73">IF(U73="",0,_xlfn.XLOOKUP(E73&amp;U73&amp;F73,tab_act&amp;tab_mod&amp;tab_act1,tab_mg)*V73*T73/MGMT)</f>
        <v>0</v>
      </c>
      <c r="AA73" s="133" cm="1">
        <f t="array" ref="AA73">IF(U73="",0,IF(U73="hybrid-Sch",_xlfn.XLOOKUP(E73&amp;U73&amp;F73,tab_act&amp;tab_mod&amp;tab_act1,tab_ls)*SchLS*T73/MGMT,_xlfn.XLOOKUP(E73&amp;U73&amp;F73,tab_act&amp;tab_mod&amp;tab_act1,tab_ls)*V73*T73/MGMT))</f>
        <v>0</v>
      </c>
      <c r="AB73" s="133" cm="1">
        <f t="array" ref="AB73">IF(U73="",0,_xlfn.XLOOKUP(E73&amp;U73&amp;F73,tab_act&amp;tab_mod&amp;tab_act1,tab_hu)*V73*T73/MGMT)</f>
        <v>0.37080000000000002</v>
      </c>
      <c r="AC73" s="133" cm="1">
        <f t="array" ref="AC73">IF(U73="",0,_xlfn.XLOOKUP(E73&amp;U73&amp;F73,tab_act&amp;tab_mod&amp;tab_act1,tab_mnp)*V73*T73/MGMT)</f>
        <v>0</v>
      </c>
      <c r="AD73" s="133" cm="1">
        <f t="array" ref="AD73">IF(U73="",0,_xlfn.XLOOKUP(E73&amp;U73&amp;F73,tab_act&amp;tab_mod&amp;tab_act1,tab_Psup)*V73*T73/MGMT)</f>
        <v>0</v>
      </c>
      <c r="AE73" s="133" cm="1">
        <f t="array" ref="AE73">IF(U73="",0,_xlfn.XLOOKUP(E73&amp;U73&amp;F73,tab_act&amp;tab_mod&amp;tab_act1,tab_csb1)*V73*T73/MGMT)</f>
        <v>3.7080000000000002</v>
      </c>
      <c r="AF73" s="133" cm="1">
        <f t="array" ref="AF73">IF(U73="",0,_xlfn.XLOOKUP(E73&amp;U73&amp;F73,tab_act&amp;tab_mod&amp;tab_act1,tab_csb2)*V73*T73/MGMT)</f>
        <v>0</v>
      </c>
      <c r="AG73" s="133" cm="1">
        <f t="array" ref="AG73">IF(U73="",0,_xlfn.XLOOKUP(E73&amp;U73&amp;F73,tab_act&amp;tab_mod&amp;tab_act1,tab_pdoz)*V73*T73/MGMT)</f>
        <v>0</v>
      </c>
      <c r="AH73" s="133" cm="1">
        <f t="array" ref="AH73">IF(U73="",0,_xlfn.XLOOKUP(E73&amp;U73&amp;F73,tab_act&amp;tab_mod&amp;tab_act1,tab_lns)*V73*T73/MGMT)</f>
        <v>0</v>
      </c>
      <c r="AI73" s="47">
        <f t="shared" si="11"/>
        <v>4.0788000000000002</v>
      </c>
      <c r="AJ73" s="48">
        <f t="shared" si="12"/>
        <v>0</v>
      </c>
      <c r="AK73" s="49" cm="1">
        <f t="array" ref="AK73">IF(U73="",0,_xlfn.XLOOKUP(E73&amp;U73&amp;F73,tab_act&amp;tab_mod&amp;tab_act1,tab_cash)*V73*T73)</f>
        <v>0</v>
      </c>
      <c r="AN73" s="140" t="str">
        <f t="shared" si="13"/>
        <v>A</v>
      </c>
    </row>
    <row r="74" spans="1:40" x14ac:dyDescent="0.35">
      <c r="B74" s="50" t="s">
        <v>129</v>
      </c>
      <c r="C74" s="44">
        <v>2023</v>
      </c>
      <c r="D74" s="44" t="s">
        <v>100</v>
      </c>
      <c r="E74" s="15" t="s">
        <v>39</v>
      </c>
      <c r="F74" s="15" t="s">
        <v>117</v>
      </c>
      <c r="G74" s="15" t="s">
        <v>159</v>
      </c>
      <c r="H74" s="44"/>
      <c r="I74" s="15" t="s">
        <v>213</v>
      </c>
      <c r="J74" s="15" t="s">
        <v>91</v>
      </c>
      <c r="K74" s="15" t="s">
        <v>97</v>
      </c>
      <c r="L74" s="15" t="s">
        <v>212</v>
      </c>
      <c r="M74" s="15" t="s">
        <v>158</v>
      </c>
      <c r="N74" s="15" t="s">
        <v>68</v>
      </c>
      <c r="O74" s="15" t="s">
        <v>103</v>
      </c>
      <c r="P74" s="15" t="s">
        <v>237</v>
      </c>
      <c r="Q74" s="135"/>
      <c r="R74" s="42">
        <v>454</v>
      </c>
      <c r="S74" s="42">
        <f t="shared" si="9"/>
        <v>454</v>
      </c>
      <c r="T74" s="43">
        <f t="shared" si="10"/>
        <v>454</v>
      </c>
      <c r="U74" s="15" t="s">
        <v>41</v>
      </c>
      <c r="V74" s="150">
        <v>30</v>
      </c>
      <c r="W74" s="133" cm="1">
        <f t="array" ref="W74">IF(U74="",0,_xlfn.XLOOKUP(E74&amp;U74&amp;F74,tab_act&amp;tab_mod&amp;tab_act1,tab_riz)*V74*T74/MGMT)</f>
        <v>0</v>
      </c>
      <c r="X74" s="43" cm="1">
        <f t="array" ref="X74">IF(U74="",0,_xlfn.XLOOKUP(E74&amp;U74&amp;F74,tab_act&amp;tab_mod&amp;tab_act1,tab_mc)*V74*T74/MGMT)</f>
        <v>0</v>
      </c>
      <c r="Y74" s="43" cm="1">
        <f t="array" ref="Y74">IF(U74="",0,_xlfn.XLOOKUP(E74&amp;U74&amp;F74,tab_act&amp;tab_mod&amp;tab_act1,tab_sor)*V74*T74/MGMT)</f>
        <v>0</v>
      </c>
      <c r="Z74" s="43" cm="1">
        <f t="array" ref="Z74">IF(U74="",0,_xlfn.XLOOKUP(E74&amp;U74&amp;F74,tab_act&amp;tab_mod&amp;tab_act1,tab_mg)*V74*T74/MGMT)</f>
        <v>0</v>
      </c>
      <c r="AA74" s="133" cm="1">
        <f t="array" ref="AA74">IF(U74="",0,IF(U74="hybrid-Sch",_xlfn.XLOOKUP(E74&amp;U74&amp;F74,tab_act&amp;tab_mod&amp;tab_act1,tab_ls)*SchLS*T74/MGMT,_xlfn.XLOOKUP(E74&amp;U74&amp;F74,tab_act&amp;tab_mod&amp;tab_act1,tab_ls)*V74*T74/MGMT))</f>
        <v>0</v>
      </c>
      <c r="AB74" s="133" cm="1">
        <f t="array" ref="AB74">IF(U74="",0,_xlfn.XLOOKUP(E74&amp;U74&amp;F74,tab_act&amp;tab_mod&amp;tab_act1,tab_hu)*V74*T74/MGMT)</f>
        <v>0.27239999999999998</v>
      </c>
      <c r="AC74" s="133" cm="1">
        <f t="array" ref="AC74">IF(U74="",0,_xlfn.XLOOKUP(E74&amp;U74&amp;F74,tab_act&amp;tab_mod&amp;tab_act1,tab_mnp)*V74*T74/MGMT)</f>
        <v>0</v>
      </c>
      <c r="AD74" s="133" cm="1">
        <f t="array" ref="AD74">IF(U74="",0,_xlfn.XLOOKUP(E74&amp;U74&amp;F74,tab_act&amp;tab_mod&amp;tab_act1,tab_Psup)*V74*T74/MGMT)</f>
        <v>0</v>
      </c>
      <c r="AE74" s="133" cm="1">
        <f t="array" ref="AE74">IF(U74="",0,_xlfn.XLOOKUP(E74&amp;U74&amp;F74,tab_act&amp;tab_mod&amp;tab_act1,tab_csb1)*V74*T74/MGMT)</f>
        <v>2.7240000000000002</v>
      </c>
      <c r="AF74" s="133" cm="1">
        <f t="array" ref="AF74">IF(U74="",0,_xlfn.XLOOKUP(E74&amp;U74&amp;F74,tab_act&amp;tab_mod&amp;tab_act1,tab_csb2)*V74*T74/MGMT)</f>
        <v>0</v>
      </c>
      <c r="AG74" s="133" cm="1">
        <f t="array" ref="AG74">IF(U74="",0,_xlfn.XLOOKUP(E74&amp;U74&amp;F74,tab_act&amp;tab_mod&amp;tab_act1,tab_pdoz)*V74*T74/MGMT)</f>
        <v>0</v>
      </c>
      <c r="AH74" s="133" cm="1">
        <f t="array" ref="AH74">IF(U74="",0,_xlfn.XLOOKUP(E74&amp;U74&amp;F74,tab_act&amp;tab_mod&amp;tab_act1,tab_lns)*V74*T74/MGMT)</f>
        <v>0</v>
      </c>
      <c r="AI74" s="47">
        <f t="shared" si="11"/>
        <v>2.9964000000000004</v>
      </c>
      <c r="AJ74" s="48">
        <f t="shared" si="12"/>
        <v>0</v>
      </c>
      <c r="AK74" s="49" cm="1">
        <f t="array" ref="AK74">IF(U74="",0,_xlfn.XLOOKUP(E74&amp;U74&amp;F74,tab_act&amp;tab_mod&amp;tab_act1,tab_cash)*V74*T74)</f>
        <v>0</v>
      </c>
      <c r="AN74" s="140" t="str">
        <f t="shared" si="13"/>
        <v>A</v>
      </c>
    </row>
    <row r="75" spans="1:40" x14ac:dyDescent="0.35">
      <c r="B75" s="50" t="s">
        <v>129</v>
      </c>
      <c r="C75" s="44">
        <v>2023</v>
      </c>
      <c r="D75" s="44" t="s">
        <v>100</v>
      </c>
      <c r="E75" s="15" t="s">
        <v>39</v>
      </c>
      <c r="F75" s="15" t="s">
        <v>117</v>
      </c>
      <c r="G75" s="15" t="s">
        <v>159</v>
      </c>
      <c r="H75" s="44"/>
      <c r="I75" s="15" t="s">
        <v>213</v>
      </c>
      <c r="J75" s="15" t="s">
        <v>91</v>
      </c>
      <c r="K75" s="15" t="s">
        <v>97</v>
      </c>
      <c r="L75" s="15" t="s">
        <v>212</v>
      </c>
      <c r="M75" s="15" t="s">
        <v>158</v>
      </c>
      <c r="N75" s="15" t="s">
        <v>68</v>
      </c>
      <c r="O75" s="15" t="s">
        <v>103</v>
      </c>
      <c r="P75" s="15" t="s">
        <v>238</v>
      </c>
      <c r="Q75" s="135"/>
      <c r="R75" s="42">
        <v>616</v>
      </c>
      <c r="S75" s="42">
        <f t="shared" si="9"/>
        <v>616</v>
      </c>
      <c r="T75" s="43">
        <f t="shared" si="10"/>
        <v>616</v>
      </c>
      <c r="U75" s="15" t="s">
        <v>41</v>
      </c>
      <c r="V75" s="150">
        <v>30</v>
      </c>
      <c r="W75" s="133" cm="1">
        <f t="array" ref="W75">IF(U75="",0,_xlfn.XLOOKUP(E75&amp;U75&amp;F75,tab_act&amp;tab_mod&amp;tab_act1,tab_riz)*V75*T75/MGMT)</f>
        <v>0</v>
      </c>
      <c r="X75" s="43" cm="1">
        <f t="array" ref="X75">IF(U75="",0,_xlfn.XLOOKUP(E75&amp;U75&amp;F75,tab_act&amp;tab_mod&amp;tab_act1,tab_mc)*V75*T75/MGMT)</f>
        <v>0</v>
      </c>
      <c r="Y75" s="43" cm="1">
        <f t="array" ref="Y75">IF(U75="",0,_xlfn.XLOOKUP(E75&amp;U75&amp;F75,tab_act&amp;tab_mod&amp;tab_act1,tab_sor)*V75*T75/MGMT)</f>
        <v>0</v>
      </c>
      <c r="Z75" s="43" cm="1">
        <f t="array" ref="Z75">IF(U75="",0,_xlfn.XLOOKUP(E75&amp;U75&amp;F75,tab_act&amp;tab_mod&amp;tab_act1,tab_mg)*V75*T75/MGMT)</f>
        <v>0</v>
      </c>
      <c r="AA75" s="133" cm="1">
        <f t="array" ref="AA75">IF(U75="",0,IF(U75="hybrid-Sch",_xlfn.XLOOKUP(E75&amp;U75&amp;F75,tab_act&amp;tab_mod&amp;tab_act1,tab_ls)*SchLS*T75/MGMT,_xlfn.XLOOKUP(E75&amp;U75&amp;F75,tab_act&amp;tab_mod&amp;tab_act1,tab_ls)*V75*T75/MGMT))</f>
        <v>0</v>
      </c>
      <c r="AB75" s="133" cm="1">
        <f t="array" ref="AB75">IF(U75="",0,_xlfn.XLOOKUP(E75&amp;U75&amp;F75,tab_act&amp;tab_mod&amp;tab_act1,tab_hu)*V75*T75/MGMT)</f>
        <v>0.36959999999999998</v>
      </c>
      <c r="AC75" s="133" cm="1">
        <f t="array" ref="AC75">IF(U75="",0,_xlfn.XLOOKUP(E75&amp;U75&amp;F75,tab_act&amp;tab_mod&amp;tab_act1,tab_mnp)*V75*T75/MGMT)</f>
        <v>0</v>
      </c>
      <c r="AD75" s="133" cm="1">
        <f t="array" ref="AD75">IF(U75="",0,_xlfn.XLOOKUP(E75&amp;U75&amp;F75,tab_act&amp;tab_mod&amp;tab_act1,tab_Psup)*V75*T75/MGMT)</f>
        <v>0</v>
      </c>
      <c r="AE75" s="133" cm="1">
        <f t="array" ref="AE75">IF(U75="",0,_xlfn.XLOOKUP(E75&amp;U75&amp;F75,tab_act&amp;tab_mod&amp;tab_act1,tab_csb1)*V75*T75/MGMT)</f>
        <v>3.6960000000000002</v>
      </c>
      <c r="AF75" s="133" cm="1">
        <f t="array" ref="AF75">IF(U75="",0,_xlfn.XLOOKUP(E75&amp;U75&amp;F75,tab_act&amp;tab_mod&amp;tab_act1,tab_csb2)*V75*T75/MGMT)</f>
        <v>0</v>
      </c>
      <c r="AG75" s="133" cm="1">
        <f t="array" ref="AG75">IF(U75="",0,_xlfn.XLOOKUP(E75&amp;U75&amp;F75,tab_act&amp;tab_mod&amp;tab_act1,tab_pdoz)*V75*T75/MGMT)</f>
        <v>0</v>
      </c>
      <c r="AH75" s="133" cm="1">
        <f t="array" ref="AH75">IF(U75="",0,_xlfn.XLOOKUP(E75&amp;U75&amp;F75,tab_act&amp;tab_mod&amp;tab_act1,tab_lns)*V75*T75/MGMT)</f>
        <v>0</v>
      </c>
      <c r="AI75" s="47">
        <f t="shared" si="11"/>
        <v>4.0655999999999999</v>
      </c>
      <c r="AJ75" s="48">
        <f t="shared" si="12"/>
        <v>0</v>
      </c>
      <c r="AK75" s="49" cm="1">
        <f t="array" ref="AK75">IF(U75="",0,_xlfn.XLOOKUP(E75&amp;U75&amp;F75,tab_act&amp;tab_mod&amp;tab_act1,tab_cash)*V75*T75)</f>
        <v>0</v>
      </c>
      <c r="AN75" s="140" t="str">
        <f t="shared" si="13"/>
        <v>A</v>
      </c>
    </row>
    <row r="76" spans="1:40" x14ac:dyDescent="0.35">
      <c r="B76" s="50" t="s">
        <v>129</v>
      </c>
      <c r="C76" s="44">
        <v>2023</v>
      </c>
      <c r="D76" s="44" t="s">
        <v>100</v>
      </c>
      <c r="E76" s="15" t="s">
        <v>39</v>
      </c>
      <c r="F76" s="15" t="s">
        <v>117</v>
      </c>
      <c r="G76" s="15" t="s">
        <v>159</v>
      </c>
      <c r="H76" s="44"/>
      <c r="I76" s="15" t="s">
        <v>213</v>
      </c>
      <c r="J76" s="15" t="s">
        <v>91</v>
      </c>
      <c r="K76" s="15" t="s">
        <v>97</v>
      </c>
      <c r="L76" s="15" t="s">
        <v>212</v>
      </c>
      <c r="M76" s="15" t="s">
        <v>158</v>
      </c>
      <c r="N76" s="15" t="s">
        <v>68</v>
      </c>
      <c r="O76" s="15" t="s">
        <v>103</v>
      </c>
      <c r="P76" s="15" t="s">
        <v>239</v>
      </c>
      <c r="Q76" s="135"/>
      <c r="R76" s="42">
        <v>482</v>
      </c>
      <c r="S76" s="42">
        <f t="shared" si="9"/>
        <v>482</v>
      </c>
      <c r="T76" s="43">
        <f t="shared" si="10"/>
        <v>482</v>
      </c>
      <c r="U76" s="15" t="s">
        <v>41</v>
      </c>
      <c r="V76" s="150">
        <v>30</v>
      </c>
      <c r="W76" s="133" cm="1">
        <f t="array" ref="W76">IF(U76="",0,_xlfn.XLOOKUP(E76&amp;U76&amp;F76,tab_act&amp;tab_mod&amp;tab_act1,tab_riz)*V76*T76/MGMT)</f>
        <v>0</v>
      </c>
      <c r="X76" s="43" cm="1">
        <f t="array" ref="X76">IF(U76="",0,_xlfn.XLOOKUP(E76&amp;U76&amp;F76,tab_act&amp;tab_mod&amp;tab_act1,tab_mc)*V76*T76/MGMT)</f>
        <v>0</v>
      </c>
      <c r="Y76" s="43" cm="1">
        <f t="array" ref="Y76">IF(U76="",0,_xlfn.XLOOKUP(E76&amp;U76&amp;F76,tab_act&amp;tab_mod&amp;tab_act1,tab_sor)*V76*T76/MGMT)</f>
        <v>0</v>
      </c>
      <c r="Z76" s="43" cm="1">
        <f t="array" ref="Z76">IF(U76="",0,_xlfn.XLOOKUP(E76&amp;U76&amp;F76,tab_act&amp;tab_mod&amp;tab_act1,tab_mg)*V76*T76/MGMT)</f>
        <v>0</v>
      </c>
      <c r="AA76" s="133" cm="1">
        <f t="array" ref="AA76">IF(U76="",0,IF(U76="hybrid-Sch",_xlfn.XLOOKUP(E76&amp;U76&amp;F76,tab_act&amp;tab_mod&amp;tab_act1,tab_ls)*SchLS*T76/MGMT,_xlfn.XLOOKUP(E76&amp;U76&amp;F76,tab_act&amp;tab_mod&amp;tab_act1,tab_ls)*V76*T76/MGMT))</f>
        <v>0</v>
      </c>
      <c r="AB76" s="133" cm="1">
        <f t="array" ref="AB76">IF(U76="",0,_xlfn.XLOOKUP(E76&amp;U76&amp;F76,tab_act&amp;tab_mod&amp;tab_act1,tab_hu)*V76*T76/MGMT)</f>
        <v>0.28920000000000001</v>
      </c>
      <c r="AC76" s="133" cm="1">
        <f t="array" ref="AC76">IF(U76="",0,_xlfn.XLOOKUP(E76&amp;U76&amp;F76,tab_act&amp;tab_mod&amp;tab_act1,tab_mnp)*V76*T76/MGMT)</f>
        <v>0</v>
      </c>
      <c r="AD76" s="133" cm="1">
        <f t="array" ref="AD76">IF(U76="",0,_xlfn.XLOOKUP(E76&amp;U76&amp;F76,tab_act&amp;tab_mod&amp;tab_act1,tab_Psup)*V76*T76/MGMT)</f>
        <v>0</v>
      </c>
      <c r="AE76" s="133" cm="1">
        <f t="array" ref="AE76">IF(U76="",0,_xlfn.XLOOKUP(E76&amp;U76&amp;F76,tab_act&amp;tab_mod&amp;tab_act1,tab_csb1)*V76*T76/MGMT)</f>
        <v>2.8919999999999999</v>
      </c>
      <c r="AF76" s="133" cm="1">
        <f t="array" ref="AF76">IF(U76="",0,_xlfn.XLOOKUP(E76&amp;U76&amp;F76,tab_act&amp;tab_mod&amp;tab_act1,tab_csb2)*V76*T76/MGMT)</f>
        <v>0</v>
      </c>
      <c r="AG76" s="133" cm="1">
        <f t="array" ref="AG76">IF(U76="",0,_xlfn.XLOOKUP(E76&amp;U76&amp;F76,tab_act&amp;tab_mod&amp;tab_act1,tab_pdoz)*V76*T76/MGMT)</f>
        <v>0</v>
      </c>
      <c r="AH76" s="133" cm="1">
        <f t="array" ref="AH76">IF(U76="",0,_xlfn.XLOOKUP(E76&amp;U76&amp;F76,tab_act&amp;tab_mod&amp;tab_act1,tab_lns)*V76*T76/MGMT)</f>
        <v>0</v>
      </c>
      <c r="AI76" s="47">
        <f t="shared" si="11"/>
        <v>3.1812</v>
      </c>
      <c r="AJ76" s="48">
        <f t="shared" si="12"/>
        <v>0</v>
      </c>
      <c r="AK76" s="49" cm="1">
        <f t="array" ref="AK76">IF(U76="",0,_xlfn.XLOOKUP(E76&amp;U76&amp;F76,tab_act&amp;tab_mod&amp;tab_act1,tab_cash)*V76*T76)</f>
        <v>0</v>
      </c>
      <c r="AN76" s="140" t="str">
        <f t="shared" si="13"/>
        <v>A</v>
      </c>
    </row>
    <row r="77" spans="1:40" s="90" customFormat="1" x14ac:dyDescent="0.35">
      <c r="A77"/>
      <c r="B77" s="50" t="s">
        <v>129</v>
      </c>
      <c r="C77" s="44">
        <v>2023</v>
      </c>
      <c r="D77" s="44" t="s">
        <v>100</v>
      </c>
      <c r="E77" s="15" t="s">
        <v>39</v>
      </c>
      <c r="F77" s="15" t="s">
        <v>117</v>
      </c>
      <c r="G77" s="15" t="s">
        <v>159</v>
      </c>
      <c r="H77" s="44"/>
      <c r="I77" s="15" t="s">
        <v>213</v>
      </c>
      <c r="J77" s="15" t="s">
        <v>91</v>
      </c>
      <c r="K77" s="15" t="s">
        <v>97</v>
      </c>
      <c r="L77" s="15" t="s">
        <v>212</v>
      </c>
      <c r="M77" s="15" t="s">
        <v>158</v>
      </c>
      <c r="N77" s="15" t="s">
        <v>68</v>
      </c>
      <c r="O77" s="15" t="s">
        <v>103</v>
      </c>
      <c r="P77" s="15" t="s">
        <v>240</v>
      </c>
      <c r="Q77" s="135"/>
      <c r="R77" s="42">
        <v>450</v>
      </c>
      <c r="S77" s="42">
        <f t="shared" si="9"/>
        <v>450</v>
      </c>
      <c r="T77" s="43">
        <f t="shared" si="10"/>
        <v>450</v>
      </c>
      <c r="U77" s="15" t="s">
        <v>41</v>
      </c>
      <c r="V77" s="150">
        <v>30</v>
      </c>
      <c r="W77" s="133" cm="1">
        <f t="array" ref="W77">IF(U77="",0,_xlfn.XLOOKUP(E77&amp;U77&amp;F77,tab_act&amp;tab_mod&amp;tab_act1,tab_riz)*V77*T77/MGMT)</f>
        <v>0</v>
      </c>
      <c r="X77" s="43" cm="1">
        <f t="array" ref="X77">IF(U77="",0,_xlfn.XLOOKUP(E77&amp;U77&amp;F77,tab_act&amp;tab_mod&amp;tab_act1,tab_mc)*V77*T77/MGMT)</f>
        <v>0</v>
      </c>
      <c r="Y77" s="43" cm="1">
        <f t="array" ref="Y77">IF(U77="",0,_xlfn.XLOOKUP(E77&amp;U77&amp;F77,tab_act&amp;tab_mod&amp;tab_act1,tab_sor)*V77*T77/MGMT)</f>
        <v>0</v>
      </c>
      <c r="Z77" s="43" cm="1">
        <f t="array" ref="Z77">IF(U77="",0,_xlfn.XLOOKUP(E77&amp;U77&amp;F77,tab_act&amp;tab_mod&amp;tab_act1,tab_mg)*V77*T77/MGMT)</f>
        <v>0</v>
      </c>
      <c r="AA77" s="133" cm="1">
        <f t="array" ref="AA77">IF(U77="",0,IF(U77="hybrid-Sch",_xlfn.XLOOKUP(E77&amp;U77&amp;F77,tab_act&amp;tab_mod&amp;tab_act1,tab_ls)*SchLS*T77/MGMT,_xlfn.XLOOKUP(E77&amp;U77&amp;F77,tab_act&amp;tab_mod&amp;tab_act1,tab_ls)*V77*T77/MGMT))</f>
        <v>0</v>
      </c>
      <c r="AB77" s="133" cm="1">
        <f t="array" ref="AB77">IF(U77="",0,_xlfn.XLOOKUP(E77&amp;U77&amp;F77,tab_act&amp;tab_mod&amp;tab_act1,tab_hu)*V77*T77/MGMT)</f>
        <v>0.27</v>
      </c>
      <c r="AC77" s="133" cm="1">
        <f t="array" ref="AC77">IF(U77="",0,_xlfn.XLOOKUP(E77&amp;U77&amp;F77,tab_act&amp;tab_mod&amp;tab_act1,tab_mnp)*V77*T77/MGMT)</f>
        <v>0</v>
      </c>
      <c r="AD77" s="133" cm="1">
        <f t="array" ref="AD77">IF(U77="",0,_xlfn.XLOOKUP(E77&amp;U77&amp;F77,tab_act&amp;tab_mod&amp;tab_act1,tab_Psup)*V77*T77/MGMT)</f>
        <v>0</v>
      </c>
      <c r="AE77" s="133" cm="1">
        <f t="array" ref="AE77">IF(U77="",0,_xlfn.XLOOKUP(E77&amp;U77&amp;F77,tab_act&amp;tab_mod&amp;tab_act1,tab_csb1)*V77*T77/MGMT)</f>
        <v>2.7</v>
      </c>
      <c r="AF77" s="133" cm="1">
        <f t="array" ref="AF77">IF(U77="",0,_xlfn.XLOOKUP(E77&amp;U77&amp;F77,tab_act&amp;tab_mod&amp;tab_act1,tab_csb2)*V77*T77/MGMT)</f>
        <v>0</v>
      </c>
      <c r="AG77" s="133" cm="1">
        <f t="array" ref="AG77">IF(U77="",0,_xlfn.XLOOKUP(E77&amp;U77&amp;F77,tab_act&amp;tab_mod&amp;tab_act1,tab_pdoz)*V77*T77/MGMT)</f>
        <v>0</v>
      </c>
      <c r="AH77" s="133" cm="1">
        <f t="array" ref="AH77">IF(U77="",0,_xlfn.XLOOKUP(E77&amp;U77&amp;F77,tab_act&amp;tab_mod&amp;tab_act1,tab_lns)*V77*T77/MGMT)</f>
        <v>0</v>
      </c>
      <c r="AI77" s="47">
        <f t="shared" si="11"/>
        <v>2.97</v>
      </c>
      <c r="AJ77" s="48">
        <f t="shared" si="12"/>
        <v>0</v>
      </c>
      <c r="AK77" s="49" cm="1">
        <f t="array" ref="AK77">IF(U77="",0,_xlfn.XLOOKUP(E77&amp;U77&amp;F77,tab_act&amp;tab_mod&amp;tab_act1,tab_cash)*V77*T77)</f>
        <v>0</v>
      </c>
      <c r="AL77"/>
      <c r="AM77"/>
      <c r="AN77" s="140" t="str">
        <f t="shared" si="13"/>
        <v>A</v>
      </c>
    </row>
    <row r="78" spans="1:40" s="90" customFormat="1" x14ac:dyDescent="0.35">
      <c r="A78"/>
      <c r="B78" s="50" t="s">
        <v>129</v>
      </c>
      <c r="C78" s="44">
        <v>2023</v>
      </c>
      <c r="D78" s="44" t="s">
        <v>100</v>
      </c>
      <c r="E78" s="15" t="s">
        <v>39</v>
      </c>
      <c r="F78" s="15" t="s">
        <v>117</v>
      </c>
      <c r="G78" s="15" t="s">
        <v>159</v>
      </c>
      <c r="H78" s="44"/>
      <c r="I78" s="15" t="s">
        <v>213</v>
      </c>
      <c r="J78" s="15" t="s">
        <v>91</v>
      </c>
      <c r="K78" s="15" t="s">
        <v>97</v>
      </c>
      <c r="L78" s="15" t="s">
        <v>212</v>
      </c>
      <c r="M78" s="15" t="s">
        <v>158</v>
      </c>
      <c r="N78" s="15" t="s">
        <v>68</v>
      </c>
      <c r="O78" s="15" t="s">
        <v>103</v>
      </c>
      <c r="P78" s="15" t="s">
        <v>241</v>
      </c>
      <c r="Q78" s="135"/>
      <c r="R78" s="42">
        <v>338</v>
      </c>
      <c r="S78" s="42">
        <f t="shared" si="9"/>
        <v>338</v>
      </c>
      <c r="T78" s="43">
        <f t="shared" si="10"/>
        <v>338</v>
      </c>
      <c r="U78" s="15" t="s">
        <v>41</v>
      </c>
      <c r="V78" s="150">
        <v>30</v>
      </c>
      <c r="W78" s="133" cm="1">
        <f t="array" ref="W78">IF(U78="",0,_xlfn.XLOOKUP(E78&amp;U78&amp;F78,tab_act&amp;tab_mod&amp;tab_act1,tab_riz)*V78*T78/MGMT)</f>
        <v>0</v>
      </c>
      <c r="X78" s="43" cm="1">
        <f t="array" ref="X78">IF(U78="",0,_xlfn.XLOOKUP(E78&amp;U78&amp;F78,tab_act&amp;tab_mod&amp;tab_act1,tab_mc)*V78*T78/MGMT)</f>
        <v>0</v>
      </c>
      <c r="Y78" s="43" cm="1">
        <f t="array" ref="Y78">IF(U78="",0,_xlfn.XLOOKUP(E78&amp;U78&amp;F78,tab_act&amp;tab_mod&amp;tab_act1,tab_sor)*V78*T78/MGMT)</f>
        <v>0</v>
      </c>
      <c r="Z78" s="43" cm="1">
        <f t="array" ref="Z78">IF(U78="",0,_xlfn.XLOOKUP(E78&amp;U78&amp;F78,tab_act&amp;tab_mod&amp;tab_act1,tab_mg)*V78*T78/MGMT)</f>
        <v>0</v>
      </c>
      <c r="AA78" s="133" cm="1">
        <f t="array" ref="AA78">IF(U78="",0,IF(U78="hybrid-Sch",_xlfn.XLOOKUP(E78&amp;U78&amp;F78,tab_act&amp;tab_mod&amp;tab_act1,tab_ls)*SchLS*T78/MGMT,_xlfn.XLOOKUP(E78&amp;U78&amp;F78,tab_act&amp;tab_mod&amp;tab_act1,tab_ls)*V78*T78/MGMT))</f>
        <v>0</v>
      </c>
      <c r="AB78" s="133" cm="1">
        <f t="array" ref="AB78">IF(U78="",0,_xlfn.XLOOKUP(E78&amp;U78&amp;F78,tab_act&amp;tab_mod&amp;tab_act1,tab_hu)*V78*T78/MGMT)</f>
        <v>0.20280000000000001</v>
      </c>
      <c r="AC78" s="133" cm="1">
        <f t="array" ref="AC78">IF(U78="",0,_xlfn.XLOOKUP(E78&amp;U78&amp;F78,tab_act&amp;tab_mod&amp;tab_act1,tab_mnp)*V78*T78/MGMT)</f>
        <v>0</v>
      </c>
      <c r="AD78" s="133" cm="1">
        <f t="array" ref="AD78">IF(U78="",0,_xlfn.XLOOKUP(E78&amp;U78&amp;F78,tab_act&amp;tab_mod&amp;tab_act1,tab_Psup)*V78*T78/MGMT)</f>
        <v>0</v>
      </c>
      <c r="AE78" s="133" cm="1">
        <f t="array" ref="AE78">IF(U78="",0,_xlfn.XLOOKUP(E78&amp;U78&amp;F78,tab_act&amp;tab_mod&amp;tab_act1,tab_csb1)*V78*T78/MGMT)</f>
        <v>2.028</v>
      </c>
      <c r="AF78" s="133" cm="1">
        <f t="array" ref="AF78">IF(U78="",0,_xlfn.XLOOKUP(E78&amp;U78&amp;F78,tab_act&amp;tab_mod&amp;tab_act1,tab_csb2)*V78*T78/MGMT)</f>
        <v>0</v>
      </c>
      <c r="AG78" s="133" cm="1">
        <f t="array" ref="AG78">IF(U78="",0,_xlfn.XLOOKUP(E78&amp;U78&amp;F78,tab_act&amp;tab_mod&amp;tab_act1,tab_pdoz)*V78*T78/MGMT)</f>
        <v>0</v>
      </c>
      <c r="AH78" s="133" cm="1">
        <f t="array" ref="AH78">IF(U78="",0,_xlfn.XLOOKUP(E78&amp;U78&amp;F78,tab_act&amp;tab_mod&amp;tab_act1,tab_lns)*V78*T78/MGMT)</f>
        <v>0</v>
      </c>
      <c r="AI78" s="47">
        <f t="shared" si="11"/>
        <v>2.2307999999999999</v>
      </c>
      <c r="AJ78" s="48">
        <f t="shared" si="12"/>
        <v>0</v>
      </c>
      <c r="AK78" s="49" cm="1">
        <f t="array" ref="AK78">IF(U78="",0,_xlfn.XLOOKUP(E78&amp;U78&amp;F78,tab_act&amp;tab_mod&amp;tab_act1,tab_cash)*V78*T78)</f>
        <v>0</v>
      </c>
      <c r="AL78"/>
      <c r="AM78"/>
      <c r="AN78" s="140" t="str">
        <f t="shared" si="13"/>
        <v>A</v>
      </c>
    </row>
    <row r="79" spans="1:40" x14ac:dyDescent="0.35">
      <c r="B79" s="50" t="s">
        <v>129</v>
      </c>
      <c r="C79" s="44">
        <v>2023</v>
      </c>
      <c r="D79" s="44" t="s">
        <v>100</v>
      </c>
      <c r="E79" s="15" t="s">
        <v>39</v>
      </c>
      <c r="F79" s="15" t="s">
        <v>117</v>
      </c>
      <c r="G79" s="15" t="s">
        <v>159</v>
      </c>
      <c r="H79" s="44"/>
      <c r="I79" s="15" t="s">
        <v>213</v>
      </c>
      <c r="J79" s="15" t="s">
        <v>91</v>
      </c>
      <c r="K79" s="15" t="s">
        <v>97</v>
      </c>
      <c r="L79" s="15" t="s">
        <v>212</v>
      </c>
      <c r="M79" s="15" t="s">
        <v>158</v>
      </c>
      <c r="N79" s="15" t="s">
        <v>68</v>
      </c>
      <c r="O79" s="15" t="s">
        <v>103</v>
      </c>
      <c r="P79" s="15" t="s">
        <v>242</v>
      </c>
      <c r="Q79" s="135"/>
      <c r="R79" s="42">
        <v>412</v>
      </c>
      <c r="S79" s="42">
        <f t="shared" si="9"/>
        <v>412</v>
      </c>
      <c r="T79" s="43">
        <f t="shared" si="10"/>
        <v>412</v>
      </c>
      <c r="U79" s="15" t="s">
        <v>41</v>
      </c>
      <c r="V79" s="150">
        <v>30</v>
      </c>
      <c r="W79" s="133" cm="1">
        <f t="array" ref="W79">IF(U79="",0,_xlfn.XLOOKUP(E79&amp;U79&amp;F79,tab_act&amp;tab_mod&amp;tab_act1,tab_riz)*V79*T79/MGMT)</f>
        <v>0</v>
      </c>
      <c r="X79" s="43" cm="1">
        <f t="array" ref="X79">IF(U79="",0,_xlfn.XLOOKUP(E79&amp;U79&amp;F79,tab_act&amp;tab_mod&amp;tab_act1,tab_mc)*V79*T79/MGMT)</f>
        <v>0</v>
      </c>
      <c r="Y79" s="43" cm="1">
        <f t="array" ref="Y79">IF(U79="",0,_xlfn.XLOOKUP(E79&amp;U79&amp;F79,tab_act&amp;tab_mod&amp;tab_act1,tab_sor)*V79*T79/MGMT)</f>
        <v>0</v>
      </c>
      <c r="Z79" s="43" cm="1">
        <f t="array" ref="Z79">IF(U79="",0,_xlfn.XLOOKUP(E79&amp;U79&amp;F79,tab_act&amp;tab_mod&amp;tab_act1,tab_mg)*V79*T79/MGMT)</f>
        <v>0</v>
      </c>
      <c r="AA79" s="133" cm="1">
        <f t="array" ref="AA79">IF(U79="",0,IF(U79="hybrid-Sch",_xlfn.XLOOKUP(E79&amp;U79&amp;F79,tab_act&amp;tab_mod&amp;tab_act1,tab_ls)*SchLS*T79/MGMT,_xlfn.XLOOKUP(E79&amp;U79&amp;F79,tab_act&amp;tab_mod&amp;tab_act1,tab_ls)*V79*T79/MGMT))</f>
        <v>0</v>
      </c>
      <c r="AB79" s="133" cm="1">
        <f t="array" ref="AB79">IF(U79="",0,_xlfn.XLOOKUP(E79&amp;U79&amp;F79,tab_act&amp;tab_mod&amp;tab_act1,tab_hu)*V79*T79/MGMT)</f>
        <v>0.2472</v>
      </c>
      <c r="AC79" s="133" cm="1">
        <f t="array" ref="AC79">IF(U79="",0,_xlfn.XLOOKUP(E79&amp;U79&amp;F79,tab_act&amp;tab_mod&amp;tab_act1,tab_mnp)*V79*T79/MGMT)</f>
        <v>0</v>
      </c>
      <c r="AD79" s="133" cm="1">
        <f t="array" ref="AD79">IF(U79="",0,_xlfn.XLOOKUP(E79&amp;U79&amp;F79,tab_act&amp;tab_mod&amp;tab_act1,tab_Psup)*V79*T79/MGMT)</f>
        <v>0</v>
      </c>
      <c r="AE79" s="133" cm="1">
        <f t="array" ref="AE79">IF(U79="",0,_xlfn.XLOOKUP(E79&amp;U79&amp;F79,tab_act&amp;tab_mod&amp;tab_act1,tab_csb1)*V79*T79/MGMT)</f>
        <v>2.472</v>
      </c>
      <c r="AF79" s="133" cm="1">
        <f t="array" ref="AF79">IF(U79="",0,_xlfn.XLOOKUP(E79&amp;U79&amp;F79,tab_act&amp;tab_mod&amp;tab_act1,tab_csb2)*V79*T79/MGMT)</f>
        <v>0</v>
      </c>
      <c r="AG79" s="133" cm="1">
        <f t="array" ref="AG79">IF(U79="",0,_xlfn.XLOOKUP(E79&amp;U79&amp;F79,tab_act&amp;tab_mod&amp;tab_act1,tab_pdoz)*V79*T79/MGMT)</f>
        <v>0</v>
      </c>
      <c r="AH79" s="133" cm="1">
        <f t="array" ref="AH79">IF(U79="",0,_xlfn.XLOOKUP(E79&amp;U79&amp;F79,tab_act&amp;tab_mod&amp;tab_act1,tab_lns)*V79*T79/MGMT)</f>
        <v>0</v>
      </c>
      <c r="AI79" s="47">
        <f t="shared" si="11"/>
        <v>2.7191999999999998</v>
      </c>
      <c r="AJ79" s="48">
        <f t="shared" si="12"/>
        <v>0</v>
      </c>
      <c r="AK79" s="49" cm="1">
        <f t="array" ref="AK79">IF(U79="",0,_xlfn.XLOOKUP(E79&amp;U79&amp;F79,tab_act&amp;tab_mod&amp;tab_act1,tab_cash)*V79*T79)</f>
        <v>0</v>
      </c>
      <c r="AN79" s="140" t="str">
        <f t="shared" si="13"/>
        <v>A</v>
      </c>
    </row>
    <row r="80" spans="1:40" x14ac:dyDescent="0.35">
      <c r="B80" s="50" t="s">
        <v>129</v>
      </c>
      <c r="C80" s="44">
        <v>2023</v>
      </c>
      <c r="D80" s="44" t="s">
        <v>100</v>
      </c>
      <c r="E80" s="15" t="s">
        <v>39</v>
      </c>
      <c r="F80" s="15" t="s">
        <v>117</v>
      </c>
      <c r="G80" s="15" t="s">
        <v>159</v>
      </c>
      <c r="H80" s="44"/>
      <c r="I80" s="15" t="s">
        <v>213</v>
      </c>
      <c r="J80" s="15" t="s">
        <v>91</v>
      </c>
      <c r="K80" s="15" t="s">
        <v>97</v>
      </c>
      <c r="L80" s="15" t="s">
        <v>212</v>
      </c>
      <c r="M80" s="15" t="s">
        <v>158</v>
      </c>
      <c r="N80" s="15" t="s">
        <v>68</v>
      </c>
      <c r="O80" s="15" t="s">
        <v>103</v>
      </c>
      <c r="P80" s="15" t="s">
        <v>243</v>
      </c>
      <c r="Q80" s="135"/>
      <c r="R80" s="42">
        <v>448</v>
      </c>
      <c r="S80" s="42">
        <f t="shared" si="9"/>
        <v>448</v>
      </c>
      <c r="T80" s="43">
        <f t="shared" si="10"/>
        <v>448</v>
      </c>
      <c r="U80" s="15" t="s">
        <v>41</v>
      </c>
      <c r="V80" s="150">
        <v>30</v>
      </c>
      <c r="W80" s="133" cm="1">
        <f t="array" ref="W80">IF(U80="",0,_xlfn.XLOOKUP(E80&amp;U80&amp;F80,tab_act&amp;tab_mod&amp;tab_act1,tab_riz)*V80*T80/MGMT)</f>
        <v>0</v>
      </c>
      <c r="X80" s="43" cm="1">
        <f t="array" ref="X80">IF(U80="",0,_xlfn.XLOOKUP(E80&amp;U80&amp;F80,tab_act&amp;tab_mod&amp;tab_act1,tab_mc)*V80*T80/MGMT)</f>
        <v>0</v>
      </c>
      <c r="Y80" s="43" cm="1">
        <f t="array" ref="Y80">IF(U80="",0,_xlfn.XLOOKUP(E80&amp;U80&amp;F80,tab_act&amp;tab_mod&amp;tab_act1,tab_sor)*V80*T80/MGMT)</f>
        <v>0</v>
      </c>
      <c r="Z80" s="43" cm="1">
        <f t="array" ref="Z80">IF(U80="",0,_xlfn.XLOOKUP(E80&amp;U80&amp;F80,tab_act&amp;tab_mod&amp;tab_act1,tab_mg)*V80*T80/MGMT)</f>
        <v>0</v>
      </c>
      <c r="AA80" s="133" cm="1">
        <f t="array" ref="AA80">IF(U80="",0,IF(U80="hybrid-Sch",_xlfn.XLOOKUP(E80&amp;U80&amp;F80,tab_act&amp;tab_mod&amp;tab_act1,tab_ls)*SchLS*T80/MGMT,_xlfn.XLOOKUP(E80&amp;U80&amp;F80,tab_act&amp;tab_mod&amp;tab_act1,tab_ls)*V80*T80/MGMT))</f>
        <v>0</v>
      </c>
      <c r="AB80" s="133" cm="1">
        <f t="array" ref="AB80">IF(U80="",0,_xlfn.XLOOKUP(E80&amp;U80&amp;F80,tab_act&amp;tab_mod&amp;tab_act1,tab_hu)*V80*T80/MGMT)</f>
        <v>0.26879999999999998</v>
      </c>
      <c r="AC80" s="133" cm="1">
        <f t="array" ref="AC80">IF(U80="",0,_xlfn.XLOOKUP(E80&amp;U80&amp;F80,tab_act&amp;tab_mod&amp;tab_act1,tab_mnp)*V80*T80/MGMT)</f>
        <v>0</v>
      </c>
      <c r="AD80" s="133" cm="1">
        <f t="array" ref="AD80">IF(U80="",0,_xlfn.XLOOKUP(E80&amp;U80&amp;F80,tab_act&amp;tab_mod&amp;tab_act1,tab_Psup)*V80*T80/MGMT)</f>
        <v>0</v>
      </c>
      <c r="AE80" s="133" cm="1">
        <f t="array" ref="AE80">IF(U80="",0,_xlfn.XLOOKUP(E80&amp;U80&amp;F80,tab_act&amp;tab_mod&amp;tab_act1,tab_csb1)*V80*T80/MGMT)</f>
        <v>2.6880000000000002</v>
      </c>
      <c r="AF80" s="133" cm="1">
        <f t="array" ref="AF80">IF(U80="",0,_xlfn.XLOOKUP(E80&amp;U80&amp;F80,tab_act&amp;tab_mod&amp;tab_act1,tab_csb2)*V80*T80/MGMT)</f>
        <v>0</v>
      </c>
      <c r="AG80" s="133" cm="1">
        <f t="array" ref="AG80">IF(U80="",0,_xlfn.XLOOKUP(E80&amp;U80&amp;F80,tab_act&amp;tab_mod&amp;tab_act1,tab_pdoz)*V80*T80/MGMT)</f>
        <v>0</v>
      </c>
      <c r="AH80" s="133" cm="1">
        <f t="array" ref="AH80">IF(U80="",0,_xlfn.XLOOKUP(E80&amp;U80&amp;F80,tab_act&amp;tab_mod&amp;tab_act1,tab_lns)*V80*T80/MGMT)</f>
        <v>0</v>
      </c>
      <c r="AI80" s="47">
        <f t="shared" si="11"/>
        <v>2.9568000000000003</v>
      </c>
      <c r="AJ80" s="48">
        <f t="shared" si="12"/>
        <v>0</v>
      </c>
      <c r="AK80" s="49" cm="1">
        <f t="array" ref="AK80">IF(U80="",0,_xlfn.XLOOKUP(E80&amp;U80&amp;F80,tab_act&amp;tab_mod&amp;tab_act1,tab_cash)*V80*T80)</f>
        <v>0</v>
      </c>
      <c r="AN80" s="140" t="str">
        <f t="shared" si="13"/>
        <v>A</v>
      </c>
    </row>
    <row r="81" spans="1:40" s="90" customFormat="1" x14ac:dyDescent="0.35">
      <c r="A81"/>
      <c r="B81" s="116" t="s">
        <v>129</v>
      </c>
      <c r="C81" s="117">
        <v>2023</v>
      </c>
      <c r="D81" s="117" t="s">
        <v>100</v>
      </c>
      <c r="E81" s="118" t="s">
        <v>39</v>
      </c>
      <c r="F81" s="118" t="s">
        <v>117</v>
      </c>
      <c r="G81" s="118" t="s">
        <v>159</v>
      </c>
      <c r="H81" s="117"/>
      <c r="I81" s="118" t="s">
        <v>213</v>
      </c>
      <c r="J81" s="118" t="s">
        <v>91</v>
      </c>
      <c r="K81" s="118" t="s">
        <v>97</v>
      </c>
      <c r="L81" s="118" t="s">
        <v>212</v>
      </c>
      <c r="M81" s="118" t="s">
        <v>158</v>
      </c>
      <c r="N81" s="118" t="s">
        <v>68</v>
      </c>
      <c r="O81" s="118" t="s">
        <v>251</v>
      </c>
      <c r="P81" s="118" t="s">
        <v>251</v>
      </c>
      <c r="Q81" s="136"/>
      <c r="R81" s="136">
        <v>1710</v>
      </c>
      <c r="S81" s="136">
        <f t="shared" si="9"/>
        <v>1710</v>
      </c>
      <c r="T81" s="118">
        <f t="shared" si="10"/>
        <v>1710</v>
      </c>
      <c r="U81" s="118" t="s">
        <v>41</v>
      </c>
      <c r="V81" s="151">
        <v>30</v>
      </c>
      <c r="W81" s="137" cm="1">
        <f t="array" ref="W81">IF(U81="",0,_xlfn.XLOOKUP(E81&amp;U81&amp;F81,tab_act&amp;tab_mod&amp;tab_act1,tab_riz)*V81*T81/MGMT)</f>
        <v>0</v>
      </c>
      <c r="X81" s="138" cm="1">
        <f t="array" ref="X81">IF(U81="",0,_xlfn.XLOOKUP(E81&amp;U81&amp;F81,tab_act&amp;tab_mod&amp;tab_act1,tab_mc)*V81*T81/MGMT)</f>
        <v>0</v>
      </c>
      <c r="Y81" s="138" cm="1">
        <f t="array" ref="Y81">IF(U81="",0,_xlfn.XLOOKUP(E81&amp;U81&amp;F81,tab_act&amp;tab_mod&amp;tab_act1,tab_sor)*V81*T81/MGMT)</f>
        <v>0</v>
      </c>
      <c r="Z81" s="138" cm="1">
        <f t="array" ref="Z81">IF(U81="",0,_xlfn.XLOOKUP(E81&amp;U81&amp;F81,tab_act&amp;tab_mod&amp;tab_act1,tab_mg)*V81*T81/MGMT)</f>
        <v>0</v>
      </c>
      <c r="AA81" s="137" cm="1">
        <f t="array" ref="AA81">IF(U81="",0,IF(U81="hybrid-Sch",_xlfn.XLOOKUP(E81&amp;U81&amp;F81,tab_act&amp;tab_mod&amp;tab_act1,tab_ls)*SchLS*T81/MGMT,_xlfn.XLOOKUP(E81&amp;U81&amp;F81,tab_act&amp;tab_mod&amp;tab_act1,tab_ls)*V81*T81/MGMT))</f>
        <v>0</v>
      </c>
      <c r="AB81" s="137" cm="1">
        <f t="array" ref="AB81">IF(U81="",0,_xlfn.XLOOKUP(E81&amp;U81&amp;F81,tab_act&amp;tab_mod&amp;tab_act1,tab_hu)*V81*T81/MGMT)</f>
        <v>1.026</v>
      </c>
      <c r="AC81" s="137" cm="1">
        <f t="array" ref="AC81">IF(U81="",0,_xlfn.XLOOKUP(E81&amp;U81&amp;F81,tab_act&amp;tab_mod&amp;tab_act1,tab_mnp)*V81*T81/MGMT)</f>
        <v>0</v>
      </c>
      <c r="AD81" s="137" cm="1">
        <f t="array" ref="AD81">IF(U81="",0,_xlfn.XLOOKUP(E81&amp;U81&amp;F81,tab_act&amp;tab_mod&amp;tab_act1,tab_Psup)*V81*T81/MGMT)</f>
        <v>0</v>
      </c>
      <c r="AE81" s="137" cm="1">
        <f t="array" ref="AE81">IF(U81="",0,_xlfn.XLOOKUP(E81&amp;U81&amp;F81,tab_act&amp;tab_mod&amp;tab_act1,tab_csb1)*V81*T81/MGMT)</f>
        <v>10.26</v>
      </c>
      <c r="AF81" s="137" cm="1">
        <f t="array" ref="AF81">IF(U81="",0,_xlfn.XLOOKUP(E81&amp;U81&amp;F81,tab_act&amp;tab_mod&amp;tab_act1,tab_csb2)*V81*T81/MGMT)</f>
        <v>0</v>
      </c>
      <c r="AG81" s="137" cm="1">
        <f t="array" ref="AG81">IF(U81="",0,_xlfn.XLOOKUP(E81&amp;U81&amp;F81,tab_act&amp;tab_mod&amp;tab_act1,tab_pdoz)*V81*T81/MGMT)</f>
        <v>0</v>
      </c>
      <c r="AH81" s="137" cm="1">
        <f t="array" ref="AH81">IF(U81="",0,_xlfn.XLOOKUP(E81&amp;U81&amp;F81,tab_act&amp;tab_mod&amp;tab_act1,tab_lns)*V81*T81/MGMT)</f>
        <v>0</v>
      </c>
      <c r="AI81" s="123">
        <f t="shared" si="11"/>
        <v>11.286</v>
      </c>
      <c r="AJ81" s="124">
        <f t="shared" si="12"/>
        <v>0</v>
      </c>
      <c r="AK81" s="125" cm="1">
        <f t="array" ref="AK81">IF(U81="",0,_xlfn.XLOOKUP(E81&amp;U81&amp;F81,tab_act&amp;tab_mod&amp;tab_act1,tab_cash)*V81*T81)</f>
        <v>0</v>
      </c>
      <c r="AL81" s="119"/>
      <c r="AM81" s="119"/>
      <c r="AN81" s="147" t="str">
        <f t="shared" si="13"/>
        <v>A</v>
      </c>
    </row>
    <row r="82" spans="1:40" x14ac:dyDescent="0.35">
      <c r="B82" s="116" t="s">
        <v>129</v>
      </c>
      <c r="C82" s="117">
        <v>2023</v>
      </c>
      <c r="D82" s="117" t="s">
        <v>100</v>
      </c>
      <c r="E82" s="118" t="s">
        <v>39</v>
      </c>
      <c r="F82" s="118" t="s">
        <v>117</v>
      </c>
      <c r="G82" s="118" t="s">
        <v>159</v>
      </c>
      <c r="H82" s="117"/>
      <c r="I82" s="118" t="s">
        <v>213</v>
      </c>
      <c r="J82" s="118" t="s">
        <v>91</v>
      </c>
      <c r="K82" s="118" t="s">
        <v>97</v>
      </c>
      <c r="L82" s="118" t="s">
        <v>246</v>
      </c>
      <c r="M82" s="118" t="s">
        <v>91</v>
      </c>
      <c r="N82" s="118" t="s">
        <v>68</v>
      </c>
      <c r="O82" s="118" t="s">
        <v>247</v>
      </c>
      <c r="P82" s="118" t="s">
        <v>247</v>
      </c>
      <c r="Q82" s="136"/>
      <c r="R82" s="136">
        <v>1610</v>
      </c>
      <c r="S82" s="136">
        <f t="shared" si="9"/>
        <v>1610</v>
      </c>
      <c r="T82" s="118">
        <f t="shared" si="10"/>
        <v>1610</v>
      </c>
      <c r="U82" s="118" t="s">
        <v>41</v>
      </c>
      <c r="V82" s="151">
        <v>30</v>
      </c>
      <c r="W82" s="137" cm="1">
        <f t="array" ref="W82">IF(U82="",0,_xlfn.XLOOKUP(E82&amp;U82&amp;F82,tab_act&amp;tab_mod&amp;tab_act1,tab_riz)*V82*T82/MGMT)</f>
        <v>0</v>
      </c>
      <c r="X82" s="138" cm="1">
        <f t="array" ref="X82">IF(U82="",0,_xlfn.XLOOKUP(E82&amp;U82&amp;F82,tab_act&amp;tab_mod&amp;tab_act1,tab_mc)*V82*T82/MGMT)</f>
        <v>0</v>
      </c>
      <c r="Y82" s="138" cm="1">
        <f t="array" ref="Y82">IF(U82="",0,_xlfn.XLOOKUP(E82&amp;U82&amp;F82,tab_act&amp;tab_mod&amp;tab_act1,tab_sor)*V82*T82/MGMT)</f>
        <v>0</v>
      </c>
      <c r="Z82" s="138" cm="1">
        <f t="array" ref="Z82">IF(U82="",0,_xlfn.XLOOKUP(E82&amp;U82&amp;F82,tab_act&amp;tab_mod&amp;tab_act1,tab_mg)*V82*T82/MGMT)</f>
        <v>0</v>
      </c>
      <c r="AA82" s="137" cm="1">
        <f t="array" ref="AA82">IF(U82="",0,IF(U82="hybrid-Sch",_xlfn.XLOOKUP(E82&amp;U82&amp;F82,tab_act&amp;tab_mod&amp;tab_act1,tab_ls)*SchLS*T82/MGMT,_xlfn.XLOOKUP(E82&amp;U82&amp;F82,tab_act&amp;tab_mod&amp;tab_act1,tab_ls)*V82*T82/MGMT))</f>
        <v>0</v>
      </c>
      <c r="AB82" s="137" cm="1">
        <f t="array" ref="AB82">IF(U82="",0,_xlfn.XLOOKUP(E82&amp;U82&amp;F82,tab_act&amp;tab_mod&amp;tab_act1,tab_hu)*V82*T82/MGMT)</f>
        <v>0.96599999999999997</v>
      </c>
      <c r="AC82" s="137" cm="1">
        <f t="array" ref="AC82">IF(U82="",0,_xlfn.XLOOKUP(E82&amp;U82&amp;F82,tab_act&amp;tab_mod&amp;tab_act1,tab_mnp)*V82*T82/MGMT)</f>
        <v>0</v>
      </c>
      <c r="AD82" s="137" cm="1">
        <f t="array" ref="AD82">IF(U82="",0,_xlfn.XLOOKUP(E82&amp;U82&amp;F82,tab_act&amp;tab_mod&amp;tab_act1,tab_Psup)*V82*T82/MGMT)</f>
        <v>0</v>
      </c>
      <c r="AE82" s="137" cm="1">
        <f t="array" ref="AE82">IF(U82="",0,_xlfn.XLOOKUP(E82&amp;U82&amp;F82,tab_act&amp;tab_mod&amp;tab_act1,tab_csb1)*V82*T82/MGMT)</f>
        <v>9.66</v>
      </c>
      <c r="AF82" s="137" cm="1">
        <f t="array" ref="AF82">IF(U82="",0,_xlfn.XLOOKUP(E82&amp;U82&amp;F82,tab_act&amp;tab_mod&amp;tab_act1,tab_csb2)*V82*T82/MGMT)</f>
        <v>0</v>
      </c>
      <c r="AG82" s="137" cm="1">
        <f t="array" ref="AG82">IF(U82="",0,_xlfn.XLOOKUP(E82&amp;U82&amp;F82,tab_act&amp;tab_mod&amp;tab_act1,tab_pdoz)*V82*T82/MGMT)</f>
        <v>0</v>
      </c>
      <c r="AH82" s="137" cm="1">
        <f t="array" ref="AH82">IF(U82="",0,_xlfn.XLOOKUP(E82&amp;U82&amp;F82,tab_act&amp;tab_mod&amp;tab_act1,tab_lns)*V82*T82/MGMT)</f>
        <v>0</v>
      </c>
      <c r="AI82" s="123">
        <f t="shared" si="11"/>
        <v>10.625999999999999</v>
      </c>
      <c r="AJ82" s="124">
        <f t="shared" si="12"/>
        <v>0</v>
      </c>
      <c r="AK82" s="125" cm="1">
        <f t="array" ref="AK82">IF(U82="",0,_xlfn.XLOOKUP(E82&amp;U82&amp;F82,tab_act&amp;tab_mod&amp;tab_act1,tab_cash)*V82*T82)</f>
        <v>0</v>
      </c>
      <c r="AL82" s="119"/>
      <c r="AM82" s="119"/>
      <c r="AN82" s="147" t="str">
        <f t="shared" si="13"/>
        <v>A</v>
      </c>
    </row>
    <row r="83" spans="1:40" x14ac:dyDescent="0.35">
      <c r="B83" s="50" t="s">
        <v>129</v>
      </c>
      <c r="C83" s="44">
        <v>2023</v>
      </c>
      <c r="D83" s="44" t="s">
        <v>100</v>
      </c>
      <c r="E83" s="15" t="s">
        <v>39</v>
      </c>
      <c r="F83" s="108" t="s">
        <v>22</v>
      </c>
      <c r="G83" s="15" t="s">
        <v>159</v>
      </c>
      <c r="H83" s="44"/>
      <c r="I83" s="15" t="s">
        <v>94</v>
      </c>
      <c r="J83" s="15" t="s">
        <v>94</v>
      </c>
      <c r="K83" s="15" t="s">
        <v>160</v>
      </c>
      <c r="L83" s="15" t="s">
        <v>95</v>
      </c>
      <c r="M83" s="15" t="s">
        <v>94</v>
      </c>
      <c r="N83" s="15" t="s">
        <v>67</v>
      </c>
      <c r="O83" s="15" t="s">
        <v>161</v>
      </c>
      <c r="P83" s="43" t="s">
        <v>162</v>
      </c>
      <c r="Q83" s="42">
        <v>245.3</v>
      </c>
      <c r="R83" s="42">
        <v>199.1</v>
      </c>
      <c r="S83" s="42">
        <f t="shared" si="9"/>
        <v>444.4</v>
      </c>
      <c r="T83" s="43">
        <f t="shared" si="10"/>
        <v>444.4</v>
      </c>
      <c r="U83" s="15" t="s">
        <v>41</v>
      </c>
      <c r="V83" s="150">
        <v>30</v>
      </c>
      <c r="W83" s="133" cm="1">
        <f t="array" ref="W83">IF(U83="",0,_xlfn.XLOOKUP(E83&amp;U83&amp;F83,tab_act&amp;tab_mod&amp;tab_act1,tab_riz)*V83*T83/MGMT)</f>
        <v>0</v>
      </c>
      <c r="X83" s="43" cm="1">
        <f t="array" ref="X83">IF(U83="",0,_xlfn.XLOOKUP(E83&amp;U83&amp;F83,tab_act&amp;tab_mod&amp;tab_act1,tab_mc)*V83*T83/MGMT)</f>
        <v>0</v>
      </c>
      <c r="Y83" s="43" cm="1">
        <f t="array" ref="Y83">IF(U83="",0,_xlfn.XLOOKUP(E83&amp;U83&amp;F83,tab_act&amp;tab_mod&amp;tab_act1,tab_sor)*V83*T83/MGMT)</f>
        <v>0</v>
      </c>
      <c r="Z83" s="43" cm="1">
        <f t="array" ref="Z83">IF(U83="",0,_xlfn.XLOOKUP(E83&amp;U83&amp;F83,tab_act&amp;tab_mod&amp;tab_act1,tab_mg)*V83*T83/MGMT)</f>
        <v>0</v>
      </c>
      <c r="AA83" s="133" cm="1">
        <f t="array" ref="AA83">IF(U83="",0,IF(U83="hybrid-Sch",_xlfn.XLOOKUP(E83&amp;U83&amp;F83,tab_act&amp;tab_mod&amp;tab_act1,tab_ls)*SchLS*T83/MGMT,_xlfn.XLOOKUP(E83&amp;U83&amp;F83,tab_act&amp;tab_mod&amp;tab_act1,tab_ls)*V83*T83/MGMT))</f>
        <v>0</v>
      </c>
      <c r="AB83" s="133" cm="1">
        <f t="array" ref="AB83">IF(U83="",0,_xlfn.XLOOKUP(E83&amp;U83&amp;F83,tab_act&amp;tab_mod&amp;tab_act1,tab_hu)*V83*T83/MGMT)</f>
        <v>0</v>
      </c>
      <c r="AC83" s="133" cm="1">
        <f t="array" ref="AC83">IF(U83="",0,_xlfn.XLOOKUP(E83&amp;U83&amp;F83,tab_act&amp;tab_mod&amp;tab_act1,tab_mnp)*V83*T83/MGMT)</f>
        <v>0</v>
      </c>
      <c r="AD83" s="133" cm="1">
        <f t="array" ref="AD83">IF(U83="",0,_xlfn.XLOOKUP(E83&amp;U83&amp;F83,tab_act&amp;tab_mod&amp;tab_act1,tab_Psup)*V83*T83/MGMT)</f>
        <v>0</v>
      </c>
      <c r="AE83" s="133" cm="1">
        <f t="array" ref="AE83">IF(U83="",0,_xlfn.XLOOKUP(E83&amp;U83&amp;F83,tab_act&amp;tab_mod&amp;tab_act1,tab_csb1)*V83*T83/MGMT)</f>
        <v>0</v>
      </c>
      <c r="AF83" s="133" cm="1">
        <f t="array" ref="AF83">IF(U83="",0,_xlfn.XLOOKUP(E83&amp;U83&amp;F83,tab_act&amp;tab_mod&amp;tab_act1,tab_csb2)*V83*T83/MGMT)</f>
        <v>0</v>
      </c>
      <c r="AG83" s="133" cm="1">
        <f t="array" ref="AG83">IF(U83="",0,_xlfn.XLOOKUP(E83&amp;U83&amp;F83,tab_act&amp;tab_mod&amp;tab_act1,tab_pdoz)*V83*T83/MGMT)</f>
        <v>0.66659999999999997</v>
      </c>
      <c r="AH83" s="133" cm="1">
        <f t="array" ref="AH83">IFERROR(IF(U83="",0,_xlfn.XLOOKUP(E83&amp;U83&amp;F83,tab_act&amp;tab_mod&amp;tab_act1,tab_lns)*V83*T83/MGMT),"")</f>
        <v>0</v>
      </c>
      <c r="AI83" s="47">
        <f t="shared" si="11"/>
        <v>0.66659999999999997</v>
      </c>
      <c r="AJ83" s="48">
        <f t="shared" si="12"/>
        <v>0</v>
      </c>
      <c r="AK83" s="49" cm="1">
        <f t="array" ref="AK83">IF(U83="",0,_xlfn.XLOOKUP(E83&amp;U83&amp;F83,tab_act&amp;tab_mod&amp;tab_act1,tab_cash)*V83*T83)</f>
        <v>0</v>
      </c>
      <c r="AN83" s="140" t="str">
        <f t="shared" si="13"/>
        <v>A</v>
      </c>
    </row>
    <row r="84" spans="1:40" x14ac:dyDescent="0.35">
      <c r="B84" s="50" t="s">
        <v>129</v>
      </c>
      <c r="C84" s="44">
        <v>2023</v>
      </c>
      <c r="D84" s="44" t="s">
        <v>100</v>
      </c>
      <c r="E84" s="15" t="s">
        <v>39</v>
      </c>
      <c r="F84" s="108" t="s">
        <v>22</v>
      </c>
      <c r="G84" s="15" t="s">
        <v>159</v>
      </c>
      <c r="H84" s="44"/>
      <c r="I84" s="15" t="s">
        <v>94</v>
      </c>
      <c r="J84" s="15" t="s">
        <v>94</v>
      </c>
      <c r="K84" s="15" t="s">
        <v>160</v>
      </c>
      <c r="L84" s="15" t="s">
        <v>95</v>
      </c>
      <c r="M84" s="15" t="s">
        <v>94</v>
      </c>
      <c r="N84" s="15" t="s">
        <v>67</v>
      </c>
      <c r="O84" s="15" t="s">
        <v>161</v>
      </c>
      <c r="P84" s="43" t="s">
        <v>163</v>
      </c>
      <c r="Q84" s="42">
        <v>35.200000000000003</v>
      </c>
      <c r="R84" s="42">
        <v>31.9</v>
      </c>
      <c r="S84" s="42">
        <f t="shared" si="9"/>
        <v>67.099999999999994</v>
      </c>
      <c r="T84" s="43">
        <f t="shared" si="10"/>
        <v>67.099999999999994</v>
      </c>
      <c r="U84" s="15" t="s">
        <v>41</v>
      </c>
      <c r="V84" s="150">
        <v>30</v>
      </c>
      <c r="W84" s="133" cm="1">
        <f t="array" ref="W84">IF(U84="",0,_xlfn.XLOOKUP(E84&amp;U84&amp;F84,tab_act&amp;tab_mod&amp;tab_act1,tab_riz)*V84*T84/MGMT)</f>
        <v>0</v>
      </c>
      <c r="X84" s="43" cm="1">
        <f t="array" ref="X84">IF(U84="",0,_xlfn.XLOOKUP(E84&amp;U84&amp;F84,tab_act&amp;tab_mod&amp;tab_act1,tab_mc)*V84*T84/MGMT)</f>
        <v>0</v>
      </c>
      <c r="Y84" s="43" cm="1">
        <f t="array" ref="Y84">IF(U84="",0,_xlfn.XLOOKUP(E84&amp;U84&amp;F84,tab_act&amp;tab_mod&amp;tab_act1,tab_sor)*V84*T84/MGMT)</f>
        <v>0</v>
      </c>
      <c r="Z84" s="43" cm="1">
        <f t="array" ref="Z84">IF(U84="",0,_xlfn.XLOOKUP(E84&amp;U84&amp;F84,tab_act&amp;tab_mod&amp;tab_act1,tab_mg)*V84*T84/MGMT)</f>
        <v>0</v>
      </c>
      <c r="AA84" s="133" cm="1">
        <f t="array" ref="AA84">IF(U84="",0,IF(U84="hybrid-Sch",_xlfn.XLOOKUP(E84&amp;U84&amp;F84,tab_act&amp;tab_mod&amp;tab_act1,tab_ls)*SchLS*T84/MGMT,_xlfn.XLOOKUP(E84&amp;U84&amp;F84,tab_act&amp;tab_mod&amp;tab_act1,tab_ls)*V84*T84/MGMT))</f>
        <v>0</v>
      </c>
      <c r="AB84" s="133" cm="1">
        <f t="array" ref="AB84">IF(U84="",0,_xlfn.XLOOKUP(E84&amp;U84&amp;F84,tab_act&amp;tab_mod&amp;tab_act1,tab_hu)*V84*T84/MGMT)</f>
        <v>0</v>
      </c>
      <c r="AC84" s="133" cm="1">
        <f t="array" ref="AC84">IF(U84="",0,_xlfn.XLOOKUP(E84&amp;U84&amp;F84,tab_act&amp;tab_mod&amp;tab_act1,tab_mnp)*V84*T84/MGMT)</f>
        <v>0</v>
      </c>
      <c r="AD84" s="133" cm="1">
        <f t="array" ref="AD84">IF(U84="",0,_xlfn.XLOOKUP(E84&amp;U84&amp;F84,tab_act&amp;tab_mod&amp;tab_act1,tab_Psup)*V84*T84/MGMT)</f>
        <v>0</v>
      </c>
      <c r="AE84" s="133" cm="1">
        <f t="array" ref="AE84">IF(U84="",0,_xlfn.XLOOKUP(E84&amp;U84&amp;F84,tab_act&amp;tab_mod&amp;tab_act1,tab_csb1)*V84*T84/MGMT)</f>
        <v>0</v>
      </c>
      <c r="AF84" s="133" cm="1">
        <f t="array" ref="AF84">IF(U84="",0,_xlfn.XLOOKUP(E84&amp;U84&amp;F84,tab_act&amp;tab_mod&amp;tab_act1,tab_csb2)*V84*T84/MGMT)</f>
        <v>0</v>
      </c>
      <c r="AG84" s="133" cm="1">
        <f t="array" ref="AG84">IF(U84="",0,_xlfn.XLOOKUP(E84&amp;U84&amp;F84,tab_act&amp;tab_mod&amp;tab_act1,tab_pdoz)*V84*T84/MGMT)</f>
        <v>0.10064999999999999</v>
      </c>
      <c r="AH84" s="133" cm="1">
        <f t="array" ref="AH84">IFERROR(IF(U84="",0,_xlfn.XLOOKUP(E84&amp;U84&amp;F84,tab_act&amp;tab_mod&amp;tab_act1,tab_lns)*V84*T84/MGMT),"")</f>
        <v>0</v>
      </c>
      <c r="AI84" s="47">
        <f t="shared" si="11"/>
        <v>0.10064999999999999</v>
      </c>
      <c r="AJ84" s="48">
        <f t="shared" si="12"/>
        <v>0</v>
      </c>
      <c r="AK84" s="49" cm="1">
        <f t="array" ref="AK84">IF(U84="",0,_xlfn.XLOOKUP(E84&amp;U84&amp;F84,tab_act&amp;tab_mod&amp;tab_act1,tab_cash)*V84*T84)</f>
        <v>0</v>
      </c>
      <c r="AN84" s="140" t="str">
        <f t="shared" si="13"/>
        <v>A</v>
      </c>
    </row>
    <row r="85" spans="1:40" x14ac:dyDescent="0.35">
      <c r="B85" s="50" t="s">
        <v>129</v>
      </c>
      <c r="C85" s="44">
        <v>2023</v>
      </c>
      <c r="D85" s="44" t="s">
        <v>100</v>
      </c>
      <c r="E85" s="15" t="s">
        <v>39</v>
      </c>
      <c r="F85" s="108" t="s">
        <v>22</v>
      </c>
      <c r="G85" s="15" t="s">
        <v>159</v>
      </c>
      <c r="H85" s="44"/>
      <c r="I85" s="15" t="s">
        <v>94</v>
      </c>
      <c r="J85" s="15" t="s">
        <v>94</v>
      </c>
      <c r="K85" s="15" t="s">
        <v>160</v>
      </c>
      <c r="L85" s="15" t="s">
        <v>95</v>
      </c>
      <c r="M85" s="15" t="s">
        <v>94</v>
      </c>
      <c r="N85" s="15" t="s">
        <v>67</v>
      </c>
      <c r="O85" s="15" t="s">
        <v>161</v>
      </c>
      <c r="P85" s="43" t="s">
        <v>164</v>
      </c>
      <c r="Q85" s="42">
        <v>121</v>
      </c>
      <c r="R85" s="42">
        <v>108.9</v>
      </c>
      <c r="S85" s="42">
        <f t="shared" si="9"/>
        <v>229.9</v>
      </c>
      <c r="T85" s="43">
        <f t="shared" si="10"/>
        <v>229.9</v>
      </c>
      <c r="U85" s="15" t="s">
        <v>41</v>
      </c>
      <c r="V85" s="150">
        <v>30</v>
      </c>
      <c r="W85" s="133" cm="1">
        <f t="array" ref="W85">IF(U85="",0,_xlfn.XLOOKUP(E85&amp;U85&amp;F85,tab_act&amp;tab_mod&amp;tab_act1,tab_riz)*V85*T85/MGMT)</f>
        <v>0</v>
      </c>
      <c r="X85" s="43" cm="1">
        <f t="array" ref="X85">IF(U85="",0,_xlfn.XLOOKUP(E85&amp;U85&amp;F85,tab_act&amp;tab_mod&amp;tab_act1,tab_mc)*V85*T85/MGMT)</f>
        <v>0</v>
      </c>
      <c r="Y85" s="43" cm="1">
        <f t="array" ref="Y85">IF(U85="",0,_xlfn.XLOOKUP(E85&amp;U85&amp;F85,tab_act&amp;tab_mod&amp;tab_act1,tab_sor)*V85*T85/MGMT)</f>
        <v>0</v>
      </c>
      <c r="Z85" s="43" cm="1">
        <f t="array" ref="Z85">IF(U85="",0,_xlfn.XLOOKUP(E85&amp;U85&amp;F85,tab_act&amp;tab_mod&amp;tab_act1,tab_mg)*V85*T85/MGMT)</f>
        <v>0</v>
      </c>
      <c r="AA85" s="133" cm="1">
        <f t="array" ref="AA85">IF(U85="",0,IF(U85="hybrid-Sch",_xlfn.XLOOKUP(E85&amp;U85&amp;F85,tab_act&amp;tab_mod&amp;tab_act1,tab_ls)*SchLS*T85/MGMT,_xlfn.XLOOKUP(E85&amp;U85&amp;F85,tab_act&amp;tab_mod&amp;tab_act1,tab_ls)*V85*T85/MGMT))</f>
        <v>0</v>
      </c>
      <c r="AB85" s="133" cm="1">
        <f t="array" ref="AB85">IF(U85="",0,_xlfn.XLOOKUP(E85&amp;U85&amp;F85,tab_act&amp;tab_mod&amp;tab_act1,tab_hu)*V85*T85/MGMT)</f>
        <v>0</v>
      </c>
      <c r="AC85" s="133" cm="1">
        <f t="array" ref="AC85">IF(U85="",0,_xlfn.XLOOKUP(E85&amp;U85&amp;F85,tab_act&amp;tab_mod&amp;tab_act1,tab_mnp)*V85*T85/MGMT)</f>
        <v>0</v>
      </c>
      <c r="AD85" s="133" cm="1">
        <f t="array" ref="AD85">IF(U85="",0,_xlfn.XLOOKUP(E85&amp;U85&amp;F85,tab_act&amp;tab_mod&amp;tab_act1,tab_Psup)*V85*T85/MGMT)</f>
        <v>0</v>
      </c>
      <c r="AE85" s="133" cm="1">
        <f t="array" ref="AE85">IF(U85="",0,_xlfn.XLOOKUP(E85&amp;U85&amp;F85,tab_act&amp;tab_mod&amp;tab_act1,tab_csb1)*V85*T85/MGMT)</f>
        <v>0</v>
      </c>
      <c r="AF85" s="133" cm="1">
        <f t="array" ref="AF85">IF(U85="",0,_xlfn.XLOOKUP(E85&amp;U85&amp;F85,tab_act&amp;tab_mod&amp;tab_act1,tab_csb2)*V85*T85/MGMT)</f>
        <v>0</v>
      </c>
      <c r="AG85" s="133" cm="1">
        <f t="array" ref="AG85">IF(U85="",0,_xlfn.XLOOKUP(E85&amp;U85&amp;F85,tab_act&amp;tab_mod&amp;tab_act1,tab_pdoz)*V85*T85/MGMT)</f>
        <v>0.34484999999999999</v>
      </c>
      <c r="AH85" s="133" cm="1">
        <f t="array" ref="AH85">IFERROR(IF(U85="",0,_xlfn.XLOOKUP(E85&amp;U85&amp;F85,tab_act&amp;tab_mod&amp;tab_act1,tab_lns)*V85*T85/MGMT),"")</f>
        <v>0</v>
      </c>
      <c r="AI85" s="47">
        <f t="shared" si="11"/>
        <v>0.34484999999999999</v>
      </c>
      <c r="AJ85" s="48">
        <f t="shared" si="12"/>
        <v>0</v>
      </c>
      <c r="AK85" s="49" cm="1">
        <f t="array" ref="AK85">IF(U85="",0,_xlfn.XLOOKUP(E85&amp;U85&amp;F85,tab_act&amp;tab_mod&amp;tab_act1,tab_cash)*V85*T85)</f>
        <v>0</v>
      </c>
      <c r="AN85" s="140" t="str">
        <f t="shared" si="13"/>
        <v>A</v>
      </c>
    </row>
    <row r="86" spans="1:40" x14ac:dyDescent="0.35">
      <c r="B86" s="50" t="s">
        <v>129</v>
      </c>
      <c r="C86" s="44">
        <v>2023</v>
      </c>
      <c r="D86" s="44" t="s">
        <v>100</v>
      </c>
      <c r="E86" s="15" t="s">
        <v>39</v>
      </c>
      <c r="F86" s="108" t="s">
        <v>22</v>
      </c>
      <c r="G86" s="15" t="s">
        <v>159</v>
      </c>
      <c r="H86" s="44"/>
      <c r="I86" s="15" t="s">
        <v>94</v>
      </c>
      <c r="J86" s="15" t="s">
        <v>94</v>
      </c>
      <c r="K86" s="15" t="s">
        <v>160</v>
      </c>
      <c r="L86" s="15" t="s">
        <v>95</v>
      </c>
      <c r="M86" s="15" t="s">
        <v>94</v>
      </c>
      <c r="N86" s="15" t="s">
        <v>67</v>
      </c>
      <c r="O86" s="15" t="s">
        <v>161</v>
      </c>
      <c r="P86" s="43" t="s">
        <v>165</v>
      </c>
      <c r="Q86" s="42">
        <v>91.3</v>
      </c>
      <c r="R86" s="42">
        <v>97.9</v>
      </c>
      <c r="S86" s="42">
        <f t="shared" si="9"/>
        <v>189.2</v>
      </c>
      <c r="T86" s="43">
        <f t="shared" si="10"/>
        <v>189.2</v>
      </c>
      <c r="U86" s="15" t="s">
        <v>41</v>
      </c>
      <c r="V86" s="150">
        <v>30</v>
      </c>
      <c r="W86" s="133" cm="1">
        <f t="array" ref="W86">IF(U86="",0,_xlfn.XLOOKUP(E86&amp;U86&amp;F86,tab_act&amp;tab_mod&amp;tab_act1,tab_riz)*V86*T86/MGMT)</f>
        <v>0</v>
      </c>
      <c r="X86" s="43" cm="1">
        <f t="array" ref="X86">IF(U86="",0,_xlfn.XLOOKUP(E86&amp;U86&amp;F86,tab_act&amp;tab_mod&amp;tab_act1,tab_mc)*V86*T86/MGMT)</f>
        <v>0</v>
      </c>
      <c r="Y86" s="43" cm="1">
        <f t="array" ref="Y86">IF(U86="",0,_xlfn.XLOOKUP(E86&amp;U86&amp;F86,tab_act&amp;tab_mod&amp;tab_act1,tab_sor)*V86*T86/MGMT)</f>
        <v>0</v>
      </c>
      <c r="Z86" s="43" cm="1">
        <f t="array" ref="Z86">IF(U86="",0,_xlfn.XLOOKUP(E86&amp;U86&amp;F86,tab_act&amp;tab_mod&amp;tab_act1,tab_mg)*V86*T86/MGMT)</f>
        <v>0</v>
      </c>
      <c r="AA86" s="133" cm="1">
        <f t="array" ref="AA86">IF(U86="",0,IF(U86="hybrid-Sch",_xlfn.XLOOKUP(E86&amp;U86&amp;F86,tab_act&amp;tab_mod&amp;tab_act1,tab_ls)*SchLS*T86/MGMT,_xlfn.XLOOKUP(E86&amp;U86&amp;F86,tab_act&amp;tab_mod&amp;tab_act1,tab_ls)*V86*T86/MGMT))</f>
        <v>0</v>
      </c>
      <c r="AB86" s="133" cm="1">
        <f t="array" ref="AB86">IF(U86="",0,_xlfn.XLOOKUP(E86&amp;U86&amp;F86,tab_act&amp;tab_mod&amp;tab_act1,tab_hu)*V86*T86/MGMT)</f>
        <v>0</v>
      </c>
      <c r="AC86" s="133" cm="1">
        <f t="array" ref="AC86">IF(U86="",0,_xlfn.XLOOKUP(E86&amp;U86&amp;F86,tab_act&amp;tab_mod&amp;tab_act1,tab_mnp)*V86*T86/MGMT)</f>
        <v>0</v>
      </c>
      <c r="AD86" s="133" cm="1">
        <f t="array" ref="AD86">IF(U86="",0,_xlfn.XLOOKUP(E86&amp;U86&amp;F86,tab_act&amp;tab_mod&amp;tab_act1,tab_Psup)*V86*T86/MGMT)</f>
        <v>0</v>
      </c>
      <c r="AE86" s="133" cm="1">
        <f t="array" ref="AE86">IF(U86="",0,_xlfn.XLOOKUP(E86&amp;U86&amp;F86,tab_act&amp;tab_mod&amp;tab_act1,tab_csb1)*V86*T86/MGMT)</f>
        <v>0</v>
      </c>
      <c r="AF86" s="133" cm="1">
        <f t="array" ref="AF86">IF(U86="",0,_xlfn.XLOOKUP(E86&amp;U86&amp;F86,tab_act&amp;tab_mod&amp;tab_act1,tab_csb2)*V86*T86/MGMT)</f>
        <v>0</v>
      </c>
      <c r="AG86" s="133" cm="1">
        <f t="array" ref="AG86">IF(U86="",0,_xlfn.XLOOKUP(E86&amp;U86&amp;F86,tab_act&amp;tab_mod&amp;tab_act1,tab_pdoz)*V86*T86/MGMT)</f>
        <v>0.2838</v>
      </c>
      <c r="AH86" s="133" cm="1">
        <f t="array" ref="AH86">IFERROR(IF(U86="",0,_xlfn.XLOOKUP(E86&amp;U86&amp;F86,tab_act&amp;tab_mod&amp;tab_act1,tab_lns)*V86*T86/MGMT),"")</f>
        <v>0</v>
      </c>
      <c r="AI86" s="47">
        <f t="shared" si="11"/>
        <v>0.2838</v>
      </c>
      <c r="AJ86" s="48">
        <f t="shared" si="12"/>
        <v>0</v>
      </c>
      <c r="AK86" s="49" cm="1">
        <f t="array" ref="AK86">IF(U86="",0,_xlfn.XLOOKUP(E86&amp;U86&amp;F86,tab_act&amp;tab_mod&amp;tab_act1,tab_cash)*V86*T86)</f>
        <v>0</v>
      </c>
      <c r="AN86" s="140" t="str">
        <f t="shared" si="13"/>
        <v>A</v>
      </c>
    </row>
    <row r="87" spans="1:40" x14ac:dyDescent="0.35">
      <c r="B87" s="50" t="s">
        <v>129</v>
      </c>
      <c r="C87" s="44">
        <v>2023</v>
      </c>
      <c r="D87" s="44" t="s">
        <v>100</v>
      </c>
      <c r="E87" s="15" t="s">
        <v>39</v>
      </c>
      <c r="F87" s="108" t="s">
        <v>22</v>
      </c>
      <c r="G87" s="15" t="s">
        <v>159</v>
      </c>
      <c r="H87" s="44"/>
      <c r="I87" s="15" t="s">
        <v>94</v>
      </c>
      <c r="J87" s="15" t="s">
        <v>94</v>
      </c>
      <c r="K87" s="15" t="s">
        <v>160</v>
      </c>
      <c r="L87" s="15" t="s">
        <v>95</v>
      </c>
      <c r="M87" s="15" t="s">
        <v>94</v>
      </c>
      <c r="N87" s="15" t="s">
        <v>67</v>
      </c>
      <c r="O87" s="15" t="s">
        <v>161</v>
      </c>
      <c r="P87" s="43" t="s">
        <v>161</v>
      </c>
      <c r="Q87" s="42">
        <v>293.7</v>
      </c>
      <c r="R87" s="42">
        <v>223.3</v>
      </c>
      <c r="S87" s="42">
        <f t="shared" si="9"/>
        <v>517</v>
      </c>
      <c r="T87" s="43">
        <f t="shared" si="10"/>
        <v>517</v>
      </c>
      <c r="U87" s="15" t="s">
        <v>41</v>
      </c>
      <c r="V87" s="150">
        <v>30</v>
      </c>
      <c r="W87" s="133" cm="1">
        <f t="array" ref="W87">IF(U87="",0,_xlfn.XLOOKUP(E87&amp;U87&amp;F87,tab_act&amp;tab_mod&amp;tab_act1,tab_riz)*V87*T87/MGMT)</f>
        <v>0</v>
      </c>
      <c r="X87" s="43" cm="1">
        <f t="array" ref="X87">IF(U87="",0,_xlfn.XLOOKUP(E87&amp;U87&amp;F87,tab_act&amp;tab_mod&amp;tab_act1,tab_mc)*V87*T87/MGMT)</f>
        <v>0</v>
      </c>
      <c r="Y87" s="43" cm="1">
        <f t="array" ref="Y87">IF(U87="",0,_xlfn.XLOOKUP(E87&amp;U87&amp;F87,tab_act&amp;tab_mod&amp;tab_act1,tab_sor)*V87*T87/MGMT)</f>
        <v>0</v>
      </c>
      <c r="Z87" s="43" cm="1">
        <f t="array" ref="Z87">IF(U87="",0,_xlfn.XLOOKUP(E87&amp;U87&amp;F87,tab_act&amp;tab_mod&amp;tab_act1,tab_mg)*V87*T87/MGMT)</f>
        <v>0</v>
      </c>
      <c r="AA87" s="133" cm="1">
        <f t="array" ref="AA87">IF(U87="",0,IF(U87="hybrid-Sch",_xlfn.XLOOKUP(E87&amp;U87&amp;F87,tab_act&amp;tab_mod&amp;tab_act1,tab_ls)*SchLS*T87/MGMT,_xlfn.XLOOKUP(E87&amp;U87&amp;F87,tab_act&amp;tab_mod&amp;tab_act1,tab_ls)*V87*T87/MGMT))</f>
        <v>0</v>
      </c>
      <c r="AB87" s="133" cm="1">
        <f t="array" ref="AB87">IF(U87="",0,_xlfn.XLOOKUP(E87&amp;U87&amp;F87,tab_act&amp;tab_mod&amp;tab_act1,tab_hu)*V87*T87/MGMT)</f>
        <v>0</v>
      </c>
      <c r="AC87" s="133" cm="1">
        <f t="array" ref="AC87">IF(U87="",0,_xlfn.XLOOKUP(E87&amp;U87&amp;F87,tab_act&amp;tab_mod&amp;tab_act1,tab_mnp)*V87*T87/MGMT)</f>
        <v>0</v>
      </c>
      <c r="AD87" s="133" cm="1">
        <f t="array" ref="AD87">IF(U87="",0,_xlfn.XLOOKUP(E87&amp;U87&amp;F87,tab_act&amp;tab_mod&amp;tab_act1,tab_Psup)*V87*T87/MGMT)</f>
        <v>0</v>
      </c>
      <c r="AE87" s="133" cm="1">
        <f t="array" ref="AE87">IF(U87="",0,_xlfn.XLOOKUP(E87&amp;U87&amp;F87,tab_act&amp;tab_mod&amp;tab_act1,tab_csb1)*V87*T87/MGMT)</f>
        <v>0</v>
      </c>
      <c r="AF87" s="133" cm="1">
        <f t="array" ref="AF87">IF(U87="",0,_xlfn.XLOOKUP(E87&amp;U87&amp;F87,tab_act&amp;tab_mod&amp;tab_act1,tab_csb2)*V87*T87/MGMT)</f>
        <v>0</v>
      </c>
      <c r="AG87" s="133" cm="1">
        <f t="array" ref="AG87">IF(U87="",0,_xlfn.XLOOKUP(E87&amp;U87&amp;F87,tab_act&amp;tab_mod&amp;tab_act1,tab_pdoz)*V87*T87/MGMT)</f>
        <v>0.77549999999999997</v>
      </c>
      <c r="AH87" s="133" cm="1">
        <f t="array" ref="AH87">IFERROR(IF(U87="",0,_xlfn.XLOOKUP(E87&amp;U87&amp;F87,tab_act&amp;tab_mod&amp;tab_act1,tab_lns)*V87*T87/MGMT),"")</f>
        <v>0</v>
      </c>
      <c r="AI87" s="47">
        <f t="shared" si="11"/>
        <v>0.77549999999999997</v>
      </c>
      <c r="AJ87" s="48">
        <f t="shared" si="12"/>
        <v>0</v>
      </c>
      <c r="AK87" s="49" cm="1">
        <f t="array" ref="AK87">IF(U87="",0,_xlfn.XLOOKUP(E87&amp;U87&amp;F87,tab_act&amp;tab_mod&amp;tab_act1,tab_cash)*V87*T87)</f>
        <v>0</v>
      </c>
      <c r="AN87" s="140" t="str">
        <f t="shared" si="13"/>
        <v>A</v>
      </c>
    </row>
    <row r="88" spans="1:40" x14ac:dyDescent="0.35">
      <c r="B88" s="50" t="s">
        <v>129</v>
      </c>
      <c r="C88" s="44">
        <v>2023</v>
      </c>
      <c r="D88" s="44" t="s">
        <v>100</v>
      </c>
      <c r="E88" s="15" t="s">
        <v>39</v>
      </c>
      <c r="F88" s="108" t="s">
        <v>22</v>
      </c>
      <c r="G88" s="15" t="s">
        <v>159</v>
      </c>
      <c r="H88" s="44"/>
      <c r="I88" s="15" t="s">
        <v>94</v>
      </c>
      <c r="J88" s="15" t="s">
        <v>94</v>
      </c>
      <c r="K88" s="15" t="s">
        <v>160</v>
      </c>
      <c r="L88" s="15" t="s">
        <v>95</v>
      </c>
      <c r="M88" s="15" t="s">
        <v>94</v>
      </c>
      <c r="N88" s="15" t="s">
        <v>67</v>
      </c>
      <c r="O88" s="15" t="s">
        <v>161</v>
      </c>
      <c r="P88" s="43" t="s">
        <v>166</v>
      </c>
      <c r="Q88" s="42">
        <v>111.1</v>
      </c>
      <c r="R88" s="42">
        <v>97.9</v>
      </c>
      <c r="S88" s="42">
        <f t="shared" si="9"/>
        <v>209</v>
      </c>
      <c r="T88" s="43">
        <f t="shared" si="10"/>
        <v>209</v>
      </c>
      <c r="U88" s="15" t="s">
        <v>41</v>
      </c>
      <c r="V88" s="150">
        <v>30</v>
      </c>
      <c r="W88" s="133" cm="1">
        <f t="array" ref="W88">IF(U88="",0,_xlfn.XLOOKUP(E88&amp;U88&amp;F88,tab_act&amp;tab_mod&amp;tab_act1,tab_riz)*V88*T88/MGMT)</f>
        <v>0</v>
      </c>
      <c r="X88" s="43" cm="1">
        <f t="array" ref="X88">IF(U88="",0,_xlfn.XLOOKUP(E88&amp;U88&amp;F88,tab_act&amp;tab_mod&amp;tab_act1,tab_mc)*V88*T88/MGMT)</f>
        <v>0</v>
      </c>
      <c r="Y88" s="43" cm="1">
        <f t="array" ref="Y88">IF(U88="",0,_xlfn.XLOOKUP(E88&amp;U88&amp;F88,tab_act&amp;tab_mod&amp;tab_act1,tab_sor)*V88*T88/MGMT)</f>
        <v>0</v>
      </c>
      <c r="Z88" s="43" cm="1">
        <f t="array" ref="Z88">IF(U88="",0,_xlfn.XLOOKUP(E88&amp;U88&amp;F88,tab_act&amp;tab_mod&amp;tab_act1,tab_mg)*V88*T88/MGMT)</f>
        <v>0</v>
      </c>
      <c r="AA88" s="133" cm="1">
        <f t="array" ref="AA88">IF(U88="",0,IF(U88="hybrid-Sch",_xlfn.XLOOKUP(E88&amp;U88&amp;F88,tab_act&amp;tab_mod&amp;tab_act1,tab_ls)*SchLS*T88/MGMT,_xlfn.XLOOKUP(E88&amp;U88&amp;F88,tab_act&amp;tab_mod&amp;tab_act1,tab_ls)*V88*T88/MGMT))</f>
        <v>0</v>
      </c>
      <c r="AB88" s="133" cm="1">
        <f t="array" ref="AB88">IF(U88="",0,_xlfn.XLOOKUP(E88&amp;U88&amp;F88,tab_act&amp;tab_mod&amp;tab_act1,tab_hu)*V88*T88/MGMT)</f>
        <v>0</v>
      </c>
      <c r="AC88" s="133" cm="1">
        <f t="array" ref="AC88">IF(U88="",0,_xlfn.XLOOKUP(E88&amp;U88&amp;F88,tab_act&amp;tab_mod&amp;tab_act1,tab_mnp)*V88*T88/MGMT)</f>
        <v>0</v>
      </c>
      <c r="AD88" s="133" cm="1">
        <f t="array" ref="AD88">IF(U88="",0,_xlfn.XLOOKUP(E88&amp;U88&amp;F88,tab_act&amp;tab_mod&amp;tab_act1,tab_Psup)*V88*T88/MGMT)</f>
        <v>0</v>
      </c>
      <c r="AE88" s="133" cm="1">
        <f t="array" ref="AE88">IF(U88="",0,_xlfn.XLOOKUP(E88&amp;U88&amp;F88,tab_act&amp;tab_mod&amp;tab_act1,tab_csb1)*V88*T88/MGMT)</f>
        <v>0</v>
      </c>
      <c r="AF88" s="133" cm="1">
        <f t="array" ref="AF88">IF(U88="",0,_xlfn.XLOOKUP(E88&amp;U88&amp;F88,tab_act&amp;tab_mod&amp;tab_act1,tab_csb2)*V88*T88/MGMT)</f>
        <v>0</v>
      </c>
      <c r="AG88" s="133" cm="1">
        <f t="array" ref="AG88">IF(U88="",0,_xlfn.XLOOKUP(E88&amp;U88&amp;F88,tab_act&amp;tab_mod&amp;tab_act1,tab_pdoz)*V88*T88/MGMT)</f>
        <v>0.3135</v>
      </c>
      <c r="AH88" s="133" cm="1">
        <f t="array" ref="AH88">IFERROR(IF(U88="",0,_xlfn.XLOOKUP(E88&amp;U88&amp;F88,tab_act&amp;tab_mod&amp;tab_act1,tab_lns)*V88*T88/MGMT),"")</f>
        <v>0</v>
      </c>
      <c r="AI88" s="47">
        <f t="shared" si="11"/>
        <v>0.3135</v>
      </c>
      <c r="AJ88" s="48">
        <f t="shared" si="12"/>
        <v>0</v>
      </c>
      <c r="AK88" s="49" cm="1">
        <f t="array" ref="AK88">IF(U88="",0,_xlfn.XLOOKUP(E88&amp;U88&amp;F88,tab_act&amp;tab_mod&amp;tab_act1,tab_cash)*V88*T88)</f>
        <v>0</v>
      </c>
      <c r="AN88" s="140" t="str">
        <f t="shared" si="13"/>
        <v>A</v>
      </c>
    </row>
    <row r="89" spans="1:40" x14ac:dyDescent="0.35">
      <c r="B89" s="50" t="s">
        <v>129</v>
      </c>
      <c r="C89" s="44">
        <v>2023</v>
      </c>
      <c r="D89" s="44" t="s">
        <v>100</v>
      </c>
      <c r="E89" s="15" t="s">
        <v>39</v>
      </c>
      <c r="F89" s="108" t="s">
        <v>22</v>
      </c>
      <c r="G89" s="15" t="s">
        <v>159</v>
      </c>
      <c r="H89" s="44"/>
      <c r="I89" s="15" t="s">
        <v>94</v>
      </c>
      <c r="J89" s="15" t="s">
        <v>94</v>
      </c>
      <c r="K89" s="15" t="s">
        <v>160</v>
      </c>
      <c r="L89" s="15" t="s">
        <v>95</v>
      </c>
      <c r="M89" s="15" t="s">
        <v>94</v>
      </c>
      <c r="N89" s="15" t="s">
        <v>67</v>
      </c>
      <c r="O89" s="15" t="s">
        <v>161</v>
      </c>
      <c r="P89" s="43" t="s">
        <v>167</v>
      </c>
      <c r="Q89" s="42">
        <v>36.299999999999997</v>
      </c>
      <c r="R89" s="42">
        <v>59.4</v>
      </c>
      <c r="S89" s="42">
        <f t="shared" si="9"/>
        <v>95.699999999999989</v>
      </c>
      <c r="T89" s="43">
        <f t="shared" si="10"/>
        <v>95.699999999999989</v>
      </c>
      <c r="U89" s="15" t="s">
        <v>41</v>
      </c>
      <c r="V89" s="150">
        <v>30</v>
      </c>
      <c r="W89" s="133" cm="1">
        <f t="array" ref="W89">IF(U89="",0,_xlfn.XLOOKUP(E89&amp;U89&amp;F89,tab_act&amp;tab_mod&amp;tab_act1,tab_riz)*V89*T89/MGMT)</f>
        <v>0</v>
      </c>
      <c r="X89" s="43" cm="1">
        <f t="array" ref="X89">IF(U89="",0,_xlfn.XLOOKUP(E89&amp;U89&amp;F89,tab_act&amp;tab_mod&amp;tab_act1,tab_mc)*V89*T89/MGMT)</f>
        <v>0</v>
      </c>
      <c r="Y89" s="43" cm="1">
        <f t="array" ref="Y89">IF(U89="",0,_xlfn.XLOOKUP(E89&amp;U89&amp;F89,tab_act&amp;tab_mod&amp;tab_act1,tab_sor)*V89*T89/MGMT)</f>
        <v>0</v>
      </c>
      <c r="Z89" s="43" cm="1">
        <f t="array" ref="Z89">IF(U89="",0,_xlfn.XLOOKUP(E89&amp;U89&amp;F89,tab_act&amp;tab_mod&amp;tab_act1,tab_mg)*V89*T89/MGMT)</f>
        <v>0</v>
      </c>
      <c r="AA89" s="133" cm="1">
        <f t="array" ref="AA89">IF(U89="",0,IF(U89="hybrid-Sch",_xlfn.XLOOKUP(E89&amp;U89&amp;F89,tab_act&amp;tab_mod&amp;tab_act1,tab_ls)*SchLS*T89/MGMT,_xlfn.XLOOKUP(E89&amp;U89&amp;F89,tab_act&amp;tab_mod&amp;tab_act1,tab_ls)*V89*T89/MGMT))</f>
        <v>0</v>
      </c>
      <c r="AB89" s="133" cm="1">
        <f t="array" ref="AB89">IF(U89="",0,_xlfn.XLOOKUP(E89&amp;U89&amp;F89,tab_act&amp;tab_mod&amp;tab_act1,tab_hu)*V89*T89/MGMT)</f>
        <v>0</v>
      </c>
      <c r="AC89" s="133" cm="1">
        <f t="array" ref="AC89">IF(U89="",0,_xlfn.XLOOKUP(E89&amp;U89&amp;F89,tab_act&amp;tab_mod&amp;tab_act1,tab_mnp)*V89*T89/MGMT)</f>
        <v>0</v>
      </c>
      <c r="AD89" s="133" cm="1">
        <f t="array" ref="AD89">IF(U89="",0,_xlfn.XLOOKUP(E89&amp;U89&amp;F89,tab_act&amp;tab_mod&amp;tab_act1,tab_Psup)*V89*T89/MGMT)</f>
        <v>0</v>
      </c>
      <c r="AE89" s="133" cm="1">
        <f t="array" ref="AE89">IF(U89="",0,_xlfn.XLOOKUP(E89&amp;U89&amp;F89,tab_act&amp;tab_mod&amp;tab_act1,tab_csb1)*V89*T89/MGMT)</f>
        <v>0</v>
      </c>
      <c r="AF89" s="133" cm="1">
        <f t="array" ref="AF89">IF(U89="",0,_xlfn.XLOOKUP(E89&amp;U89&amp;F89,tab_act&amp;tab_mod&amp;tab_act1,tab_csb2)*V89*T89/MGMT)</f>
        <v>0</v>
      </c>
      <c r="AG89" s="133" cm="1">
        <f t="array" ref="AG89">IF(U89="",0,_xlfn.XLOOKUP(E89&amp;U89&amp;F89,tab_act&amp;tab_mod&amp;tab_act1,tab_pdoz)*V89*T89/MGMT)</f>
        <v>0.14354999999999998</v>
      </c>
      <c r="AH89" s="133" cm="1">
        <f t="array" ref="AH89">IFERROR(IF(U89="",0,_xlfn.XLOOKUP(E89&amp;U89&amp;F89,tab_act&amp;tab_mod&amp;tab_act1,tab_lns)*V89*T89/MGMT),"")</f>
        <v>0</v>
      </c>
      <c r="AI89" s="47">
        <f t="shared" si="11"/>
        <v>0.14354999999999998</v>
      </c>
      <c r="AJ89" s="48">
        <f t="shared" si="12"/>
        <v>0</v>
      </c>
      <c r="AK89" s="49" cm="1">
        <f t="array" ref="AK89">IF(U89="",0,_xlfn.XLOOKUP(E89&amp;U89&amp;F89,tab_act&amp;tab_mod&amp;tab_act1,tab_cash)*V89*T89)</f>
        <v>0</v>
      </c>
      <c r="AN89" s="140" t="str">
        <f t="shared" si="13"/>
        <v>A</v>
      </c>
    </row>
    <row r="90" spans="1:40" x14ac:dyDescent="0.35">
      <c r="B90" s="50" t="s">
        <v>129</v>
      </c>
      <c r="C90" s="44">
        <v>2023</v>
      </c>
      <c r="D90" s="44" t="s">
        <v>100</v>
      </c>
      <c r="E90" s="15" t="s">
        <v>39</v>
      </c>
      <c r="F90" s="108" t="s">
        <v>22</v>
      </c>
      <c r="G90" s="15" t="s">
        <v>159</v>
      </c>
      <c r="H90" s="44"/>
      <c r="I90" s="15" t="s">
        <v>94</v>
      </c>
      <c r="J90" s="15" t="s">
        <v>94</v>
      </c>
      <c r="K90" s="15" t="s">
        <v>160</v>
      </c>
      <c r="L90" s="15" t="s">
        <v>95</v>
      </c>
      <c r="M90" s="15" t="s">
        <v>94</v>
      </c>
      <c r="N90" s="15" t="s">
        <v>67</v>
      </c>
      <c r="O90" s="15" t="s">
        <v>161</v>
      </c>
      <c r="P90" s="43" t="s">
        <v>168</v>
      </c>
      <c r="Q90" s="42">
        <v>23.1</v>
      </c>
      <c r="R90" s="42">
        <v>25.3</v>
      </c>
      <c r="S90" s="42">
        <f t="shared" si="9"/>
        <v>48.400000000000006</v>
      </c>
      <c r="T90" s="43">
        <f t="shared" si="10"/>
        <v>48.400000000000006</v>
      </c>
      <c r="U90" s="15" t="s">
        <v>41</v>
      </c>
      <c r="V90" s="150">
        <v>30</v>
      </c>
      <c r="W90" s="133" cm="1">
        <f t="array" ref="W90">IF(U90="",0,_xlfn.XLOOKUP(E90&amp;U90&amp;F90,tab_act&amp;tab_mod&amp;tab_act1,tab_riz)*V90*T90/MGMT)</f>
        <v>0</v>
      </c>
      <c r="X90" s="43" cm="1">
        <f t="array" ref="X90">IF(U90="",0,_xlfn.XLOOKUP(E90&amp;U90&amp;F90,tab_act&amp;tab_mod&amp;tab_act1,tab_mc)*V90*T90/MGMT)</f>
        <v>0</v>
      </c>
      <c r="Y90" s="43" cm="1">
        <f t="array" ref="Y90">IF(U90="",0,_xlfn.XLOOKUP(E90&amp;U90&amp;F90,tab_act&amp;tab_mod&amp;tab_act1,tab_sor)*V90*T90/MGMT)</f>
        <v>0</v>
      </c>
      <c r="Z90" s="43" cm="1">
        <f t="array" ref="Z90">IF(U90="",0,_xlfn.XLOOKUP(E90&amp;U90&amp;F90,tab_act&amp;tab_mod&amp;tab_act1,tab_mg)*V90*T90/MGMT)</f>
        <v>0</v>
      </c>
      <c r="AA90" s="133" cm="1">
        <f t="array" ref="AA90">IF(U90="",0,IF(U90="hybrid-Sch",_xlfn.XLOOKUP(E90&amp;U90&amp;F90,tab_act&amp;tab_mod&amp;tab_act1,tab_ls)*SchLS*T90/MGMT,_xlfn.XLOOKUP(E90&amp;U90&amp;F90,tab_act&amp;tab_mod&amp;tab_act1,tab_ls)*V90*T90/MGMT))</f>
        <v>0</v>
      </c>
      <c r="AB90" s="133" cm="1">
        <f t="array" ref="AB90">IF(U90="",0,_xlfn.XLOOKUP(E90&amp;U90&amp;F90,tab_act&amp;tab_mod&amp;tab_act1,tab_hu)*V90*T90/MGMT)</f>
        <v>0</v>
      </c>
      <c r="AC90" s="133" cm="1">
        <f t="array" ref="AC90">IF(U90="",0,_xlfn.XLOOKUP(E90&amp;U90&amp;F90,tab_act&amp;tab_mod&amp;tab_act1,tab_mnp)*V90*T90/MGMT)</f>
        <v>0</v>
      </c>
      <c r="AD90" s="133" cm="1">
        <f t="array" ref="AD90">IF(U90="",0,_xlfn.XLOOKUP(E90&amp;U90&amp;F90,tab_act&amp;tab_mod&amp;tab_act1,tab_Psup)*V90*T90/MGMT)</f>
        <v>0</v>
      </c>
      <c r="AE90" s="133" cm="1">
        <f t="array" ref="AE90">IF(U90="",0,_xlfn.XLOOKUP(E90&amp;U90&amp;F90,tab_act&amp;tab_mod&amp;tab_act1,tab_csb1)*V90*T90/MGMT)</f>
        <v>0</v>
      </c>
      <c r="AF90" s="133" cm="1">
        <f t="array" ref="AF90">IF(U90="",0,_xlfn.XLOOKUP(E90&amp;U90&amp;F90,tab_act&amp;tab_mod&amp;tab_act1,tab_csb2)*V90*T90/MGMT)</f>
        <v>0</v>
      </c>
      <c r="AG90" s="133" cm="1">
        <f t="array" ref="AG90">IF(U90="",0,_xlfn.XLOOKUP(E90&amp;U90&amp;F90,tab_act&amp;tab_mod&amp;tab_act1,tab_pdoz)*V90*T90/MGMT)</f>
        <v>7.2600000000000012E-2</v>
      </c>
      <c r="AH90" s="133" cm="1">
        <f t="array" ref="AH90">IFERROR(IF(U90="",0,_xlfn.XLOOKUP(E90&amp;U90&amp;F90,tab_act&amp;tab_mod&amp;tab_act1,tab_lns)*V90*T90/MGMT),"")</f>
        <v>0</v>
      </c>
      <c r="AI90" s="47">
        <f t="shared" si="11"/>
        <v>7.2600000000000012E-2</v>
      </c>
      <c r="AJ90" s="48">
        <f t="shared" si="12"/>
        <v>0</v>
      </c>
      <c r="AK90" s="49" cm="1">
        <f t="array" ref="AK90">IF(U90="",0,_xlfn.XLOOKUP(E90&amp;U90&amp;F90,tab_act&amp;tab_mod&amp;tab_act1,tab_cash)*V90*T90)</f>
        <v>0</v>
      </c>
      <c r="AN90" s="140" t="str">
        <f t="shared" si="13"/>
        <v>A</v>
      </c>
    </row>
    <row r="91" spans="1:40" x14ac:dyDescent="0.35">
      <c r="B91" s="50" t="s">
        <v>129</v>
      </c>
      <c r="C91" s="44">
        <v>2023</v>
      </c>
      <c r="D91" s="44" t="s">
        <v>100</v>
      </c>
      <c r="E91" s="15" t="s">
        <v>39</v>
      </c>
      <c r="F91" s="108" t="s">
        <v>22</v>
      </c>
      <c r="G91" s="15" t="s">
        <v>159</v>
      </c>
      <c r="H91" s="44"/>
      <c r="I91" s="15" t="s">
        <v>94</v>
      </c>
      <c r="J91" s="15" t="s">
        <v>94</v>
      </c>
      <c r="K91" s="15" t="s">
        <v>160</v>
      </c>
      <c r="L91" s="15" t="s">
        <v>95</v>
      </c>
      <c r="M91" s="15" t="s">
        <v>94</v>
      </c>
      <c r="N91" s="15" t="s">
        <v>67</v>
      </c>
      <c r="O91" s="15" t="s">
        <v>161</v>
      </c>
      <c r="P91" s="43" t="s">
        <v>169</v>
      </c>
      <c r="Q91" s="42">
        <v>146.30000000000001</v>
      </c>
      <c r="R91" s="42">
        <v>113.3</v>
      </c>
      <c r="S91" s="42">
        <f t="shared" si="9"/>
        <v>259.60000000000002</v>
      </c>
      <c r="T91" s="43">
        <f t="shared" si="10"/>
        <v>259.60000000000002</v>
      </c>
      <c r="U91" s="15" t="s">
        <v>41</v>
      </c>
      <c r="V91" s="150">
        <v>30</v>
      </c>
      <c r="W91" s="133" cm="1">
        <f t="array" ref="W91">IF(U91="",0,_xlfn.XLOOKUP(E91&amp;U91&amp;F91,tab_act&amp;tab_mod&amp;tab_act1,tab_riz)*V91*T91/MGMT)</f>
        <v>0</v>
      </c>
      <c r="X91" s="43" cm="1">
        <f t="array" ref="X91">IF(U91="",0,_xlfn.XLOOKUP(E91&amp;U91&amp;F91,tab_act&amp;tab_mod&amp;tab_act1,tab_mc)*V91*T91/MGMT)</f>
        <v>0</v>
      </c>
      <c r="Y91" s="43" cm="1">
        <f t="array" ref="Y91">IF(U91="",0,_xlfn.XLOOKUP(E91&amp;U91&amp;F91,tab_act&amp;tab_mod&amp;tab_act1,tab_sor)*V91*T91/MGMT)</f>
        <v>0</v>
      </c>
      <c r="Z91" s="43" cm="1">
        <f t="array" ref="Z91">IF(U91="",0,_xlfn.XLOOKUP(E91&amp;U91&amp;F91,tab_act&amp;tab_mod&amp;tab_act1,tab_mg)*V91*T91/MGMT)</f>
        <v>0</v>
      </c>
      <c r="AA91" s="133" cm="1">
        <f t="array" ref="AA91">IF(U91="",0,IF(U91="hybrid-Sch",_xlfn.XLOOKUP(E91&amp;U91&amp;F91,tab_act&amp;tab_mod&amp;tab_act1,tab_ls)*SchLS*T91/MGMT,_xlfn.XLOOKUP(E91&amp;U91&amp;F91,tab_act&amp;tab_mod&amp;tab_act1,tab_ls)*V91*T91/MGMT))</f>
        <v>0</v>
      </c>
      <c r="AB91" s="133" cm="1">
        <f t="array" ref="AB91">IF(U91="",0,_xlfn.XLOOKUP(E91&amp;U91&amp;F91,tab_act&amp;tab_mod&amp;tab_act1,tab_hu)*V91*T91/MGMT)</f>
        <v>0</v>
      </c>
      <c r="AC91" s="133" cm="1">
        <f t="array" ref="AC91">IF(U91="",0,_xlfn.XLOOKUP(E91&amp;U91&amp;F91,tab_act&amp;tab_mod&amp;tab_act1,tab_mnp)*V91*T91/MGMT)</f>
        <v>0</v>
      </c>
      <c r="AD91" s="133" cm="1">
        <f t="array" ref="AD91">IF(U91="",0,_xlfn.XLOOKUP(E91&amp;U91&amp;F91,tab_act&amp;tab_mod&amp;tab_act1,tab_Psup)*V91*T91/MGMT)</f>
        <v>0</v>
      </c>
      <c r="AE91" s="133" cm="1">
        <f t="array" ref="AE91">IF(U91="",0,_xlfn.XLOOKUP(E91&amp;U91&amp;F91,tab_act&amp;tab_mod&amp;tab_act1,tab_csb1)*V91*T91/MGMT)</f>
        <v>0</v>
      </c>
      <c r="AF91" s="133" cm="1">
        <f t="array" ref="AF91">IF(U91="",0,_xlfn.XLOOKUP(E91&amp;U91&amp;F91,tab_act&amp;tab_mod&amp;tab_act1,tab_csb2)*V91*T91/MGMT)</f>
        <v>0</v>
      </c>
      <c r="AG91" s="133" cm="1">
        <f t="array" ref="AG91">IF(U91="",0,_xlfn.XLOOKUP(E91&amp;U91&amp;F91,tab_act&amp;tab_mod&amp;tab_act1,tab_pdoz)*V91*T91/MGMT)</f>
        <v>0.38940000000000008</v>
      </c>
      <c r="AH91" s="133" cm="1">
        <f t="array" ref="AH91">IFERROR(IF(U91="",0,_xlfn.XLOOKUP(E91&amp;U91&amp;F91,tab_act&amp;tab_mod&amp;tab_act1,tab_lns)*V91*T91/MGMT),"")</f>
        <v>0</v>
      </c>
      <c r="AI91" s="47">
        <f t="shared" si="11"/>
        <v>0.38940000000000008</v>
      </c>
      <c r="AJ91" s="48">
        <f t="shared" si="12"/>
        <v>0</v>
      </c>
      <c r="AK91" s="49" cm="1">
        <f t="array" ref="AK91">IF(U91="",0,_xlfn.XLOOKUP(E91&amp;U91&amp;F91,tab_act&amp;tab_mod&amp;tab_act1,tab_cash)*V91*T91)</f>
        <v>0</v>
      </c>
      <c r="AN91" s="140" t="str">
        <f t="shared" si="13"/>
        <v>A</v>
      </c>
    </row>
    <row r="92" spans="1:40" x14ac:dyDescent="0.35">
      <c r="B92" s="50" t="s">
        <v>129</v>
      </c>
      <c r="C92" s="44">
        <v>2023</v>
      </c>
      <c r="D92" s="44" t="s">
        <v>100</v>
      </c>
      <c r="E92" s="15" t="s">
        <v>39</v>
      </c>
      <c r="F92" s="108" t="s">
        <v>22</v>
      </c>
      <c r="G92" s="15" t="s">
        <v>159</v>
      </c>
      <c r="H92" s="44"/>
      <c r="I92" s="15" t="s">
        <v>94</v>
      </c>
      <c r="J92" s="15" t="s">
        <v>94</v>
      </c>
      <c r="K92" s="15" t="s">
        <v>160</v>
      </c>
      <c r="L92" s="15" t="s">
        <v>95</v>
      </c>
      <c r="M92" s="15" t="s">
        <v>94</v>
      </c>
      <c r="N92" s="15" t="s">
        <v>67</v>
      </c>
      <c r="O92" s="15" t="s">
        <v>161</v>
      </c>
      <c r="P92" s="43" t="s">
        <v>170</v>
      </c>
      <c r="Q92" s="42">
        <v>129.80000000000001</v>
      </c>
      <c r="R92" s="42">
        <v>86.9</v>
      </c>
      <c r="S92" s="42">
        <f t="shared" si="9"/>
        <v>216.70000000000002</v>
      </c>
      <c r="T92" s="43">
        <f t="shared" si="10"/>
        <v>216.70000000000002</v>
      </c>
      <c r="U92" s="15" t="s">
        <v>41</v>
      </c>
      <c r="V92" s="150">
        <v>30</v>
      </c>
      <c r="W92" s="133" cm="1">
        <f t="array" ref="W92">IF(U92="",0,_xlfn.XLOOKUP(E92&amp;U92&amp;F92,tab_act&amp;tab_mod&amp;tab_act1,tab_riz)*V92*T92/MGMT)</f>
        <v>0</v>
      </c>
      <c r="X92" s="43" cm="1">
        <f t="array" ref="X92">IF(U92="",0,_xlfn.XLOOKUP(E92&amp;U92&amp;F92,tab_act&amp;tab_mod&amp;tab_act1,tab_mc)*V92*T92/MGMT)</f>
        <v>0</v>
      </c>
      <c r="Y92" s="43" cm="1">
        <f t="array" ref="Y92">IF(U92="",0,_xlfn.XLOOKUP(E92&amp;U92&amp;F92,tab_act&amp;tab_mod&amp;tab_act1,tab_sor)*V92*T92/MGMT)</f>
        <v>0</v>
      </c>
      <c r="Z92" s="43" cm="1">
        <f t="array" ref="Z92">IF(U92="",0,_xlfn.XLOOKUP(E92&amp;U92&amp;F92,tab_act&amp;tab_mod&amp;tab_act1,tab_mg)*V92*T92/MGMT)</f>
        <v>0</v>
      </c>
      <c r="AA92" s="133" cm="1">
        <f t="array" ref="AA92">IF(U92="",0,IF(U92="hybrid-Sch",_xlfn.XLOOKUP(E92&amp;U92&amp;F92,tab_act&amp;tab_mod&amp;tab_act1,tab_ls)*SchLS*T92/MGMT,_xlfn.XLOOKUP(E92&amp;U92&amp;F92,tab_act&amp;tab_mod&amp;tab_act1,tab_ls)*V92*T92/MGMT))</f>
        <v>0</v>
      </c>
      <c r="AB92" s="133" cm="1">
        <f t="array" ref="AB92">IF(U92="",0,_xlfn.XLOOKUP(E92&amp;U92&amp;F92,tab_act&amp;tab_mod&amp;tab_act1,tab_hu)*V92*T92/MGMT)</f>
        <v>0</v>
      </c>
      <c r="AC92" s="133" cm="1">
        <f t="array" ref="AC92">IF(U92="",0,_xlfn.XLOOKUP(E92&amp;U92&amp;F92,tab_act&amp;tab_mod&amp;tab_act1,tab_mnp)*V92*T92/MGMT)</f>
        <v>0</v>
      </c>
      <c r="AD92" s="133" cm="1">
        <f t="array" ref="AD92">IF(U92="",0,_xlfn.XLOOKUP(E92&amp;U92&amp;F92,tab_act&amp;tab_mod&amp;tab_act1,tab_Psup)*V92*T92/MGMT)</f>
        <v>0</v>
      </c>
      <c r="AE92" s="133" cm="1">
        <f t="array" ref="AE92">IF(U92="",0,_xlfn.XLOOKUP(E92&amp;U92&amp;F92,tab_act&amp;tab_mod&amp;tab_act1,tab_csb1)*V92*T92/MGMT)</f>
        <v>0</v>
      </c>
      <c r="AF92" s="133" cm="1">
        <f t="array" ref="AF92">IF(U92="",0,_xlfn.XLOOKUP(E92&amp;U92&amp;F92,tab_act&amp;tab_mod&amp;tab_act1,tab_csb2)*V92*T92/MGMT)</f>
        <v>0</v>
      </c>
      <c r="AG92" s="133" cm="1">
        <f t="array" ref="AG92">IF(U92="",0,_xlfn.XLOOKUP(E92&amp;U92&amp;F92,tab_act&amp;tab_mod&amp;tab_act1,tab_pdoz)*V92*T92/MGMT)</f>
        <v>0.32505000000000001</v>
      </c>
      <c r="AH92" s="133" cm="1">
        <f t="array" ref="AH92">IFERROR(IF(U92="",0,_xlfn.XLOOKUP(E92&amp;U92&amp;F92,tab_act&amp;tab_mod&amp;tab_act1,tab_lns)*V92*T92/MGMT),"")</f>
        <v>0</v>
      </c>
      <c r="AI92" s="47">
        <f t="shared" si="11"/>
        <v>0.32505000000000001</v>
      </c>
      <c r="AJ92" s="48">
        <f t="shared" si="12"/>
        <v>0</v>
      </c>
      <c r="AK92" s="49" cm="1">
        <f t="array" ref="AK92">IF(U92="",0,_xlfn.XLOOKUP(E92&amp;U92&amp;F92,tab_act&amp;tab_mod&amp;tab_act1,tab_cash)*V92*T92)</f>
        <v>0</v>
      </c>
      <c r="AN92" s="140" t="str">
        <f t="shared" si="13"/>
        <v>A</v>
      </c>
    </row>
    <row r="93" spans="1:40" x14ac:dyDescent="0.35">
      <c r="B93" s="50" t="s">
        <v>129</v>
      </c>
      <c r="C93" s="44">
        <v>2023</v>
      </c>
      <c r="D93" s="44" t="s">
        <v>100</v>
      </c>
      <c r="E93" s="15" t="s">
        <v>39</v>
      </c>
      <c r="F93" s="108" t="s">
        <v>22</v>
      </c>
      <c r="G93" s="15" t="s">
        <v>159</v>
      </c>
      <c r="H93" s="44"/>
      <c r="I93" s="15" t="s">
        <v>94</v>
      </c>
      <c r="J93" s="15" t="s">
        <v>94</v>
      </c>
      <c r="K93" s="15" t="s">
        <v>160</v>
      </c>
      <c r="L93" s="15" t="s">
        <v>95</v>
      </c>
      <c r="M93" s="15" t="s">
        <v>94</v>
      </c>
      <c r="N93" s="15" t="s">
        <v>67</v>
      </c>
      <c r="O93" s="15" t="s">
        <v>161</v>
      </c>
      <c r="P93" s="43" t="s">
        <v>171</v>
      </c>
      <c r="Q93" s="42">
        <v>35.200000000000003</v>
      </c>
      <c r="R93" s="42">
        <v>29.7</v>
      </c>
      <c r="S93" s="42">
        <f t="shared" si="9"/>
        <v>64.900000000000006</v>
      </c>
      <c r="T93" s="43">
        <f t="shared" si="10"/>
        <v>64.900000000000006</v>
      </c>
      <c r="U93" s="15" t="s">
        <v>41</v>
      </c>
      <c r="V93" s="150">
        <v>30</v>
      </c>
      <c r="W93" s="133" cm="1">
        <f t="array" ref="W93">IF(U93="",0,_xlfn.XLOOKUP(E93&amp;U93&amp;F93,tab_act&amp;tab_mod&amp;tab_act1,tab_riz)*V93*T93/MGMT)</f>
        <v>0</v>
      </c>
      <c r="X93" s="43" cm="1">
        <f t="array" ref="X93">IF(U93="",0,_xlfn.XLOOKUP(E93&amp;U93&amp;F93,tab_act&amp;tab_mod&amp;tab_act1,tab_mc)*V93*T93/MGMT)</f>
        <v>0</v>
      </c>
      <c r="Y93" s="43" cm="1">
        <f t="array" ref="Y93">IF(U93="",0,_xlfn.XLOOKUP(E93&amp;U93&amp;F93,tab_act&amp;tab_mod&amp;tab_act1,tab_sor)*V93*T93/MGMT)</f>
        <v>0</v>
      </c>
      <c r="Z93" s="43" cm="1">
        <f t="array" ref="Z93">IF(U93="",0,_xlfn.XLOOKUP(E93&amp;U93&amp;F93,tab_act&amp;tab_mod&amp;tab_act1,tab_mg)*V93*T93/MGMT)</f>
        <v>0</v>
      </c>
      <c r="AA93" s="133" cm="1">
        <f t="array" ref="AA93">IF(U93="",0,IF(U93="hybrid-Sch",_xlfn.XLOOKUP(E93&amp;U93&amp;F93,tab_act&amp;tab_mod&amp;tab_act1,tab_ls)*SchLS*T93/MGMT,_xlfn.XLOOKUP(E93&amp;U93&amp;F93,tab_act&amp;tab_mod&amp;tab_act1,tab_ls)*V93*T93/MGMT))</f>
        <v>0</v>
      </c>
      <c r="AB93" s="133" cm="1">
        <f t="array" ref="AB93">IF(U93="",0,_xlfn.XLOOKUP(E93&amp;U93&amp;F93,tab_act&amp;tab_mod&amp;tab_act1,tab_hu)*V93*T93/MGMT)</f>
        <v>0</v>
      </c>
      <c r="AC93" s="133" cm="1">
        <f t="array" ref="AC93">IF(U93="",0,_xlfn.XLOOKUP(E93&amp;U93&amp;F93,tab_act&amp;tab_mod&amp;tab_act1,tab_mnp)*V93*T93/MGMT)</f>
        <v>0</v>
      </c>
      <c r="AD93" s="133" cm="1">
        <f t="array" ref="AD93">IF(U93="",0,_xlfn.XLOOKUP(E93&amp;U93&amp;F93,tab_act&amp;tab_mod&amp;tab_act1,tab_Psup)*V93*T93/MGMT)</f>
        <v>0</v>
      </c>
      <c r="AE93" s="133" cm="1">
        <f t="array" ref="AE93">IF(U93="",0,_xlfn.XLOOKUP(E93&amp;U93&amp;F93,tab_act&amp;tab_mod&amp;tab_act1,tab_csb1)*V93*T93/MGMT)</f>
        <v>0</v>
      </c>
      <c r="AF93" s="133" cm="1">
        <f t="array" ref="AF93">IF(U93="",0,_xlfn.XLOOKUP(E93&amp;U93&amp;F93,tab_act&amp;tab_mod&amp;tab_act1,tab_csb2)*V93*T93/MGMT)</f>
        <v>0</v>
      </c>
      <c r="AG93" s="133" cm="1">
        <f t="array" ref="AG93">IF(U93="",0,_xlfn.XLOOKUP(E93&amp;U93&amp;F93,tab_act&amp;tab_mod&amp;tab_act1,tab_pdoz)*V93*T93/MGMT)</f>
        <v>9.735000000000002E-2</v>
      </c>
      <c r="AH93" s="133" cm="1">
        <f t="array" ref="AH93">IFERROR(IF(U93="",0,_xlfn.XLOOKUP(E93&amp;U93&amp;F93,tab_act&amp;tab_mod&amp;tab_act1,tab_lns)*V93*T93/MGMT),"")</f>
        <v>0</v>
      </c>
      <c r="AI93" s="47">
        <f t="shared" si="11"/>
        <v>9.735000000000002E-2</v>
      </c>
      <c r="AJ93" s="48">
        <f t="shared" si="12"/>
        <v>0</v>
      </c>
      <c r="AK93" s="49" cm="1">
        <f t="array" ref="AK93">IF(U93="",0,_xlfn.XLOOKUP(E93&amp;U93&amp;F93,tab_act&amp;tab_mod&amp;tab_act1,tab_cash)*V93*T93)</f>
        <v>0</v>
      </c>
      <c r="AN93" s="140" t="str">
        <f t="shared" si="13"/>
        <v>A</v>
      </c>
    </row>
    <row r="94" spans="1:40" x14ac:dyDescent="0.35">
      <c r="B94" s="50" t="s">
        <v>129</v>
      </c>
      <c r="C94" s="44">
        <v>2023</v>
      </c>
      <c r="D94" s="44" t="s">
        <v>100</v>
      </c>
      <c r="E94" s="15" t="s">
        <v>39</v>
      </c>
      <c r="F94" s="108" t="s">
        <v>22</v>
      </c>
      <c r="G94" s="15" t="s">
        <v>159</v>
      </c>
      <c r="H94" s="44"/>
      <c r="I94" s="15" t="s">
        <v>94</v>
      </c>
      <c r="J94" s="15" t="s">
        <v>94</v>
      </c>
      <c r="K94" s="15" t="s">
        <v>160</v>
      </c>
      <c r="L94" s="15" t="s">
        <v>95</v>
      </c>
      <c r="M94" s="15" t="s">
        <v>94</v>
      </c>
      <c r="N94" s="15" t="s">
        <v>67</v>
      </c>
      <c r="O94" s="15" t="s">
        <v>161</v>
      </c>
      <c r="P94" s="43" t="s">
        <v>172</v>
      </c>
      <c r="Q94" s="42">
        <v>62.7</v>
      </c>
      <c r="R94" s="42">
        <v>62.7</v>
      </c>
      <c r="S94" s="42">
        <f t="shared" si="9"/>
        <v>125.4</v>
      </c>
      <c r="T94" s="43">
        <f t="shared" si="10"/>
        <v>125.4</v>
      </c>
      <c r="U94" s="15" t="s">
        <v>41</v>
      </c>
      <c r="V94" s="150">
        <v>30</v>
      </c>
      <c r="W94" s="133" cm="1">
        <f t="array" ref="W94">IF(U94="",0,_xlfn.XLOOKUP(E94&amp;U94&amp;F94,tab_act&amp;tab_mod&amp;tab_act1,tab_riz)*V94*T94/MGMT)</f>
        <v>0</v>
      </c>
      <c r="X94" s="43" cm="1">
        <f t="array" ref="X94">IF(U94="",0,_xlfn.XLOOKUP(E94&amp;U94&amp;F94,tab_act&amp;tab_mod&amp;tab_act1,tab_mc)*V94*T94/MGMT)</f>
        <v>0</v>
      </c>
      <c r="Y94" s="43" cm="1">
        <f t="array" ref="Y94">IF(U94="",0,_xlfn.XLOOKUP(E94&amp;U94&amp;F94,tab_act&amp;tab_mod&amp;tab_act1,tab_sor)*V94*T94/MGMT)</f>
        <v>0</v>
      </c>
      <c r="Z94" s="43" cm="1">
        <f t="array" ref="Z94">IF(U94="",0,_xlfn.XLOOKUP(E94&amp;U94&amp;F94,tab_act&amp;tab_mod&amp;tab_act1,tab_mg)*V94*T94/MGMT)</f>
        <v>0</v>
      </c>
      <c r="AA94" s="133" cm="1">
        <f t="array" ref="AA94">IF(U94="",0,IF(U94="hybrid-Sch",_xlfn.XLOOKUP(E94&amp;U94&amp;F94,tab_act&amp;tab_mod&amp;tab_act1,tab_ls)*SchLS*T94/MGMT,_xlfn.XLOOKUP(E94&amp;U94&amp;F94,tab_act&amp;tab_mod&amp;tab_act1,tab_ls)*V94*T94/MGMT))</f>
        <v>0</v>
      </c>
      <c r="AB94" s="133" cm="1">
        <f t="array" ref="AB94">IF(U94="",0,_xlfn.XLOOKUP(E94&amp;U94&amp;F94,tab_act&amp;tab_mod&amp;tab_act1,tab_hu)*V94*T94/MGMT)</f>
        <v>0</v>
      </c>
      <c r="AC94" s="133" cm="1">
        <f t="array" ref="AC94">IF(U94="",0,_xlfn.XLOOKUP(E94&amp;U94&amp;F94,tab_act&amp;tab_mod&amp;tab_act1,tab_mnp)*V94*T94/MGMT)</f>
        <v>0</v>
      </c>
      <c r="AD94" s="133" cm="1">
        <f t="array" ref="AD94">IF(U94="",0,_xlfn.XLOOKUP(E94&amp;U94&amp;F94,tab_act&amp;tab_mod&amp;tab_act1,tab_Psup)*V94*T94/MGMT)</f>
        <v>0</v>
      </c>
      <c r="AE94" s="133" cm="1">
        <f t="array" ref="AE94">IF(U94="",0,_xlfn.XLOOKUP(E94&amp;U94&amp;F94,tab_act&amp;tab_mod&amp;tab_act1,tab_csb1)*V94*T94/MGMT)</f>
        <v>0</v>
      </c>
      <c r="AF94" s="133" cm="1">
        <f t="array" ref="AF94">IF(U94="",0,_xlfn.XLOOKUP(E94&amp;U94&amp;F94,tab_act&amp;tab_mod&amp;tab_act1,tab_csb2)*V94*T94/MGMT)</f>
        <v>0</v>
      </c>
      <c r="AG94" s="133" cm="1">
        <f t="array" ref="AG94">IF(U94="",0,_xlfn.XLOOKUP(E94&amp;U94&amp;F94,tab_act&amp;tab_mod&amp;tab_act1,tab_pdoz)*V94*T94/MGMT)</f>
        <v>0.18809999999999999</v>
      </c>
      <c r="AH94" s="133" cm="1">
        <f t="array" ref="AH94">IFERROR(IF(U94="",0,_xlfn.XLOOKUP(E94&amp;U94&amp;F94,tab_act&amp;tab_mod&amp;tab_act1,tab_lns)*V94*T94/MGMT),"")</f>
        <v>0</v>
      </c>
      <c r="AI94" s="47">
        <f t="shared" si="11"/>
        <v>0.18809999999999999</v>
      </c>
      <c r="AJ94" s="48">
        <f t="shared" si="12"/>
        <v>0</v>
      </c>
      <c r="AK94" s="49" cm="1">
        <f t="array" ref="AK94">IF(U94="",0,_xlfn.XLOOKUP(E94&amp;U94&amp;F94,tab_act&amp;tab_mod&amp;tab_act1,tab_cash)*V94*T94)</f>
        <v>0</v>
      </c>
      <c r="AN94" s="140" t="str">
        <f t="shared" si="13"/>
        <v>A</v>
      </c>
    </row>
    <row r="95" spans="1:40" x14ac:dyDescent="0.35">
      <c r="B95" s="50" t="s">
        <v>129</v>
      </c>
      <c r="C95" s="44">
        <v>2023</v>
      </c>
      <c r="D95" s="44" t="s">
        <v>100</v>
      </c>
      <c r="E95" s="15" t="s">
        <v>39</v>
      </c>
      <c r="F95" s="108" t="s">
        <v>22</v>
      </c>
      <c r="G95" s="15" t="s">
        <v>159</v>
      </c>
      <c r="H95" s="44"/>
      <c r="I95" s="15" t="s">
        <v>94</v>
      </c>
      <c r="J95" s="15" t="s">
        <v>94</v>
      </c>
      <c r="K95" s="15" t="s">
        <v>160</v>
      </c>
      <c r="L95" s="15" t="s">
        <v>95</v>
      </c>
      <c r="M95" s="15" t="s">
        <v>94</v>
      </c>
      <c r="N95" s="15" t="s">
        <v>67</v>
      </c>
      <c r="O95" s="15" t="s">
        <v>161</v>
      </c>
      <c r="P95" s="43" t="s">
        <v>173</v>
      </c>
      <c r="Q95" s="42">
        <v>55</v>
      </c>
      <c r="R95" s="42">
        <v>53.9</v>
      </c>
      <c r="S95" s="42">
        <f t="shared" si="9"/>
        <v>108.9</v>
      </c>
      <c r="T95" s="43">
        <f t="shared" si="10"/>
        <v>108.9</v>
      </c>
      <c r="U95" s="15" t="s">
        <v>41</v>
      </c>
      <c r="V95" s="150">
        <v>30</v>
      </c>
      <c r="W95" s="133" cm="1">
        <f t="array" ref="W95">IF(U95="",0,_xlfn.XLOOKUP(E95&amp;U95&amp;F95,tab_act&amp;tab_mod&amp;tab_act1,tab_riz)*V95*T95/MGMT)</f>
        <v>0</v>
      </c>
      <c r="X95" s="43" cm="1">
        <f t="array" ref="X95">IF(U95="",0,_xlfn.XLOOKUP(E95&amp;U95&amp;F95,tab_act&amp;tab_mod&amp;tab_act1,tab_mc)*V95*T95/MGMT)</f>
        <v>0</v>
      </c>
      <c r="Y95" s="43" cm="1">
        <f t="array" ref="Y95">IF(U95="",0,_xlfn.XLOOKUP(E95&amp;U95&amp;F95,tab_act&amp;tab_mod&amp;tab_act1,tab_sor)*V95*T95/MGMT)</f>
        <v>0</v>
      </c>
      <c r="Z95" s="43" cm="1">
        <f t="array" ref="Z95">IF(U95="",0,_xlfn.XLOOKUP(E95&amp;U95&amp;F95,tab_act&amp;tab_mod&amp;tab_act1,tab_mg)*V95*T95/MGMT)</f>
        <v>0</v>
      </c>
      <c r="AA95" s="133" cm="1">
        <f t="array" ref="AA95">IF(U95="",0,IF(U95="hybrid-Sch",_xlfn.XLOOKUP(E95&amp;U95&amp;F95,tab_act&amp;tab_mod&amp;tab_act1,tab_ls)*SchLS*T95/MGMT,_xlfn.XLOOKUP(E95&amp;U95&amp;F95,tab_act&amp;tab_mod&amp;tab_act1,tab_ls)*V95*T95/MGMT))</f>
        <v>0</v>
      </c>
      <c r="AB95" s="133" cm="1">
        <f t="array" ref="AB95">IF(U95="",0,_xlfn.XLOOKUP(E95&amp;U95&amp;F95,tab_act&amp;tab_mod&amp;tab_act1,tab_hu)*V95*T95/MGMT)</f>
        <v>0</v>
      </c>
      <c r="AC95" s="133" cm="1">
        <f t="array" ref="AC95">IF(U95="",0,_xlfn.XLOOKUP(E95&amp;U95&amp;F95,tab_act&amp;tab_mod&amp;tab_act1,tab_mnp)*V95*T95/MGMT)</f>
        <v>0</v>
      </c>
      <c r="AD95" s="133" cm="1">
        <f t="array" ref="AD95">IF(U95="",0,_xlfn.XLOOKUP(E95&amp;U95&amp;F95,tab_act&amp;tab_mod&amp;tab_act1,tab_Psup)*V95*T95/MGMT)</f>
        <v>0</v>
      </c>
      <c r="AE95" s="133" cm="1">
        <f t="array" ref="AE95">IF(U95="",0,_xlfn.XLOOKUP(E95&amp;U95&amp;F95,tab_act&amp;tab_mod&amp;tab_act1,tab_csb1)*V95*T95/MGMT)</f>
        <v>0</v>
      </c>
      <c r="AF95" s="133" cm="1">
        <f t="array" ref="AF95">IF(U95="",0,_xlfn.XLOOKUP(E95&amp;U95&amp;F95,tab_act&amp;tab_mod&amp;tab_act1,tab_csb2)*V95*T95/MGMT)</f>
        <v>0</v>
      </c>
      <c r="AG95" s="133" cm="1">
        <f t="array" ref="AG95">IF(U95="",0,_xlfn.XLOOKUP(E95&amp;U95&amp;F95,tab_act&amp;tab_mod&amp;tab_act1,tab_pdoz)*V95*T95/MGMT)</f>
        <v>0.16335</v>
      </c>
      <c r="AH95" s="133" cm="1">
        <f t="array" ref="AH95">IFERROR(IF(U95="",0,_xlfn.XLOOKUP(E95&amp;U95&amp;F95,tab_act&amp;tab_mod&amp;tab_act1,tab_lns)*V95*T95/MGMT),"")</f>
        <v>0</v>
      </c>
      <c r="AI95" s="47">
        <f t="shared" si="11"/>
        <v>0.16335</v>
      </c>
      <c r="AJ95" s="48">
        <f t="shared" si="12"/>
        <v>0</v>
      </c>
      <c r="AK95" s="49" cm="1">
        <f t="array" ref="AK95">IF(U95="",0,_xlfn.XLOOKUP(E95&amp;U95&amp;F95,tab_act&amp;tab_mod&amp;tab_act1,tab_cash)*V95*T95)</f>
        <v>0</v>
      </c>
      <c r="AN95" s="140" t="str">
        <f t="shared" si="13"/>
        <v>A</v>
      </c>
    </row>
    <row r="96" spans="1:40" x14ac:dyDescent="0.35">
      <c r="B96" s="50" t="s">
        <v>129</v>
      </c>
      <c r="C96" s="44">
        <v>2023</v>
      </c>
      <c r="D96" s="44" t="s">
        <v>100</v>
      </c>
      <c r="E96" s="15" t="s">
        <v>39</v>
      </c>
      <c r="F96" s="108" t="s">
        <v>22</v>
      </c>
      <c r="G96" s="15" t="s">
        <v>159</v>
      </c>
      <c r="H96" s="44"/>
      <c r="I96" s="15" t="s">
        <v>94</v>
      </c>
      <c r="J96" s="15" t="s">
        <v>94</v>
      </c>
      <c r="K96" s="15" t="s">
        <v>160</v>
      </c>
      <c r="L96" s="15" t="s">
        <v>95</v>
      </c>
      <c r="M96" s="15" t="s">
        <v>94</v>
      </c>
      <c r="N96" s="15" t="s">
        <v>67</v>
      </c>
      <c r="O96" s="15" t="s">
        <v>161</v>
      </c>
      <c r="P96" s="43" t="s">
        <v>174</v>
      </c>
      <c r="Q96" s="42">
        <v>72.599999999999994</v>
      </c>
      <c r="R96" s="42">
        <v>80.3</v>
      </c>
      <c r="S96" s="42">
        <f t="shared" si="9"/>
        <v>152.89999999999998</v>
      </c>
      <c r="T96" s="43">
        <f t="shared" si="10"/>
        <v>152.89999999999998</v>
      </c>
      <c r="U96" s="15" t="s">
        <v>41</v>
      </c>
      <c r="V96" s="150">
        <v>30</v>
      </c>
      <c r="W96" s="133" cm="1">
        <f t="array" ref="W96">IF(U96="",0,_xlfn.XLOOKUP(E96&amp;U96&amp;F96,tab_act&amp;tab_mod&amp;tab_act1,tab_riz)*V96*T96/MGMT)</f>
        <v>0</v>
      </c>
      <c r="X96" s="43" cm="1">
        <f t="array" ref="X96">IF(U96="",0,_xlfn.XLOOKUP(E96&amp;U96&amp;F96,tab_act&amp;tab_mod&amp;tab_act1,tab_mc)*V96*T96/MGMT)</f>
        <v>0</v>
      </c>
      <c r="Y96" s="43" cm="1">
        <f t="array" ref="Y96">IF(U96="",0,_xlfn.XLOOKUP(E96&amp;U96&amp;F96,tab_act&amp;tab_mod&amp;tab_act1,tab_sor)*V96*T96/MGMT)</f>
        <v>0</v>
      </c>
      <c r="Z96" s="43" cm="1">
        <f t="array" ref="Z96">IF(U96="",0,_xlfn.XLOOKUP(E96&amp;U96&amp;F96,tab_act&amp;tab_mod&amp;tab_act1,tab_mg)*V96*T96/MGMT)</f>
        <v>0</v>
      </c>
      <c r="AA96" s="133" cm="1">
        <f t="array" ref="AA96">IF(U96="",0,IF(U96="hybrid-Sch",_xlfn.XLOOKUP(E96&amp;U96&amp;F96,tab_act&amp;tab_mod&amp;tab_act1,tab_ls)*SchLS*T96/MGMT,_xlfn.XLOOKUP(E96&amp;U96&amp;F96,tab_act&amp;tab_mod&amp;tab_act1,tab_ls)*V96*T96/MGMT))</f>
        <v>0</v>
      </c>
      <c r="AB96" s="133" cm="1">
        <f t="array" ref="AB96">IF(U96="",0,_xlfn.XLOOKUP(E96&amp;U96&amp;F96,tab_act&amp;tab_mod&amp;tab_act1,tab_hu)*V96*T96/MGMT)</f>
        <v>0</v>
      </c>
      <c r="AC96" s="133" cm="1">
        <f t="array" ref="AC96">IF(U96="",0,_xlfn.XLOOKUP(E96&amp;U96&amp;F96,tab_act&amp;tab_mod&amp;tab_act1,tab_mnp)*V96*T96/MGMT)</f>
        <v>0</v>
      </c>
      <c r="AD96" s="133" cm="1">
        <f t="array" ref="AD96">IF(U96="",0,_xlfn.XLOOKUP(E96&amp;U96&amp;F96,tab_act&amp;tab_mod&amp;tab_act1,tab_Psup)*V96*T96/MGMT)</f>
        <v>0</v>
      </c>
      <c r="AE96" s="133" cm="1">
        <f t="array" ref="AE96">IF(U96="",0,_xlfn.XLOOKUP(E96&amp;U96&amp;F96,tab_act&amp;tab_mod&amp;tab_act1,tab_csb1)*V96*T96/MGMT)</f>
        <v>0</v>
      </c>
      <c r="AF96" s="133" cm="1">
        <f t="array" ref="AF96">IF(U96="",0,_xlfn.XLOOKUP(E96&amp;U96&amp;F96,tab_act&amp;tab_mod&amp;tab_act1,tab_csb2)*V96*T96/MGMT)</f>
        <v>0</v>
      </c>
      <c r="AG96" s="133" cm="1">
        <f t="array" ref="AG96">IF(U96="",0,_xlfn.XLOOKUP(E96&amp;U96&amp;F96,tab_act&amp;tab_mod&amp;tab_act1,tab_pdoz)*V96*T96/MGMT)</f>
        <v>0.22934999999999997</v>
      </c>
      <c r="AH96" s="133" cm="1">
        <f t="array" ref="AH96">IFERROR(IF(U96="",0,_xlfn.XLOOKUP(E96&amp;U96&amp;F96,tab_act&amp;tab_mod&amp;tab_act1,tab_lns)*V96*T96/MGMT),"")</f>
        <v>0</v>
      </c>
      <c r="AI96" s="47">
        <f t="shared" si="11"/>
        <v>0.22934999999999997</v>
      </c>
      <c r="AJ96" s="48">
        <f t="shared" si="12"/>
        <v>0</v>
      </c>
      <c r="AK96" s="49" cm="1">
        <f t="array" ref="AK96">IF(U96="",0,_xlfn.XLOOKUP(E96&amp;U96&amp;F96,tab_act&amp;tab_mod&amp;tab_act1,tab_cash)*V96*T96)</f>
        <v>0</v>
      </c>
      <c r="AN96" s="140" t="str">
        <f t="shared" si="13"/>
        <v>A</v>
      </c>
    </row>
    <row r="97" spans="1:40" s="90" customFormat="1" x14ac:dyDescent="0.35">
      <c r="A97"/>
      <c r="B97" s="50" t="s">
        <v>129</v>
      </c>
      <c r="C97" s="44">
        <v>2023</v>
      </c>
      <c r="D97" s="44" t="s">
        <v>100</v>
      </c>
      <c r="E97" s="15" t="s">
        <v>39</v>
      </c>
      <c r="F97" s="108" t="s">
        <v>22</v>
      </c>
      <c r="G97" s="15" t="s">
        <v>159</v>
      </c>
      <c r="H97" s="44"/>
      <c r="I97" s="15" t="s">
        <v>94</v>
      </c>
      <c r="J97" s="15" t="s">
        <v>94</v>
      </c>
      <c r="K97" s="15" t="s">
        <v>160</v>
      </c>
      <c r="L97" s="15" t="s">
        <v>95</v>
      </c>
      <c r="M97" s="15" t="s">
        <v>94</v>
      </c>
      <c r="N97" s="15" t="s">
        <v>67</v>
      </c>
      <c r="O97" s="15" t="s">
        <v>161</v>
      </c>
      <c r="P97" s="43" t="s">
        <v>175</v>
      </c>
      <c r="Q97" s="42">
        <v>91.3</v>
      </c>
      <c r="R97" s="42">
        <v>85.8</v>
      </c>
      <c r="S97" s="42">
        <f t="shared" si="9"/>
        <v>177.1</v>
      </c>
      <c r="T97" s="43">
        <f t="shared" si="10"/>
        <v>177.1</v>
      </c>
      <c r="U97" s="15" t="s">
        <v>41</v>
      </c>
      <c r="V97" s="150">
        <v>30</v>
      </c>
      <c r="W97" s="133" cm="1">
        <f t="array" ref="W97">IF(U97="",0,_xlfn.XLOOKUP(E97&amp;U97&amp;F97,tab_act&amp;tab_mod&amp;tab_act1,tab_riz)*V97*T97/MGMT)</f>
        <v>0</v>
      </c>
      <c r="X97" s="43" cm="1">
        <f t="array" ref="X97">IF(U97="",0,_xlfn.XLOOKUP(E97&amp;U97&amp;F97,tab_act&amp;tab_mod&amp;tab_act1,tab_mc)*V97*T97/MGMT)</f>
        <v>0</v>
      </c>
      <c r="Y97" s="43" cm="1">
        <f t="array" ref="Y97">IF(U97="",0,_xlfn.XLOOKUP(E97&amp;U97&amp;F97,tab_act&amp;tab_mod&amp;tab_act1,tab_sor)*V97*T97/MGMT)</f>
        <v>0</v>
      </c>
      <c r="Z97" s="43" cm="1">
        <f t="array" ref="Z97">IF(U97="",0,_xlfn.XLOOKUP(E97&amp;U97&amp;F97,tab_act&amp;tab_mod&amp;tab_act1,tab_mg)*V97*T97/MGMT)</f>
        <v>0</v>
      </c>
      <c r="AA97" s="133" cm="1">
        <f t="array" ref="AA97">IF(U97="",0,IF(U97="hybrid-Sch",_xlfn.XLOOKUP(E97&amp;U97&amp;F97,tab_act&amp;tab_mod&amp;tab_act1,tab_ls)*SchLS*T97/MGMT,_xlfn.XLOOKUP(E97&amp;U97&amp;F97,tab_act&amp;tab_mod&amp;tab_act1,tab_ls)*V97*T97/MGMT))</f>
        <v>0</v>
      </c>
      <c r="AB97" s="133" cm="1">
        <f t="array" ref="AB97">IF(U97="",0,_xlfn.XLOOKUP(E97&amp;U97&amp;F97,tab_act&amp;tab_mod&amp;tab_act1,tab_hu)*V97*T97/MGMT)</f>
        <v>0</v>
      </c>
      <c r="AC97" s="133" cm="1">
        <f t="array" ref="AC97">IF(U97="",0,_xlfn.XLOOKUP(E97&amp;U97&amp;F97,tab_act&amp;tab_mod&amp;tab_act1,tab_mnp)*V97*T97/MGMT)</f>
        <v>0</v>
      </c>
      <c r="AD97" s="133" cm="1">
        <f t="array" ref="AD97">IF(U97="",0,_xlfn.XLOOKUP(E97&amp;U97&amp;F97,tab_act&amp;tab_mod&amp;tab_act1,tab_Psup)*V97*T97/MGMT)</f>
        <v>0</v>
      </c>
      <c r="AE97" s="133" cm="1">
        <f t="array" ref="AE97">IF(U97="",0,_xlfn.XLOOKUP(E97&amp;U97&amp;F97,tab_act&amp;tab_mod&amp;tab_act1,tab_csb1)*V97*T97/MGMT)</f>
        <v>0</v>
      </c>
      <c r="AF97" s="133" cm="1">
        <f t="array" ref="AF97">IF(U97="",0,_xlfn.XLOOKUP(E97&amp;U97&amp;F97,tab_act&amp;tab_mod&amp;tab_act1,tab_csb2)*V97*T97/MGMT)</f>
        <v>0</v>
      </c>
      <c r="AG97" s="133" cm="1">
        <f t="array" ref="AG97">IF(U97="",0,_xlfn.XLOOKUP(E97&amp;U97&amp;F97,tab_act&amp;tab_mod&amp;tab_act1,tab_pdoz)*V97*T97/MGMT)</f>
        <v>0.26565</v>
      </c>
      <c r="AH97" s="133" cm="1">
        <f t="array" ref="AH97">IFERROR(IF(U97="",0,_xlfn.XLOOKUP(E97&amp;U97&amp;F97,tab_act&amp;tab_mod&amp;tab_act1,tab_lns)*V97*T97/MGMT),"")</f>
        <v>0</v>
      </c>
      <c r="AI97" s="47">
        <f t="shared" si="11"/>
        <v>0.26565</v>
      </c>
      <c r="AJ97" s="48">
        <f t="shared" si="12"/>
        <v>0</v>
      </c>
      <c r="AK97" s="49" cm="1">
        <f t="array" ref="AK97">IF(U97="",0,_xlfn.XLOOKUP(E97&amp;U97&amp;F97,tab_act&amp;tab_mod&amp;tab_act1,tab_cash)*V97*T97)</f>
        <v>0</v>
      </c>
      <c r="AL97"/>
      <c r="AM97"/>
      <c r="AN97" s="140" t="str">
        <f t="shared" si="13"/>
        <v>A</v>
      </c>
    </row>
    <row r="98" spans="1:40" x14ac:dyDescent="0.35">
      <c r="B98" s="50" t="s">
        <v>129</v>
      </c>
      <c r="C98" s="44">
        <v>2023</v>
      </c>
      <c r="D98" s="44" t="s">
        <v>100</v>
      </c>
      <c r="E98" s="15" t="s">
        <v>39</v>
      </c>
      <c r="F98" s="108" t="s">
        <v>22</v>
      </c>
      <c r="G98" s="15" t="s">
        <v>159</v>
      </c>
      <c r="H98" s="44"/>
      <c r="I98" s="15" t="s">
        <v>94</v>
      </c>
      <c r="J98" s="15" t="s">
        <v>94</v>
      </c>
      <c r="K98" s="15" t="s">
        <v>160</v>
      </c>
      <c r="L98" s="15" t="s">
        <v>95</v>
      </c>
      <c r="M98" s="15" t="s">
        <v>94</v>
      </c>
      <c r="N98" s="15" t="s">
        <v>67</v>
      </c>
      <c r="O98" s="15" t="s">
        <v>161</v>
      </c>
      <c r="P98" s="43" t="s">
        <v>176</v>
      </c>
      <c r="Q98" s="42">
        <v>42.9</v>
      </c>
      <c r="R98" s="42">
        <v>51.7</v>
      </c>
      <c r="S98" s="42">
        <f t="shared" si="9"/>
        <v>94.6</v>
      </c>
      <c r="T98" s="43">
        <f t="shared" si="10"/>
        <v>94.6</v>
      </c>
      <c r="U98" s="15" t="s">
        <v>41</v>
      </c>
      <c r="V98" s="150">
        <v>30</v>
      </c>
      <c r="W98" s="133" cm="1">
        <f t="array" ref="W98">IF(U98="",0,_xlfn.XLOOKUP(E98&amp;U98&amp;F98,tab_act&amp;tab_mod&amp;tab_act1,tab_riz)*V98*T98/MGMT)</f>
        <v>0</v>
      </c>
      <c r="X98" s="43" cm="1">
        <f t="array" ref="X98">IF(U98="",0,_xlfn.XLOOKUP(E98&amp;U98&amp;F98,tab_act&amp;tab_mod&amp;tab_act1,tab_mc)*V98*T98/MGMT)</f>
        <v>0</v>
      </c>
      <c r="Y98" s="43" cm="1">
        <f t="array" ref="Y98">IF(U98="",0,_xlfn.XLOOKUP(E98&amp;U98&amp;F98,tab_act&amp;tab_mod&amp;tab_act1,tab_sor)*V98*T98/MGMT)</f>
        <v>0</v>
      </c>
      <c r="Z98" s="43" cm="1">
        <f t="array" ref="Z98">IF(U98="",0,_xlfn.XLOOKUP(E98&amp;U98&amp;F98,tab_act&amp;tab_mod&amp;tab_act1,tab_mg)*V98*T98/MGMT)</f>
        <v>0</v>
      </c>
      <c r="AA98" s="133" cm="1">
        <f t="array" ref="AA98">IF(U98="",0,IF(U98="hybrid-Sch",_xlfn.XLOOKUP(E98&amp;U98&amp;F98,tab_act&amp;tab_mod&amp;tab_act1,tab_ls)*SchLS*T98/MGMT,_xlfn.XLOOKUP(E98&amp;U98&amp;F98,tab_act&amp;tab_mod&amp;tab_act1,tab_ls)*V98*T98/MGMT))</f>
        <v>0</v>
      </c>
      <c r="AB98" s="133" cm="1">
        <f t="array" ref="AB98">IF(U98="",0,_xlfn.XLOOKUP(E98&amp;U98&amp;F98,tab_act&amp;tab_mod&amp;tab_act1,tab_hu)*V98*T98/MGMT)</f>
        <v>0</v>
      </c>
      <c r="AC98" s="133" cm="1">
        <f t="array" ref="AC98">IF(U98="",0,_xlfn.XLOOKUP(E98&amp;U98&amp;F98,tab_act&amp;tab_mod&amp;tab_act1,tab_mnp)*V98*T98/MGMT)</f>
        <v>0</v>
      </c>
      <c r="AD98" s="133" cm="1">
        <f t="array" ref="AD98">IF(U98="",0,_xlfn.XLOOKUP(E98&amp;U98&amp;F98,tab_act&amp;tab_mod&amp;tab_act1,tab_Psup)*V98*T98/MGMT)</f>
        <v>0</v>
      </c>
      <c r="AE98" s="133" cm="1">
        <f t="array" ref="AE98">IF(U98="",0,_xlfn.XLOOKUP(E98&amp;U98&amp;F98,tab_act&amp;tab_mod&amp;tab_act1,tab_csb1)*V98*T98/MGMT)</f>
        <v>0</v>
      </c>
      <c r="AF98" s="133" cm="1">
        <f t="array" ref="AF98">IF(U98="",0,_xlfn.XLOOKUP(E98&amp;U98&amp;F98,tab_act&amp;tab_mod&amp;tab_act1,tab_csb2)*V98*T98/MGMT)</f>
        <v>0</v>
      </c>
      <c r="AG98" s="133" cm="1">
        <f t="array" ref="AG98">IF(U98="",0,_xlfn.XLOOKUP(E98&amp;U98&amp;F98,tab_act&amp;tab_mod&amp;tab_act1,tab_pdoz)*V98*T98/MGMT)</f>
        <v>0.1419</v>
      </c>
      <c r="AH98" s="133" cm="1">
        <f t="array" ref="AH98">IFERROR(IF(U98="",0,_xlfn.XLOOKUP(E98&amp;U98&amp;F98,tab_act&amp;tab_mod&amp;tab_act1,tab_lns)*V98*T98/MGMT),"")</f>
        <v>0</v>
      </c>
      <c r="AI98" s="47">
        <f t="shared" si="11"/>
        <v>0.1419</v>
      </c>
      <c r="AJ98" s="48">
        <f t="shared" si="12"/>
        <v>0</v>
      </c>
      <c r="AK98" s="49" cm="1">
        <f t="array" ref="AK98">IF(U98="",0,_xlfn.XLOOKUP(E98&amp;U98&amp;F98,tab_act&amp;tab_mod&amp;tab_act1,tab_cash)*V98*T98)</f>
        <v>0</v>
      </c>
      <c r="AN98" s="140" t="str">
        <f t="shared" si="13"/>
        <v>A</v>
      </c>
    </row>
    <row r="99" spans="1:40" x14ac:dyDescent="0.35">
      <c r="B99" s="50" t="s">
        <v>129</v>
      </c>
      <c r="C99" s="44">
        <v>2023</v>
      </c>
      <c r="D99" s="44" t="s">
        <v>100</v>
      </c>
      <c r="E99" s="15" t="s">
        <v>39</v>
      </c>
      <c r="F99" s="108" t="s">
        <v>22</v>
      </c>
      <c r="G99" s="15" t="s">
        <v>159</v>
      </c>
      <c r="H99" s="44"/>
      <c r="I99" s="15" t="s">
        <v>94</v>
      </c>
      <c r="J99" s="15" t="s">
        <v>94</v>
      </c>
      <c r="K99" s="15" t="s">
        <v>160</v>
      </c>
      <c r="L99" s="15" t="s">
        <v>95</v>
      </c>
      <c r="M99" s="15" t="s">
        <v>94</v>
      </c>
      <c r="N99" s="15" t="s">
        <v>67</v>
      </c>
      <c r="O99" s="15" t="s">
        <v>161</v>
      </c>
      <c r="P99" s="43" t="s">
        <v>177</v>
      </c>
      <c r="Q99" s="42">
        <v>72.599999999999994</v>
      </c>
      <c r="R99" s="42">
        <v>88</v>
      </c>
      <c r="S99" s="42">
        <f t="shared" si="9"/>
        <v>160.6</v>
      </c>
      <c r="T99" s="43">
        <f t="shared" si="10"/>
        <v>160.6</v>
      </c>
      <c r="U99" s="15" t="s">
        <v>41</v>
      </c>
      <c r="V99" s="150">
        <v>30</v>
      </c>
      <c r="W99" s="133" cm="1">
        <f t="array" ref="W99">IF(U99="",0,_xlfn.XLOOKUP(E99&amp;U99&amp;F99,tab_act&amp;tab_mod&amp;tab_act1,tab_riz)*V99*T99/MGMT)</f>
        <v>0</v>
      </c>
      <c r="X99" s="43" cm="1">
        <f t="array" ref="X99">IF(U99="",0,_xlfn.XLOOKUP(E99&amp;U99&amp;F99,tab_act&amp;tab_mod&amp;tab_act1,tab_mc)*V99*T99/MGMT)</f>
        <v>0</v>
      </c>
      <c r="Y99" s="43" cm="1">
        <f t="array" ref="Y99">IF(U99="",0,_xlfn.XLOOKUP(E99&amp;U99&amp;F99,tab_act&amp;tab_mod&amp;tab_act1,tab_sor)*V99*T99/MGMT)</f>
        <v>0</v>
      </c>
      <c r="Z99" s="43" cm="1">
        <f t="array" ref="Z99">IF(U99="",0,_xlfn.XLOOKUP(E99&amp;U99&amp;F99,tab_act&amp;tab_mod&amp;tab_act1,tab_mg)*V99*T99/MGMT)</f>
        <v>0</v>
      </c>
      <c r="AA99" s="133" cm="1">
        <f t="array" ref="AA99">IF(U99="",0,IF(U99="hybrid-Sch",_xlfn.XLOOKUP(E99&amp;U99&amp;F99,tab_act&amp;tab_mod&amp;tab_act1,tab_ls)*SchLS*T99/MGMT,_xlfn.XLOOKUP(E99&amp;U99&amp;F99,tab_act&amp;tab_mod&amp;tab_act1,tab_ls)*V99*T99/MGMT))</f>
        <v>0</v>
      </c>
      <c r="AB99" s="133" cm="1">
        <f t="array" ref="AB99">IF(U99="",0,_xlfn.XLOOKUP(E99&amp;U99&amp;F99,tab_act&amp;tab_mod&amp;tab_act1,tab_hu)*V99*T99/MGMT)</f>
        <v>0</v>
      </c>
      <c r="AC99" s="133" cm="1">
        <f t="array" ref="AC99">IF(U99="",0,_xlfn.XLOOKUP(E99&amp;U99&amp;F99,tab_act&amp;tab_mod&amp;tab_act1,tab_mnp)*V99*T99/MGMT)</f>
        <v>0</v>
      </c>
      <c r="AD99" s="133" cm="1">
        <f t="array" ref="AD99">IF(U99="",0,_xlfn.XLOOKUP(E99&amp;U99&amp;F99,tab_act&amp;tab_mod&amp;tab_act1,tab_Psup)*V99*T99/MGMT)</f>
        <v>0</v>
      </c>
      <c r="AE99" s="133" cm="1">
        <f t="array" ref="AE99">IF(U99="",0,_xlfn.XLOOKUP(E99&amp;U99&amp;F99,tab_act&amp;tab_mod&amp;tab_act1,tab_csb1)*V99*T99/MGMT)</f>
        <v>0</v>
      </c>
      <c r="AF99" s="133" cm="1">
        <f t="array" ref="AF99">IF(U99="",0,_xlfn.XLOOKUP(E99&amp;U99&amp;F99,tab_act&amp;tab_mod&amp;tab_act1,tab_csb2)*V99*T99/MGMT)</f>
        <v>0</v>
      </c>
      <c r="AG99" s="133" cm="1">
        <f t="array" ref="AG99">IF(U99="",0,_xlfn.XLOOKUP(E99&amp;U99&amp;F99,tab_act&amp;tab_mod&amp;tab_act1,tab_pdoz)*V99*T99/MGMT)</f>
        <v>0.2409</v>
      </c>
      <c r="AH99" s="133" cm="1">
        <f t="array" ref="AH99">IFERROR(IF(U99="",0,_xlfn.XLOOKUP(E99&amp;U99&amp;F99,tab_act&amp;tab_mod&amp;tab_act1,tab_lns)*V99*T99/MGMT),"")</f>
        <v>0</v>
      </c>
      <c r="AI99" s="47">
        <f t="shared" si="11"/>
        <v>0.2409</v>
      </c>
      <c r="AJ99" s="48">
        <f t="shared" si="12"/>
        <v>0</v>
      </c>
      <c r="AK99" s="49" cm="1">
        <f t="array" ref="AK99">IF(U99="",0,_xlfn.XLOOKUP(E99&amp;U99&amp;F99,tab_act&amp;tab_mod&amp;tab_act1,tab_cash)*V99*T99)</f>
        <v>0</v>
      </c>
      <c r="AN99" s="140" t="str">
        <f t="shared" si="13"/>
        <v>A</v>
      </c>
    </row>
    <row r="100" spans="1:40" x14ac:dyDescent="0.35">
      <c r="B100" s="50" t="s">
        <v>129</v>
      </c>
      <c r="C100" s="44">
        <v>2023</v>
      </c>
      <c r="D100" s="44" t="s">
        <v>100</v>
      </c>
      <c r="E100" s="15" t="s">
        <v>39</v>
      </c>
      <c r="F100" s="143" t="s">
        <v>22</v>
      </c>
      <c r="G100" s="15" t="s">
        <v>159</v>
      </c>
      <c r="H100" s="44"/>
      <c r="I100" s="15" t="s">
        <v>94</v>
      </c>
      <c r="J100" s="15" t="s">
        <v>94</v>
      </c>
      <c r="K100" s="15" t="s">
        <v>160</v>
      </c>
      <c r="L100" s="15" t="s">
        <v>95</v>
      </c>
      <c r="M100" s="15" t="s">
        <v>94</v>
      </c>
      <c r="N100" s="15" t="s">
        <v>67</v>
      </c>
      <c r="O100" s="15" t="s">
        <v>161</v>
      </c>
      <c r="P100" s="43" t="s">
        <v>178</v>
      </c>
      <c r="Q100" s="42">
        <v>152.9</v>
      </c>
      <c r="R100" s="42">
        <v>154</v>
      </c>
      <c r="S100" s="42">
        <f t="shared" ref="S100:S131" si="14">SUM(Q100:R100)</f>
        <v>306.89999999999998</v>
      </c>
      <c r="T100" s="43">
        <f t="shared" ref="T100:T131" si="15">IF(E100="Sch",S100,IF(E100="nutrition",S100,S100/5))</f>
        <v>306.89999999999998</v>
      </c>
      <c r="U100" s="15" t="s">
        <v>41</v>
      </c>
      <c r="V100" s="150">
        <v>30</v>
      </c>
      <c r="W100" s="133" cm="1">
        <f t="array" ref="W100">IF(U100="",0,_xlfn.XLOOKUP(E100&amp;U100&amp;F100,tab_act&amp;tab_mod&amp;tab_act1,tab_riz)*V100*T100/MGMT)</f>
        <v>0</v>
      </c>
      <c r="X100" s="43" cm="1">
        <f t="array" ref="X100">IF(U100="",0,_xlfn.XLOOKUP(E100&amp;U100&amp;F100,tab_act&amp;tab_mod&amp;tab_act1,tab_mc)*V100*T100/MGMT)</f>
        <v>0</v>
      </c>
      <c r="Y100" s="43" cm="1">
        <f t="array" ref="Y100">IF(U100="",0,_xlfn.XLOOKUP(E100&amp;U100&amp;F100,tab_act&amp;tab_mod&amp;tab_act1,tab_sor)*V100*T100/MGMT)</f>
        <v>0</v>
      </c>
      <c r="Z100" s="43" cm="1">
        <f t="array" ref="Z100">IF(U100="",0,_xlfn.XLOOKUP(E100&amp;U100&amp;F100,tab_act&amp;tab_mod&amp;tab_act1,tab_mg)*V100*T100/MGMT)</f>
        <v>0</v>
      </c>
      <c r="AA100" s="133" cm="1">
        <f t="array" ref="AA100">IF(U100="",0,IF(U100="hybrid-Sch",_xlfn.XLOOKUP(E100&amp;U100&amp;F100,tab_act&amp;tab_mod&amp;tab_act1,tab_ls)*SchLS*T100/MGMT,_xlfn.XLOOKUP(E100&amp;U100&amp;F100,tab_act&amp;tab_mod&amp;tab_act1,tab_ls)*V100*T100/MGMT))</f>
        <v>0</v>
      </c>
      <c r="AB100" s="133" cm="1">
        <f t="array" ref="AB100">IF(U100="",0,_xlfn.XLOOKUP(E100&amp;U100&amp;F100,tab_act&amp;tab_mod&amp;tab_act1,tab_hu)*V100*T100/MGMT)</f>
        <v>0</v>
      </c>
      <c r="AC100" s="133" cm="1">
        <f t="array" ref="AC100">IF(U100="",0,_xlfn.XLOOKUP(E100&amp;U100&amp;F100,tab_act&amp;tab_mod&amp;tab_act1,tab_mnp)*V100*T100/MGMT)</f>
        <v>0</v>
      </c>
      <c r="AD100" s="133" cm="1">
        <f t="array" ref="AD100">IF(U100="",0,_xlfn.XLOOKUP(E100&amp;U100&amp;F100,tab_act&amp;tab_mod&amp;tab_act1,tab_Psup)*V100*T100/MGMT)</f>
        <v>0</v>
      </c>
      <c r="AE100" s="133" cm="1">
        <f t="array" ref="AE100">IF(U100="",0,_xlfn.XLOOKUP(E100&amp;U100&amp;F100,tab_act&amp;tab_mod&amp;tab_act1,tab_csb1)*V100*T100/MGMT)</f>
        <v>0</v>
      </c>
      <c r="AF100" s="133" cm="1">
        <f t="array" ref="AF100">IF(U100="",0,_xlfn.XLOOKUP(E100&amp;U100&amp;F100,tab_act&amp;tab_mod&amp;tab_act1,tab_csb2)*V100*T100/MGMT)</f>
        <v>0</v>
      </c>
      <c r="AG100" s="133" cm="1">
        <f t="array" ref="AG100">IF(U100="",0,_xlfn.XLOOKUP(E100&amp;U100&amp;F100,tab_act&amp;tab_mod&amp;tab_act1,tab_pdoz)*V100*T100/MGMT)</f>
        <v>0.46034999999999993</v>
      </c>
      <c r="AH100" s="133" cm="1">
        <f t="array" ref="AH100">IFERROR(IF(U100="",0,_xlfn.XLOOKUP(E100&amp;U100&amp;F100,tab_act&amp;tab_mod&amp;tab_act1,tab_lns)*V100*T100/MGMT),"")</f>
        <v>0</v>
      </c>
      <c r="AI100" s="47">
        <f t="shared" si="11"/>
        <v>0.46034999999999993</v>
      </c>
      <c r="AJ100" s="48">
        <f t="shared" ref="AJ100:AJ131" si="16">AK100*ExRate</f>
        <v>0</v>
      </c>
      <c r="AK100" s="49" cm="1">
        <f t="array" ref="AK100">IF(U100="",0,_xlfn.XLOOKUP(E100&amp;U100&amp;F100,tab_act&amp;tab_mod&amp;tab_act1,tab_cash)*V100*T100)</f>
        <v>0</v>
      </c>
      <c r="AN100" s="140" t="str">
        <f t="shared" si="13"/>
        <v>A</v>
      </c>
    </row>
    <row r="101" spans="1:40" x14ac:dyDescent="0.35">
      <c r="B101" s="50" t="s">
        <v>129</v>
      </c>
      <c r="C101" s="44">
        <v>2023</v>
      </c>
      <c r="D101" s="44" t="s">
        <v>100</v>
      </c>
      <c r="E101" s="15" t="s">
        <v>39</v>
      </c>
      <c r="F101" s="143" t="s">
        <v>22</v>
      </c>
      <c r="G101" s="15" t="s">
        <v>159</v>
      </c>
      <c r="H101" s="44"/>
      <c r="I101" s="15" t="s">
        <v>94</v>
      </c>
      <c r="J101" s="15" t="s">
        <v>94</v>
      </c>
      <c r="K101" s="15" t="s">
        <v>160</v>
      </c>
      <c r="L101" s="15" t="s">
        <v>95</v>
      </c>
      <c r="M101" s="15" t="s">
        <v>94</v>
      </c>
      <c r="N101" s="15" t="s">
        <v>67</v>
      </c>
      <c r="O101" s="15" t="s">
        <v>161</v>
      </c>
      <c r="P101" s="43" t="s">
        <v>179</v>
      </c>
      <c r="Q101" s="42">
        <v>48.4</v>
      </c>
      <c r="R101" s="42">
        <v>56.1</v>
      </c>
      <c r="S101" s="42">
        <f t="shared" si="14"/>
        <v>104.5</v>
      </c>
      <c r="T101" s="43">
        <f t="shared" si="15"/>
        <v>104.5</v>
      </c>
      <c r="U101" s="15" t="s">
        <v>41</v>
      </c>
      <c r="V101" s="150">
        <v>30</v>
      </c>
      <c r="W101" s="133" cm="1">
        <f t="array" ref="W101">IF(U101="",0,_xlfn.XLOOKUP(E101&amp;U101&amp;F101,tab_act&amp;tab_mod&amp;tab_act1,tab_riz)*V101*T101/MGMT)</f>
        <v>0</v>
      </c>
      <c r="X101" s="43" cm="1">
        <f t="array" ref="X101">IF(U101="",0,_xlfn.XLOOKUP(E101&amp;U101&amp;F101,tab_act&amp;tab_mod&amp;tab_act1,tab_mc)*V101*T101/MGMT)</f>
        <v>0</v>
      </c>
      <c r="Y101" s="43" cm="1">
        <f t="array" ref="Y101">IF(U101="",0,_xlfn.XLOOKUP(E101&amp;U101&amp;F101,tab_act&amp;tab_mod&amp;tab_act1,tab_sor)*V101*T101/MGMT)</f>
        <v>0</v>
      </c>
      <c r="Z101" s="43" cm="1">
        <f t="array" ref="Z101">IF(U101="",0,_xlfn.XLOOKUP(E101&amp;U101&amp;F101,tab_act&amp;tab_mod&amp;tab_act1,tab_mg)*V101*T101/MGMT)</f>
        <v>0</v>
      </c>
      <c r="AA101" s="133" cm="1">
        <f t="array" ref="AA101">IF(U101="",0,IF(U101="hybrid-Sch",_xlfn.XLOOKUP(E101&amp;U101&amp;F101,tab_act&amp;tab_mod&amp;tab_act1,tab_ls)*SchLS*T101/MGMT,_xlfn.XLOOKUP(E101&amp;U101&amp;F101,tab_act&amp;tab_mod&amp;tab_act1,tab_ls)*V101*T101/MGMT))</f>
        <v>0</v>
      </c>
      <c r="AB101" s="133" cm="1">
        <f t="array" ref="AB101">IF(U101="",0,_xlfn.XLOOKUP(E101&amp;U101&amp;F101,tab_act&amp;tab_mod&amp;tab_act1,tab_hu)*V101*T101/MGMT)</f>
        <v>0</v>
      </c>
      <c r="AC101" s="133" cm="1">
        <f t="array" ref="AC101">IF(U101="",0,_xlfn.XLOOKUP(E101&amp;U101&amp;F101,tab_act&amp;tab_mod&amp;tab_act1,tab_mnp)*V101*T101/MGMT)</f>
        <v>0</v>
      </c>
      <c r="AD101" s="133" cm="1">
        <f t="array" ref="AD101">IF(U101="",0,_xlfn.XLOOKUP(E101&amp;U101&amp;F101,tab_act&amp;tab_mod&amp;tab_act1,tab_Psup)*V101*T101/MGMT)</f>
        <v>0</v>
      </c>
      <c r="AE101" s="133" cm="1">
        <f t="array" ref="AE101">IF(U101="",0,_xlfn.XLOOKUP(E101&amp;U101&amp;F101,tab_act&amp;tab_mod&amp;tab_act1,tab_csb1)*V101*T101/MGMT)</f>
        <v>0</v>
      </c>
      <c r="AF101" s="133" cm="1">
        <f t="array" ref="AF101">IF(U101="",0,_xlfn.XLOOKUP(E101&amp;U101&amp;F101,tab_act&amp;tab_mod&amp;tab_act1,tab_csb2)*V101*T101/MGMT)</f>
        <v>0</v>
      </c>
      <c r="AG101" s="133" cm="1">
        <f t="array" ref="AG101">IF(U101="",0,_xlfn.XLOOKUP(E101&amp;U101&amp;F101,tab_act&amp;tab_mod&amp;tab_act1,tab_pdoz)*V101*T101/MGMT)</f>
        <v>0.15675</v>
      </c>
      <c r="AH101" s="133" cm="1">
        <f t="array" ref="AH101">IFERROR(IF(U101="",0,_xlfn.XLOOKUP(E101&amp;U101&amp;F101,tab_act&amp;tab_mod&amp;tab_act1,tab_lns)*V101*T101/MGMT),"")</f>
        <v>0</v>
      </c>
      <c r="AI101" s="47">
        <f t="shared" si="11"/>
        <v>0.15675</v>
      </c>
      <c r="AJ101" s="48">
        <f t="shared" si="16"/>
        <v>0</v>
      </c>
      <c r="AK101" s="49" cm="1">
        <f t="array" ref="AK101">IF(U101="",0,_xlfn.XLOOKUP(E101&amp;U101&amp;F101,tab_act&amp;tab_mod&amp;tab_act1,tab_cash)*V101*T101)</f>
        <v>0</v>
      </c>
      <c r="AN101" s="140" t="str">
        <f t="shared" si="13"/>
        <v>A</v>
      </c>
    </row>
    <row r="102" spans="1:40" x14ac:dyDescent="0.35">
      <c r="B102" s="50" t="s">
        <v>129</v>
      </c>
      <c r="C102" s="44">
        <v>2023</v>
      </c>
      <c r="D102" s="44" t="s">
        <v>100</v>
      </c>
      <c r="E102" s="15" t="s">
        <v>39</v>
      </c>
      <c r="F102" s="143" t="s">
        <v>22</v>
      </c>
      <c r="G102" s="15" t="s">
        <v>159</v>
      </c>
      <c r="H102" s="44"/>
      <c r="I102" s="15" t="s">
        <v>94</v>
      </c>
      <c r="J102" s="15" t="s">
        <v>94</v>
      </c>
      <c r="K102" s="15" t="s">
        <v>160</v>
      </c>
      <c r="L102" s="15" t="s">
        <v>95</v>
      </c>
      <c r="M102" s="15" t="s">
        <v>94</v>
      </c>
      <c r="N102" s="15" t="s">
        <v>67</v>
      </c>
      <c r="O102" s="15" t="s">
        <v>161</v>
      </c>
      <c r="P102" s="43" t="s">
        <v>180</v>
      </c>
      <c r="Q102" s="42">
        <v>125.4</v>
      </c>
      <c r="R102" s="42">
        <v>149.6</v>
      </c>
      <c r="S102" s="42">
        <f t="shared" si="14"/>
        <v>275</v>
      </c>
      <c r="T102" s="43">
        <f t="shared" si="15"/>
        <v>275</v>
      </c>
      <c r="U102" s="15" t="s">
        <v>41</v>
      </c>
      <c r="V102" s="150">
        <v>30</v>
      </c>
      <c r="W102" s="133" cm="1">
        <f t="array" ref="W102">IF(U102="",0,_xlfn.XLOOKUP(E102&amp;U102&amp;F102,tab_act&amp;tab_mod&amp;tab_act1,tab_riz)*V102*T102/MGMT)</f>
        <v>0</v>
      </c>
      <c r="X102" s="43" cm="1">
        <f t="array" ref="X102">IF(U102="",0,_xlfn.XLOOKUP(E102&amp;U102&amp;F102,tab_act&amp;tab_mod&amp;tab_act1,tab_mc)*V102*T102/MGMT)</f>
        <v>0</v>
      </c>
      <c r="Y102" s="43" cm="1">
        <f t="array" ref="Y102">IF(U102="",0,_xlfn.XLOOKUP(E102&amp;U102&amp;F102,tab_act&amp;tab_mod&amp;tab_act1,tab_sor)*V102*T102/MGMT)</f>
        <v>0</v>
      </c>
      <c r="Z102" s="43" cm="1">
        <f t="array" ref="Z102">IF(U102="",0,_xlfn.XLOOKUP(E102&amp;U102&amp;F102,tab_act&amp;tab_mod&amp;tab_act1,tab_mg)*V102*T102/MGMT)</f>
        <v>0</v>
      </c>
      <c r="AA102" s="133" cm="1">
        <f t="array" ref="AA102">IF(U102="",0,IF(U102="hybrid-Sch",_xlfn.XLOOKUP(E102&amp;U102&amp;F102,tab_act&amp;tab_mod&amp;tab_act1,tab_ls)*SchLS*T102/MGMT,_xlfn.XLOOKUP(E102&amp;U102&amp;F102,tab_act&amp;tab_mod&amp;tab_act1,tab_ls)*V102*T102/MGMT))</f>
        <v>0</v>
      </c>
      <c r="AB102" s="133" cm="1">
        <f t="array" ref="AB102">IF(U102="",0,_xlfn.XLOOKUP(E102&amp;U102&amp;F102,tab_act&amp;tab_mod&amp;tab_act1,tab_hu)*V102*T102/MGMT)</f>
        <v>0</v>
      </c>
      <c r="AC102" s="133" cm="1">
        <f t="array" ref="AC102">IF(U102="",0,_xlfn.XLOOKUP(E102&amp;U102&amp;F102,tab_act&amp;tab_mod&amp;tab_act1,tab_mnp)*V102*T102/MGMT)</f>
        <v>0</v>
      </c>
      <c r="AD102" s="133" cm="1">
        <f t="array" ref="AD102">IF(U102="",0,_xlfn.XLOOKUP(E102&amp;U102&amp;F102,tab_act&amp;tab_mod&amp;tab_act1,tab_Psup)*V102*T102/MGMT)</f>
        <v>0</v>
      </c>
      <c r="AE102" s="133" cm="1">
        <f t="array" ref="AE102">IF(U102="",0,_xlfn.XLOOKUP(E102&amp;U102&amp;F102,tab_act&amp;tab_mod&amp;tab_act1,tab_csb1)*V102*T102/MGMT)</f>
        <v>0</v>
      </c>
      <c r="AF102" s="133" cm="1">
        <f t="array" ref="AF102">IF(U102="",0,_xlfn.XLOOKUP(E102&amp;U102&amp;F102,tab_act&amp;tab_mod&amp;tab_act1,tab_csb2)*V102*T102/MGMT)</f>
        <v>0</v>
      </c>
      <c r="AG102" s="133" cm="1">
        <f t="array" ref="AG102">IF(U102="",0,_xlfn.XLOOKUP(E102&amp;U102&amp;F102,tab_act&amp;tab_mod&amp;tab_act1,tab_pdoz)*V102*T102/MGMT)</f>
        <v>0.41249999999999998</v>
      </c>
      <c r="AH102" s="133" cm="1">
        <f t="array" ref="AH102">IFERROR(IF(U102="",0,_xlfn.XLOOKUP(E102&amp;U102&amp;F102,tab_act&amp;tab_mod&amp;tab_act1,tab_lns)*V102*T102/MGMT),"")</f>
        <v>0</v>
      </c>
      <c r="AI102" s="47">
        <f t="shared" si="11"/>
        <v>0.41249999999999998</v>
      </c>
      <c r="AJ102" s="48">
        <f t="shared" si="16"/>
        <v>0</v>
      </c>
      <c r="AK102" s="49" cm="1">
        <f t="array" ref="AK102">IF(U102="",0,_xlfn.XLOOKUP(E102&amp;U102&amp;F102,tab_act&amp;tab_mod&amp;tab_act1,tab_cash)*V102*T102)</f>
        <v>0</v>
      </c>
      <c r="AN102" s="140" t="str">
        <f t="shared" si="13"/>
        <v>A</v>
      </c>
    </row>
    <row r="103" spans="1:40" x14ac:dyDescent="0.35">
      <c r="B103" s="50" t="s">
        <v>129</v>
      </c>
      <c r="C103" s="44">
        <v>2023</v>
      </c>
      <c r="D103" s="44" t="s">
        <v>100</v>
      </c>
      <c r="E103" s="15" t="s">
        <v>39</v>
      </c>
      <c r="F103" s="143" t="s">
        <v>22</v>
      </c>
      <c r="G103" s="15" t="s">
        <v>159</v>
      </c>
      <c r="H103" s="44"/>
      <c r="I103" s="15" t="s">
        <v>94</v>
      </c>
      <c r="J103" s="15" t="s">
        <v>94</v>
      </c>
      <c r="K103" s="15" t="s">
        <v>160</v>
      </c>
      <c r="L103" s="15" t="s">
        <v>95</v>
      </c>
      <c r="M103" s="15" t="s">
        <v>94</v>
      </c>
      <c r="N103" s="15" t="s">
        <v>67</v>
      </c>
      <c r="O103" s="15" t="s">
        <v>161</v>
      </c>
      <c r="P103" s="43" t="s">
        <v>181</v>
      </c>
      <c r="Q103" s="42">
        <v>48.4</v>
      </c>
      <c r="R103" s="42">
        <v>61.6</v>
      </c>
      <c r="S103" s="42">
        <f t="shared" si="14"/>
        <v>110</v>
      </c>
      <c r="T103" s="43">
        <f t="shared" si="15"/>
        <v>110</v>
      </c>
      <c r="U103" s="15" t="s">
        <v>41</v>
      </c>
      <c r="V103" s="150">
        <v>30</v>
      </c>
      <c r="W103" s="133" cm="1">
        <f t="array" ref="W103">IF(U103="",0,_xlfn.XLOOKUP(E103&amp;U103&amp;F103,tab_act&amp;tab_mod&amp;tab_act1,tab_riz)*V103*T103/MGMT)</f>
        <v>0</v>
      </c>
      <c r="X103" s="43" cm="1">
        <f t="array" ref="X103">IF(U103="",0,_xlfn.XLOOKUP(E103&amp;U103&amp;F103,tab_act&amp;tab_mod&amp;tab_act1,tab_mc)*V103*T103/MGMT)</f>
        <v>0</v>
      </c>
      <c r="Y103" s="43" cm="1">
        <f t="array" ref="Y103">IF(U103="",0,_xlfn.XLOOKUP(E103&amp;U103&amp;F103,tab_act&amp;tab_mod&amp;tab_act1,tab_sor)*V103*T103/MGMT)</f>
        <v>0</v>
      </c>
      <c r="Z103" s="43" cm="1">
        <f t="array" ref="Z103">IF(U103="",0,_xlfn.XLOOKUP(E103&amp;U103&amp;F103,tab_act&amp;tab_mod&amp;tab_act1,tab_mg)*V103*T103/MGMT)</f>
        <v>0</v>
      </c>
      <c r="AA103" s="133" cm="1">
        <f t="array" ref="AA103">IF(U103="",0,IF(U103="hybrid-Sch",_xlfn.XLOOKUP(E103&amp;U103&amp;F103,tab_act&amp;tab_mod&amp;tab_act1,tab_ls)*SchLS*T103/MGMT,_xlfn.XLOOKUP(E103&amp;U103&amp;F103,tab_act&amp;tab_mod&amp;tab_act1,tab_ls)*V103*T103/MGMT))</f>
        <v>0</v>
      </c>
      <c r="AB103" s="133" cm="1">
        <f t="array" ref="AB103">IF(U103="",0,_xlfn.XLOOKUP(E103&amp;U103&amp;F103,tab_act&amp;tab_mod&amp;tab_act1,tab_hu)*V103*T103/MGMT)</f>
        <v>0</v>
      </c>
      <c r="AC103" s="133" cm="1">
        <f t="array" ref="AC103">IF(U103="",0,_xlfn.XLOOKUP(E103&amp;U103&amp;F103,tab_act&amp;tab_mod&amp;tab_act1,tab_mnp)*V103*T103/MGMT)</f>
        <v>0</v>
      </c>
      <c r="AD103" s="133" cm="1">
        <f t="array" ref="AD103">IF(U103="",0,_xlfn.XLOOKUP(E103&amp;U103&amp;F103,tab_act&amp;tab_mod&amp;tab_act1,tab_Psup)*V103*T103/MGMT)</f>
        <v>0</v>
      </c>
      <c r="AE103" s="133" cm="1">
        <f t="array" ref="AE103">IF(U103="",0,_xlfn.XLOOKUP(E103&amp;U103&amp;F103,tab_act&amp;tab_mod&amp;tab_act1,tab_csb1)*V103*T103/MGMT)</f>
        <v>0</v>
      </c>
      <c r="AF103" s="133" cm="1">
        <f t="array" ref="AF103">IF(U103="",0,_xlfn.XLOOKUP(E103&amp;U103&amp;F103,tab_act&amp;tab_mod&amp;tab_act1,tab_csb2)*V103*T103/MGMT)</f>
        <v>0</v>
      </c>
      <c r="AG103" s="133" cm="1">
        <f t="array" ref="AG103">IF(U103="",0,_xlfn.XLOOKUP(E103&amp;U103&amp;F103,tab_act&amp;tab_mod&amp;tab_act1,tab_pdoz)*V103*T103/MGMT)</f>
        <v>0.16500000000000001</v>
      </c>
      <c r="AH103" s="133" cm="1">
        <f t="array" ref="AH103">IFERROR(IF(U103="",0,_xlfn.XLOOKUP(E103&amp;U103&amp;F103,tab_act&amp;tab_mod&amp;tab_act1,tab_lns)*V103*T103/MGMT),"")</f>
        <v>0</v>
      </c>
      <c r="AI103" s="47">
        <f t="shared" si="11"/>
        <v>0.16500000000000001</v>
      </c>
      <c r="AJ103" s="48">
        <f t="shared" si="16"/>
        <v>0</v>
      </c>
      <c r="AK103" s="49" cm="1">
        <f t="array" ref="AK103">IF(U103="",0,_xlfn.XLOOKUP(E103&amp;U103&amp;F103,tab_act&amp;tab_mod&amp;tab_act1,tab_cash)*V103*T103)</f>
        <v>0</v>
      </c>
      <c r="AN103" s="140" t="str">
        <f t="shared" si="13"/>
        <v>A</v>
      </c>
    </row>
    <row r="104" spans="1:40" x14ac:dyDescent="0.35">
      <c r="B104" s="50" t="s">
        <v>129</v>
      </c>
      <c r="C104" s="44">
        <v>2023</v>
      </c>
      <c r="D104" s="44" t="s">
        <v>100</v>
      </c>
      <c r="E104" s="15" t="s">
        <v>39</v>
      </c>
      <c r="F104" s="143" t="s">
        <v>22</v>
      </c>
      <c r="G104" s="15" t="s">
        <v>159</v>
      </c>
      <c r="H104" s="44"/>
      <c r="I104" s="15" t="s">
        <v>94</v>
      </c>
      <c r="J104" s="15" t="s">
        <v>94</v>
      </c>
      <c r="K104" s="15" t="s">
        <v>160</v>
      </c>
      <c r="L104" s="15" t="s">
        <v>95</v>
      </c>
      <c r="M104" s="15" t="s">
        <v>94</v>
      </c>
      <c r="N104" s="15" t="s">
        <v>67</v>
      </c>
      <c r="O104" s="15" t="s">
        <v>182</v>
      </c>
      <c r="P104" s="43" t="s">
        <v>183</v>
      </c>
      <c r="Q104" s="42">
        <v>101.2</v>
      </c>
      <c r="R104" s="42">
        <v>78.099999999999994</v>
      </c>
      <c r="S104" s="42">
        <f t="shared" si="14"/>
        <v>179.3</v>
      </c>
      <c r="T104" s="43">
        <f t="shared" si="15"/>
        <v>179.3</v>
      </c>
      <c r="U104" s="15" t="s">
        <v>41</v>
      </c>
      <c r="V104" s="150">
        <v>30</v>
      </c>
      <c r="W104" s="133" cm="1">
        <f t="array" ref="W104">IF(U104="",0,_xlfn.XLOOKUP(E104&amp;U104&amp;F104,tab_act&amp;tab_mod&amp;tab_act1,tab_riz)*V104*T104/MGMT)</f>
        <v>0</v>
      </c>
      <c r="X104" s="43" cm="1">
        <f t="array" ref="X104">IF(U104="",0,_xlfn.XLOOKUP(E104&amp;U104&amp;F104,tab_act&amp;tab_mod&amp;tab_act1,tab_mc)*V104*T104/MGMT)</f>
        <v>0</v>
      </c>
      <c r="Y104" s="43" cm="1">
        <f t="array" ref="Y104">IF(U104="",0,_xlfn.XLOOKUP(E104&amp;U104&amp;F104,tab_act&amp;tab_mod&amp;tab_act1,tab_sor)*V104*T104/MGMT)</f>
        <v>0</v>
      </c>
      <c r="Z104" s="43" cm="1">
        <f t="array" ref="Z104">IF(U104="",0,_xlfn.XLOOKUP(E104&amp;U104&amp;F104,tab_act&amp;tab_mod&amp;tab_act1,tab_mg)*V104*T104/MGMT)</f>
        <v>0</v>
      </c>
      <c r="AA104" s="133" cm="1">
        <f t="array" ref="AA104">IF(U104="",0,IF(U104="hybrid-Sch",_xlfn.XLOOKUP(E104&amp;U104&amp;F104,tab_act&amp;tab_mod&amp;tab_act1,tab_ls)*SchLS*T104/MGMT,_xlfn.XLOOKUP(E104&amp;U104&amp;F104,tab_act&amp;tab_mod&amp;tab_act1,tab_ls)*V104*T104/MGMT))</f>
        <v>0</v>
      </c>
      <c r="AB104" s="133" cm="1">
        <f t="array" ref="AB104">IF(U104="",0,_xlfn.XLOOKUP(E104&amp;U104&amp;F104,tab_act&amp;tab_mod&amp;tab_act1,tab_hu)*V104*T104/MGMT)</f>
        <v>0</v>
      </c>
      <c r="AC104" s="133" cm="1">
        <f t="array" ref="AC104">IF(U104="",0,_xlfn.XLOOKUP(E104&amp;U104&amp;F104,tab_act&amp;tab_mod&amp;tab_act1,tab_mnp)*V104*T104/MGMT)</f>
        <v>0</v>
      </c>
      <c r="AD104" s="133" cm="1">
        <f t="array" ref="AD104">IF(U104="",0,_xlfn.XLOOKUP(E104&amp;U104&amp;F104,tab_act&amp;tab_mod&amp;tab_act1,tab_Psup)*V104*T104/MGMT)</f>
        <v>0</v>
      </c>
      <c r="AE104" s="133" cm="1">
        <f t="array" ref="AE104">IF(U104="",0,_xlfn.XLOOKUP(E104&amp;U104&amp;F104,tab_act&amp;tab_mod&amp;tab_act1,tab_csb1)*V104*T104/MGMT)</f>
        <v>0</v>
      </c>
      <c r="AF104" s="133" cm="1">
        <f t="array" ref="AF104">IF(U104="",0,_xlfn.XLOOKUP(E104&amp;U104&amp;F104,tab_act&amp;tab_mod&amp;tab_act1,tab_csb2)*V104*T104/MGMT)</f>
        <v>0</v>
      </c>
      <c r="AG104" s="133" cm="1">
        <f t="array" ref="AG104">IF(U104="",0,_xlfn.XLOOKUP(E104&amp;U104&amp;F104,tab_act&amp;tab_mod&amp;tab_act1,tab_pdoz)*V104*T104/MGMT)</f>
        <v>0.26895000000000002</v>
      </c>
      <c r="AH104" s="133" cm="1">
        <f t="array" ref="AH104">IFERROR(IF(U104="",0,_xlfn.XLOOKUP(E104&amp;U104&amp;F104,tab_act&amp;tab_mod&amp;tab_act1,tab_lns)*V104*T104/MGMT),"")</f>
        <v>0</v>
      </c>
      <c r="AI104" s="47">
        <f t="shared" si="11"/>
        <v>0.26895000000000002</v>
      </c>
      <c r="AJ104" s="48">
        <f t="shared" si="16"/>
        <v>0</v>
      </c>
      <c r="AK104" s="49" cm="1">
        <f t="array" ref="AK104">IF(U104="",0,_xlfn.XLOOKUP(E104&amp;U104&amp;F104,tab_act&amp;tab_mod&amp;tab_act1,tab_cash)*V104*T104)</f>
        <v>0</v>
      </c>
      <c r="AN104" s="140" t="str">
        <f t="shared" si="13"/>
        <v>A</v>
      </c>
    </row>
    <row r="105" spans="1:40" x14ac:dyDescent="0.35">
      <c r="B105" s="50" t="s">
        <v>129</v>
      </c>
      <c r="C105" s="44">
        <v>2023</v>
      </c>
      <c r="D105" s="44" t="s">
        <v>100</v>
      </c>
      <c r="E105" s="15" t="s">
        <v>39</v>
      </c>
      <c r="F105" s="143" t="s">
        <v>22</v>
      </c>
      <c r="G105" s="15" t="s">
        <v>159</v>
      </c>
      <c r="H105" s="44"/>
      <c r="I105" s="15" t="s">
        <v>94</v>
      </c>
      <c r="J105" s="15" t="s">
        <v>94</v>
      </c>
      <c r="K105" s="15" t="s">
        <v>160</v>
      </c>
      <c r="L105" s="15" t="s">
        <v>95</v>
      </c>
      <c r="M105" s="15" t="s">
        <v>94</v>
      </c>
      <c r="N105" s="15" t="s">
        <v>67</v>
      </c>
      <c r="O105" s="15" t="s">
        <v>182</v>
      </c>
      <c r="P105" s="43" t="s">
        <v>184</v>
      </c>
      <c r="Q105" s="42">
        <v>46.2</v>
      </c>
      <c r="R105" s="42">
        <v>57.2</v>
      </c>
      <c r="S105" s="42">
        <f t="shared" si="14"/>
        <v>103.4</v>
      </c>
      <c r="T105" s="43">
        <f t="shared" si="15"/>
        <v>103.4</v>
      </c>
      <c r="U105" s="15" t="s">
        <v>41</v>
      </c>
      <c r="V105" s="150">
        <v>30</v>
      </c>
      <c r="W105" s="133" cm="1">
        <f t="array" ref="W105">IF(U105="",0,_xlfn.XLOOKUP(E105&amp;U105&amp;F105,tab_act&amp;tab_mod&amp;tab_act1,tab_riz)*V105*T105/MGMT)</f>
        <v>0</v>
      </c>
      <c r="X105" s="43" cm="1">
        <f t="array" ref="X105">IF(U105="",0,_xlfn.XLOOKUP(E105&amp;U105&amp;F105,tab_act&amp;tab_mod&amp;tab_act1,tab_mc)*V105*T105/MGMT)</f>
        <v>0</v>
      </c>
      <c r="Y105" s="43" cm="1">
        <f t="array" ref="Y105">IF(U105="",0,_xlfn.XLOOKUP(E105&amp;U105&amp;F105,tab_act&amp;tab_mod&amp;tab_act1,tab_sor)*V105*T105/MGMT)</f>
        <v>0</v>
      </c>
      <c r="Z105" s="43" cm="1">
        <f t="array" ref="Z105">IF(U105="",0,_xlfn.XLOOKUP(E105&amp;U105&amp;F105,tab_act&amp;tab_mod&amp;tab_act1,tab_mg)*V105*T105/MGMT)</f>
        <v>0</v>
      </c>
      <c r="AA105" s="133" cm="1">
        <f t="array" ref="AA105">IF(U105="",0,IF(U105="hybrid-Sch",_xlfn.XLOOKUP(E105&amp;U105&amp;F105,tab_act&amp;tab_mod&amp;tab_act1,tab_ls)*SchLS*T105/MGMT,_xlfn.XLOOKUP(E105&amp;U105&amp;F105,tab_act&amp;tab_mod&amp;tab_act1,tab_ls)*V105*T105/MGMT))</f>
        <v>0</v>
      </c>
      <c r="AB105" s="133" cm="1">
        <f t="array" ref="AB105">IF(U105="",0,_xlfn.XLOOKUP(E105&amp;U105&amp;F105,tab_act&amp;tab_mod&amp;tab_act1,tab_hu)*V105*T105/MGMT)</f>
        <v>0</v>
      </c>
      <c r="AC105" s="133" cm="1">
        <f t="array" ref="AC105">IF(U105="",0,_xlfn.XLOOKUP(E105&amp;U105&amp;F105,tab_act&amp;tab_mod&amp;tab_act1,tab_mnp)*V105*T105/MGMT)</f>
        <v>0</v>
      </c>
      <c r="AD105" s="133" cm="1">
        <f t="array" ref="AD105">IF(U105="",0,_xlfn.XLOOKUP(E105&amp;U105&amp;F105,tab_act&amp;tab_mod&amp;tab_act1,tab_Psup)*V105*T105/MGMT)</f>
        <v>0</v>
      </c>
      <c r="AE105" s="133" cm="1">
        <f t="array" ref="AE105">IF(U105="",0,_xlfn.XLOOKUP(E105&amp;U105&amp;F105,tab_act&amp;tab_mod&amp;tab_act1,tab_csb1)*V105*T105/MGMT)</f>
        <v>0</v>
      </c>
      <c r="AF105" s="133" cm="1">
        <f t="array" ref="AF105">IF(U105="",0,_xlfn.XLOOKUP(E105&amp;U105&amp;F105,tab_act&amp;tab_mod&amp;tab_act1,tab_csb2)*V105*T105/MGMT)</f>
        <v>0</v>
      </c>
      <c r="AG105" s="133" cm="1">
        <f t="array" ref="AG105">IF(U105="",0,_xlfn.XLOOKUP(E105&amp;U105&amp;F105,tab_act&amp;tab_mod&amp;tab_act1,tab_pdoz)*V105*T105/MGMT)</f>
        <v>0.15509999999999999</v>
      </c>
      <c r="AH105" s="133" cm="1">
        <f t="array" ref="AH105">IFERROR(IF(U105="",0,_xlfn.XLOOKUP(E105&amp;U105&amp;F105,tab_act&amp;tab_mod&amp;tab_act1,tab_lns)*V105*T105/MGMT),"")</f>
        <v>0</v>
      </c>
      <c r="AI105" s="47">
        <f t="shared" si="11"/>
        <v>0.15509999999999999</v>
      </c>
      <c r="AJ105" s="48">
        <f t="shared" si="16"/>
        <v>0</v>
      </c>
      <c r="AK105" s="49" cm="1">
        <f t="array" ref="AK105">IF(U105="",0,_xlfn.XLOOKUP(E105&amp;U105&amp;F105,tab_act&amp;tab_mod&amp;tab_act1,tab_cash)*V105*T105)</f>
        <v>0</v>
      </c>
      <c r="AN105" s="140" t="str">
        <f t="shared" si="13"/>
        <v>A</v>
      </c>
    </row>
    <row r="106" spans="1:40" x14ac:dyDescent="0.35">
      <c r="B106" s="50" t="s">
        <v>129</v>
      </c>
      <c r="C106" s="44">
        <v>2023</v>
      </c>
      <c r="D106" s="44" t="s">
        <v>100</v>
      </c>
      <c r="E106" s="15" t="s">
        <v>39</v>
      </c>
      <c r="F106" s="143" t="s">
        <v>22</v>
      </c>
      <c r="G106" s="15" t="s">
        <v>159</v>
      </c>
      <c r="H106" s="44"/>
      <c r="I106" s="15" t="s">
        <v>94</v>
      </c>
      <c r="J106" s="15" t="s">
        <v>94</v>
      </c>
      <c r="K106" s="15" t="s">
        <v>160</v>
      </c>
      <c r="L106" s="15" t="s">
        <v>95</v>
      </c>
      <c r="M106" s="15" t="s">
        <v>94</v>
      </c>
      <c r="N106" s="15" t="s">
        <v>67</v>
      </c>
      <c r="O106" s="15" t="s">
        <v>182</v>
      </c>
      <c r="P106" s="43" t="s">
        <v>185</v>
      </c>
      <c r="Q106" s="42">
        <v>136.4</v>
      </c>
      <c r="R106" s="42">
        <v>191.4</v>
      </c>
      <c r="S106" s="42">
        <f t="shared" si="14"/>
        <v>327.8</v>
      </c>
      <c r="T106" s="43">
        <f t="shared" si="15"/>
        <v>327.8</v>
      </c>
      <c r="U106" s="15" t="s">
        <v>41</v>
      </c>
      <c r="V106" s="150">
        <v>30</v>
      </c>
      <c r="W106" s="133" cm="1">
        <f t="array" ref="W106">IF(U106="",0,_xlfn.XLOOKUP(E106&amp;U106&amp;F106,tab_act&amp;tab_mod&amp;tab_act1,tab_riz)*V106*T106/MGMT)</f>
        <v>0</v>
      </c>
      <c r="X106" s="43" cm="1">
        <f t="array" ref="X106">IF(U106="",0,_xlfn.XLOOKUP(E106&amp;U106&amp;F106,tab_act&amp;tab_mod&amp;tab_act1,tab_mc)*V106*T106/MGMT)</f>
        <v>0</v>
      </c>
      <c r="Y106" s="43" cm="1">
        <f t="array" ref="Y106">IF(U106="",0,_xlfn.XLOOKUP(E106&amp;U106&amp;F106,tab_act&amp;tab_mod&amp;tab_act1,tab_sor)*V106*T106/MGMT)</f>
        <v>0</v>
      </c>
      <c r="Z106" s="43" cm="1">
        <f t="array" ref="Z106">IF(U106="",0,_xlfn.XLOOKUP(E106&amp;U106&amp;F106,tab_act&amp;tab_mod&amp;tab_act1,tab_mg)*V106*T106/MGMT)</f>
        <v>0</v>
      </c>
      <c r="AA106" s="133" cm="1">
        <f t="array" ref="AA106">IF(U106="",0,IF(U106="hybrid-Sch",_xlfn.XLOOKUP(E106&amp;U106&amp;F106,tab_act&amp;tab_mod&amp;tab_act1,tab_ls)*SchLS*T106/MGMT,_xlfn.XLOOKUP(E106&amp;U106&amp;F106,tab_act&amp;tab_mod&amp;tab_act1,tab_ls)*V106*T106/MGMT))</f>
        <v>0</v>
      </c>
      <c r="AB106" s="133" cm="1">
        <f t="array" ref="AB106">IF(U106="",0,_xlfn.XLOOKUP(E106&amp;U106&amp;F106,tab_act&amp;tab_mod&amp;tab_act1,tab_hu)*V106*T106/MGMT)</f>
        <v>0</v>
      </c>
      <c r="AC106" s="133" cm="1">
        <f t="array" ref="AC106">IF(U106="",0,_xlfn.XLOOKUP(E106&amp;U106&amp;F106,tab_act&amp;tab_mod&amp;tab_act1,tab_mnp)*V106*T106/MGMT)</f>
        <v>0</v>
      </c>
      <c r="AD106" s="133" cm="1">
        <f t="array" ref="AD106">IF(U106="",0,_xlfn.XLOOKUP(E106&amp;U106&amp;F106,tab_act&amp;tab_mod&amp;tab_act1,tab_Psup)*V106*T106/MGMT)</f>
        <v>0</v>
      </c>
      <c r="AE106" s="133" cm="1">
        <f t="array" ref="AE106">IF(U106="",0,_xlfn.XLOOKUP(E106&amp;U106&amp;F106,tab_act&amp;tab_mod&amp;tab_act1,tab_csb1)*V106*T106/MGMT)</f>
        <v>0</v>
      </c>
      <c r="AF106" s="133" cm="1">
        <f t="array" ref="AF106">IF(U106="",0,_xlfn.XLOOKUP(E106&amp;U106&amp;F106,tab_act&amp;tab_mod&amp;tab_act1,tab_csb2)*V106*T106/MGMT)</f>
        <v>0</v>
      </c>
      <c r="AG106" s="133" cm="1">
        <f t="array" ref="AG106">IF(U106="",0,_xlfn.XLOOKUP(E106&amp;U106&amp;F106,tab_act&amp;tab_mod&amp;tab_act1,tab_pdoz)*V106*T106/MGMT)</f>
        <v>0.49170000000000003</v>
      </c>
      <c r="AH106" s="133" cm="1">
        <f t="array" ref="AH106">IFERROR(IF(U106="",0,_xlfn.XLOOKUP(E106&amp;U106&amp;F106,tab_act&amp;tab_mod&amp;tab_act1,tab_lns)*V106*T106/MGMT),"")</f>
        <v>0</v>
      </c>
      <c r="AI106" s="47">
        <f t="shared" si="11"/>
        <v>0.49170000000000003</v>
      </c>
      <c r="AJ106" s="48">
        <f t="shared" si="16"/>
        <v>0</v>
      </c>
      <c r="AK106" s="49" cm="1">
        <f t="array" ref="AK106">IF(U106="",0,_xlfn.XLOOKUP(E106&amp;U106&amp;F106,tab_act&amp;tab_mod&amp;tab_act1,tab_cash)*V106*T106)</f>
        <v>0</v>
      </c>
      <c r="AN106" s="140" t="str">
        <f t="shared" si="13"/>
        <v>A</v>
      </c>
    </row>
    <row r="107" spans="1:40" x14ac:dyDescent="0.35">
      <c r="B107" s="50" t="s">
        <v>129</v>
      </c>
      <c r="C107" s="44">
        <v>2023</v>
      </c>
      <c r="D107" s="44" t="s">
        <v>100</v>
      </c>
      <c r="E107" s="15" t="s">
        <v>39</v>
      </c>
      <c r="F107" s="143" t="s">
        <v>22</v>
      </c>
      <c r="G107" s="15" t="s">
        <v>159</v>
      </c>
      <c r="H107" s="44"/>
      <c r="I107" s="15" t="s">
        <v>94</v>
      </c>
      <c r="J107" s="15" t="s">
        <v>94</v>
      </c>
      <c r="K107" s="15" t="s">
        <v>160</v>
      </c>
      <c r="L107" s="15" t="s">
        <v>95</v>
      </c>
      <c r="M107" s="15" t="s">
        <v>94</v>
      </c>
      <c r="N107" s="15" t="s">
        <v>67</v>
      </c>
      <c r="O107" s="15" t="s">
        <v>182</v>
      </c>
      <c r="P107" s="43" t="s">
        <v>186</v>
      </c>
      <c r="Q107" s="42">
        <v>114.4</v>
      </c>
      <c r="R107" s="42">
        <v>134.19999999999999</v>
      </c>
      <c r="S107" s="42">
        <f t="shared" si="14"/>
        <v>248.6</v>
      </c>
      <c r="T107" s="43">
        <f t="shared" si="15"/>
        <v>248.6</v>
      </c>
      <c r="U107" s="15" t="s">
        <v>41</v>
      </c>
      <c r="V107" s="150">
        <v>30</v>
      </c>
      <c r="W107" s="133" cm="1">
        <f t="array" ref="W107">IF(U107="",0,_xlfn.XLOOKUP(E107&amp;U107&amp;F107,tab_act&amp;tab_mod&amp;tab_act1,tab_riz)*V107*T107/MGMT)</f>
        <v>0</v>
      </c>
      <c r="X107" s="43" cm="1">
        <f t="array" ref="X107">IF(U107="",0,_xlfn.XLOOKUP(E107&amp;U107&amp;F107,tab_act&amp;tab_mod&amp;tab_act1,tab_mc)*V107*T107/MGMT)</f>
        <v>0</v>
      </c>
      <c r="Y107" s="43" cm="1">
        <f t="array" ref="Y107">IF(U107="",0,_xlfn.XLOOKUP(E107&amp;U107&amp;F107,tab_act&amp;tab_mod&amp;tab_act1,tab_sor)*V107*T107/MGMT)</f>
        <v>0</v>
      </c>
      <c r="Z107" s="43" cm="1">
        <f t="array" ref="Z107">IF(U107="",0,_xlfn.XLOOKUP(E107&amp;U107&amp;F107,tab_act&amp;tab_mod&amp;tab_act1,tab_mg)*V107*T107/MGMT)</f>
        <v>0</v>
      </c>
      <c r="AA107" s="133" cm="1">
        <f t="array" ref="AA107">IF(U107="",0,IF(U107="hybrid-Sch",_xlfn.XLOOKUP(E107&amp;U107&amp;F107,tab_act&amp;tab_mod&amp;tab_act1,tab_ls)*SchLS*T107/MGMT,_xlfn.XLOOKUP(E107&amp;U107&amp;F107,tab_act&amp;tab_mod&amp;tab_act1,tab_ls)*V107*T107/MGMT))</f>
        <v>0</v>
      </c>
      <c r="AB107" s="133" cm="1">
        <f t="array" ref="AB107">IF(U107="",0,_xlfn.XLOOKUP(E107&amp;U107&amp;F107,tab_act&amp;tab_mod&amp;tab_act1,tab_hu)*V107*T107/MGMT)</f>
        <v>0</v>
      </c>
      <c r="AC107" s="133" cm="1">
        <f t="array" ref="AC107">IF(U107="",0,_xlfn.XLOOKUP(E107&amp;U107&amp;F107,tab_act&amp;tab_mod&amp;tab_act1,tab_mnp)*V107*T107/MGMT)</f>
        <v>0</v>
      </c>
      <c r="AD107" s="133" cm="1">
        <f t="array" ref="AD107">IF(U107="",0,_xlfn.XLOOKUP(E107&amp;U107&amp;F107,tab_act&amp;tab_mod&amp;tab_act1,tab_Psup)*V107*T107/MGMT)</f>
        <v>0</v>
      </c>
      <c r="AE107" s="133" cm="1">
        <f t="array" ref="AE107">IF(U107="",0,_xlfn.XLOOKUP(E107&amp;U107&amp;F107,tab_act&amp;tab_mod&amp;tab_act1,tab_csb1)*V107*T107/MGMT)</f>
        <v>0</v>
      </c>
      <c r="AF107" s="133" cm="1">
        <f t="array" ref="AF107">IF(U107="",0,_xlfn.XLOOKUP(E107&amp;U107&amp;F107,tab_act&amp;tab_mod&amp;tab_act1,tab_csb2)*V107*T107/MGMT)</f>
        <v>0</v>
      </c>
      <c r="AG107" s="133" cm="1">
        <f t="array" ref="AG107">IF(U107="",0,_xlfn.XLOOKUP(E107&amp;U107&amp;F107,tab_act&amp;tab_mod&amp;tab_act1,tab_pdoz)*V107*T107/MGMT)</f>
        <v>0.37290000000000001</v>
      </c>
      <c r="AH107" s="133" cm="1">
        <f t="array" ref="AH107">IFERROR(IF(U107="",0,_xlfn.XLOOKUP(E107&amp;U107&amp;F107,tab_act&amp;tab_mod&amp;tab_act1,tab_lns)*V107*T107/MGMT),"")</f>
        <v>0</v>
      </c>
      <c r="AI107" s="47">
        <f t="shared" si="11"/>
        <v>0.37290000000000001</v>
      </c>
      <c r="AJ107" s="48">
        <f t="shared" si="16"/>
        <v>0</v>
      </c>
      <c r="AK107" s="49" cm="1">
        <f t="array" ref="AK107">IF(U107="",0,_xlfn.XLOOKUP(E107&amp;U107&amp;F107,tab_act&amp;tab_mod&amp;tab_act1,tab_cash)*V107*T107)</f>
        <v>0</v>
      </c>
      <c r="AN107" s="140" t="str">
        <f t="shared" si="13"/>
        <v>A</v>
      </c>
    </row>
    <row r="108" spans="1:40" x14ac:dyDescent="0.35">
      <c r="B108" s="50" t="s">
        <v>129</v>
      </c>
      <c r="C108" s="44">
        <v>2023</v>
      </c>
      <c r="D108" s="44" t="s">
        <v>100</v>
      </c>
      <c r="E108" s="15" t="s">
        <v>39</v>
      </c>
      <c r="F108" s="143" t="s">
        <v>22</v>
      </c>
      <c r="G108" s="15" t="s">
        <v>159</v>
      </c>
      <c r="H108" s="44"/>
      <c r="I108" s="15" t="s">
        <v>94</v>
      </c>
      <c r="J108" s="15" t="s">
        <v>94</v>
      </c>
      <c r="K108" s="15" t="s">
        <v>160</v>
      </c>
      <c r="L108" s="15" t="s">
        <v>95</v>
      </c>
      <c r="M108" s="15" t="s">
        <v>94</v>
      </c>
      <c r="N108" s="15" t="s">
        <v>67</v>
      </c>
      <c r="O108" s="15" t="s">
        <v>182</v>
      </c>
      <c r="P108" s="43" t="s">
        <v>187</v>
      </c>
      <c r="Q108" s="42">
        <v>86.9</v>
      </c>
      <c r="R108" s="42">
        <v>133.1</v>
      </c>
      <c r="S108" s="42">
        <f t="shared" si="14"/>
        <v>220</v>
      </c>
      <c r="T108" s="43">
        <f t="shared" si="15"/>
        <v>220</v>
      </c>
      <c r="U108" s="15" t="s">
        <v>41</v>
      </c>
      <c r="V108" s="150">
        <v>30</v>
      </c>
      <c r="W108" s="133" cm="1">
        <f t="array" ref="W108">IF(U108="",0,_xlfn.XLOOKUP(E108&amp;U108&amp;F108,tab_act&amp;tab_mod&amp;tab_act1,tab_riz)*V108*T108/MGMT)</f>
        <v>0</v>
      </c>
      <c r="X108" s="43" cm="1">
        <f t="array" ref="X108">IF(U108="",0,_xlfn.XLOOKUP(E108&amp;U108&amp;F108,tab_act&amp;tab_mod&amp;tab_act1,tab_mc)*V108*T108/MGMT)</f>
        <v>0</v>
      </c>
      <c r="Y108" s="43" cm="1">
        <f t="array" ref="Y108">IF(U108="",0,_xlfn.XLOOKUP(E108&amp;U108&amp;F108,tab_act&amp;tab_mod&amp;tab_act1,tab_sor)*V108*T108/MGMT)</f>
        <v>0</v>
      </c>
      <c r="Z108" s="43" cm="1">
        <f t="array" ref="Z108">IF(U108="",0,_xlfn.XLOOKUP(E108&amp;U108&amp;F108,tab_act&amp;tab_mod&amp;tab_act1,tab_mg)*V108*T108/MGMT)</f>
        <v>0</v>
      </c>
      <c r="AA108" s="133" cm="1">
        <f t="array" ref="AA108">IF(U108="",0,IF(U108="hybrid-Sch",_xlfn.XLOOKUP(E108&amp;U108&amp;F108,tab_act&amp;tab_mod&amp;tab_act1,tab_ls)*SchLS*T108/MGMT,_xlfn.XLOOKUP(E108&amp;U108&amp;F108,tab_act&amp;tab_mod&amp;tab_act1,tab_ls)*V108*T108/MGMT))</f>
        <v>0</v>
      </c>
      <c r="AB108" s="133" cm="1">
        <f t="array" ref="AB108">IF(U108="",0,_xlfn.XLOOKUP(E108&amp;U108&amp;F108,tab_act&amp;tab_mod&amp;tab_act1,tab_hu)*V108*T108/MGMT)</f>
        <v>0</v>
      </c>
      <c r="AC108" s="133" cm="1">
        <f t="array" ref="AC108">IF(U108="",0,_xlfn.XLOOKUP(E108&amp;U108&amp;F108,tab_act&amp;tab_mod&amp;tab_act1,tab_mnp)*V108*T108/MGMT)</f>
        <v>0</v>
      </c>
      <c r="AD108" s="133" cm="1">
        <f t="array" ref="AD108">IF(U108="",0,_xlfn.XLOOKUP(E108&amp;U108&amp;F108,tab_act&amp;tab_mod&amp;tab_act1,tab_Psup)*V108*T108/MGMT)</f>
        <v>0</v>
      </c>
      <c r="AE108" s="133" cm="1">
        <f t="array" ref="AE108">IF(U108="",0,_xlfn.XLOOKUP(E108&amp;U108&amp;F108,tab_act&amp;tab_mod&amp;tab_act1,tab_csb1)*V108*T108/MGMT)</f>
        <v>0</v>
      </c>
      <c r="AF108" s="133" cm="1">
        <f t="array" ref="AF108">IF(U108="",0,_xlfn.XLOOKUP(E108&amp;U108&amp;F108,tab_act&amp;tab_mod&amp;tab_act1,tab_csb2)*V108*T108/MGMT)</f>
        <v>0</v>
      </c>
      <c r="AG108" s="133" cm="1">
        <f t="array" ref="AG108">IF(U108="",0,_xlfn.XLOOKUP(E108&amp;U108&amp;F108,tab_act&amp;tab_mod&amp;tab_act1,tab_pdoz)*V108*T108/MGMT)</f>
        <v>0.33</v>
      </c>
      <c r="AH108" s="133" cm="1">
        <f t="array" ref="AH108">IFERROR(IF(U108="",0,_xlfn.XLOOKUP(E108&amp;U108&amp;F108,tab_act&amp;tab_mod&amp;tab_act1,tab_lns)*V108*T108/MGMT),"")</f>
        <v>0</v>
      </c>
      <c r="AI108" s="47">
        <f t="shared" si="11"/>
        <v>0.33</v>
      </c>
      <c r="AJ108" s="48">
        <f t="shared" si="16"/>
        <v>0</v>
      </c>
      <c r="AK108" s="49" cm="1">
        <f t="array" ref="AK108">IF(U108="",0,_xlfn.XLOOKUP(E108&amp;U108&amp;F108,tab_act&amp;tab_mod&amp;tab_act1,tab_cash)*V108*T108)</f>
        <v>0</v>
      </c>
      <c r="AN108" s="140" t="str">
        <f t="shared" si="13"/>
        <v>A</v>
      </c>
    </row>
    <row r="109" spans="1:40" x14ac:dyDescent="0.35">
      <c r="B109" s="50" t="s">
        <v>129</v>
      </c>
      <c r="C109" s="44">
        <v>2023</v>
      </c>
      <c r="D109" s="44" t="s">
        <v>100</v>
      </c>
      <c r="E109" s="15" t="s">
        <v>39</v>
      </c>
      <c r="F109" s="143" t="s">
        <v>22</v>
      </c>
      <c r="G109" s="15" t="s">
        <v>159</v>
      </c>
      <c r="H109" s="44"/>
      <c r="I109" s="15" t="s">
        <v>94</v>
      </c>
      <c r="J109" s="15" t="s">
        <v>94</v>
      </c>
      <c r="K109" s="15" t="s">
        <v>160</v>
      </c>
      <c r="L109" s="15" t="s">
        <v>95</v>
      </c>
      <c r="M109" s="15" t="s">
        <v>94</v>
      </c>
      <c r="N109" s="15" t="s">
        <v>67</v>
      </c>
      <c r="O109" s="15" t="s">
        <v>182</v>
      </c>
      <c r="P109" s="43" t="s">
        <v>188</v>
      </c>
      <c r="Q109" s="42">
        <v>61.6</v>
      </c>
      <c r="R109" s="42">
        <v>77</v>
      </c>
      <c r="S109" s="42">
        <f t="shared" si="14"/>
        <v>138.6</v>
      </c>
      <c r="T109" s="43">
        <f t="shared" si="15"/>
        <v>138.6</v>
      </c>
      <c r="U109" s="15" t="s">
        <v>41</v>
      </c>
      <c r="V109" s="150">
        <v>30</v>
      </c>
      <c r="W109" s="133" cm="1">
        <f t="array" ref="W109">IF(U109="",0,_xlfn.XLOOKUP(E109&amp;U109&amp;F109,tab_act&amp;tab_mod&amp;tab_act1,tab_riz)*V109*T109/MGMT)</f>
        <v>0</v>
      </c>
      <c r="X109" s="43" cm="1">
        <f t="array" ref="X109">IF(U109="",0,_xlfn.XLOOKUP(E109&amp;U109&amp;F109,tab_act&amp;tab_mod&amp;tab_act1,tab_mc)*V109*T109/MGMT)</f>
        <v>0</v>
      </c>
      <c r="Y109" s="43" cm="1">
        <f t="array" ref="Y109">IF(U109="",0,_xlfn.XLOOKUP(E109&amp;U109&amp;F109,tab_act&amp;tab_mod&amp;tab_act1,tab_sor)*V109*T109/MGMT)</f>
        <v>0</v>
      </c>
      <c r="Z109" s="43" cm="1">
        <f t="array" ref="Z109">IF(U109="",0,_xlfn.XLOOKUP(E109&amp;U109&amp;F109,tab_act&amp;tab_mod&amp;tab_act1,tab_mg)*V109*T109/MGMT)</f>
        <v>0</v>
      </c>
      <c r="AA109" s="133" cm="1">
        <f t="array" ref="AA109">IF(U109="",0,IF(U109="hybrid-Sch",_xlfn.XLOOKUP(E109&amp;U109&amp;F109,tab_act&amp;tab_mod&amp;tab_act1,tab_ls)*SchLS*T109/MGMT,_xlfn.XLOOKUP(E109&amp;U109&amp;F109,tab_act&amp;tab_mod&amp;tab_act1,tab_ls)*V109*T109/MGMT))</f>
        <v>0</v>
      </c>
      <c r="AB109" s="133" cm="1">
        <f t="array" ref="AB109">IF(U109="",0,_xlfn.XLOOKUP(E109&amp;U109&amp;F109,tab_act&amp;tab_mod&amp;tab_act1,tab_hu)*V109*T109/MGMT)</f>
        <v>0</v>
      </c>
      <c r="AC109" s="133" cm="1">
        <f t="array" ref="AC109">IF(U109="",0,_xlfn.XLOOKUP(E109&amp;U109&amp;F109,tab_act&amp;tab_mod&amp;tab_act1,tab_mnp)*V109*T109/MGMT)</f>
        <v>0</v>
      </c>
      <c r="AD109" s="133" cm="1">
        <f t="array" ref="AD109">IF(U109="",0,_xlfn.XLOOKUP(E109&amp;U109&amp;F109,tab_act&amp;tab_mod&amp;tab_act1,tab_Psup)*V109*T109/MGMT)</f>
        <v>0</v>
      </c>
      <c r="AE109" s="133" cm="1">
        <f t="array" ref="AE109">IF(U109="",0,_xlfn.XLOOKUP(E109&amp;U109&amp;F109,tab_act&amp;tab_mod&amp;tab_act1,tab_csb1)*V109*T109/MGMT)</f>
        <v>0</v>
      </c>
      <c r="AF109" s="133" cm="1">
        <f t="array" ref="AF109">IF(U109="",0,_xlfn.XLOOKUP(E109&amp;U109&amp;F109,tab_act&amp;tab_mod&amp;tab_act1,tab_csb2)*V109*T109/MGMT)</f>
        <v>0</v>
      </c>
      <c r="AG109" s="133" cm="1">
        <f t="array" ref="AG109">IF(U109="",0,_xlfn.XLOOKUP(E109&amp;U109&amp;F109,tab_act&amp;tab_mod&amp;tab_act1,tab_pdoz)*V109*T109/MGMT)</f>
        <v>0.2079</v>
      </c>
      <c r="AH109" s="133" cm="1">
        <f t="array" ref="AH109">IFERROR(IF(U109="",0,_xlfn.XLOOKUP(E109&amp;U109&amp;F109,tab_act&amp;tab_mod&amp;tab_act1,tab_lns)*V109*T109/MGMT),"")</f>
        <v>0</v>
      </c>
      <c r="AI109" s="47">
        <f t="shared" si="11"/>
        <v>0.2079</v>
      </c>
      <c r="AJ109" s="48">
        <f t="shared" si="16"/>
        <v>0</v>
      </c>
      <c r="AK109" s="49" cm="1">
        <f t="array" ref="AK109">IF(U109="",0,_xlfn.XLOOKUP(E109&amp;U109&amp;F109,tab_act&amp;tab_mod&amp;tab_act1,tab_cash)*V109*T109)</f>
        <v>0</v>
      </c>
      <c r="AN109" s="140" t="str">
        <f t="shared" si="13"/>
        <v>A</v>
      </c>
    </row>
    <row r="110" spans="1:40" x14ac:dyDescent="0.35">
      <c r="B110" s="50" t="s">
        <v>129</v>
      </c>
      <c r="C110" s="44">
        <v>2023</v>
      </c>
      <c r="D110" s="44" t="s">
        <v>100</v>
      </c>
      <c r="E110" s="15" t="s">
        <v>39</v>
      </c>
      <c r="F110" s="143" t="s">
        <v>22</v>
      </c>
      <c r="G110" s="15" t="s">
        <v>159</v>
      </c>
      <c r="H110" s="44"/>
      <c r="I110" s="15" t="s">
        <v>94</v>
      </c>
      <c r="J110" s="15" t="s">
        <v>94</v>
      </c>
      <c r="K110" s="15" t="s">
        <v>160</v>
      </c>
      <c r="L110" s="15" t="s">
        <v>95</v>
      </c>
      <c r="M110" s="15" t="s">
        <v>94</v>
      </c>
      <c r="N110" s="15" t="s">
        <v>67</v>
      </c>
      <c r="O110" s="15" t="s">
        <v>182</v>
      </c>
      <c r="P110" s="43" t="s">
        <v>189</v>
      </c>
      <c r="Q110" s="42">
        <v>77</v>
      </c>
      <c r="R110" s="42">
        <v>82.5</v>
      </c>
      <c r="S110" s="42">
        <f t="shared" si="14"/>
        <v>159.5</v>
      </c>
      <c r="T110" s="43">
        <f t="shared" si="15"/>
        <v>159.5</v>
      </c>
      <c r="U110" s="15" t="s">
        <v>41</v>
      </c>
      <c r="V110" s="150">
        <v>30</v>
      </c>
      <c r="W110" s="133" cm="1">
        <f t="array" ref="W110">IF(U110="",0,_xlfn.XLOOKUP(E110&amp;U110&amp;F110,tab_act&amp;tab_mod&amp;tab_act1,tab_riz)*V110*T110/MGMT)</f>
        <v>0</v>
      </c>
      <c r="X110" s="43" cm="1">
        <f t="array" ref="X110">IF(U110="",0,_xlfn.XLOOKUP(E110&amp;U110&amp;F110,tab_act&amp;tab_mod&amp;tab_act1,tab_mc)*V110*T110/MGMT)</f>
        <v>0</v>
      </c>
      <c r="Y110" s="43" cm="1">
        <f t="array" ref="Y110">IF(U110="",0,_xlfn.XLOOKUP(E110&amp;U110&amp;F110,tab_act&amp;tab_mod&amp;tab_act1,tab_sor)*V110*T110/MGMT)</f>
        <v>0</v>
      </c>
      <c r="Z110" s="43" cm="1">
        <f t="array" ref="Z110">IF(U110="",0,_xlfn.XLOOKUP(E110&amp;U110&amp;F110,tab_act&amp;tab_mod&amp;tab_act1,tab_mg)*V110*T110/MGMT)</f>
        <v>0</v>
      </c>
      <c r="AA110" s="133" cm="1">
        <f t="array" ref="AA110">IF(U110="",0,IF(U110="hybrid-Sch",_xlfn.XLOOKUP(E110&amp;U110&amp;F110,tab_act&amp;tab_mod&amp;tab_act1,tab_ls)*SchLS*T110/MGMT,_xlfn.XLOOKUP(E110&amp;U110&amp;F110,tab_act&amp;tab_mod&amp;tab_act1,tab_ls)*V110*T110/MGMT))</f>
        <v>0</v>
      </c>
      <c r="AB110" s="133" cm="1">
        <f t="array" ref="AB110">IF(U110="",0,_xlfn.XLOOKUP(E110&amp;U110&amp;F110,tab_act&amp;tab_mod&amp;tab_act1,tab_hu)*V110*T110/MGMT)</f>
        <v>0</v>
      </c>
      <c r="AC110" s="133" cm="1">
        <f t="array" ref="AC110">IF(U110="",0,_xlfn.XLOOKUP(E110&amp;U110&amp;F110,tab_act&amp;tab_mod&amp;tab_act1,tab_mnp)*V110*T110/MGMT)</f>
        <v>0</v>
      </c>
      <c r="AD110" s="133" cm="1">
        <f t="array" ref="AD110">IF(U110="",0,_xlfn.XLOOKUP(E110&amp;U110&amp;F110,tab_act&amp;tab_mod&amp;tab_act1,tab_Psup)*V110*T110/MGMT)</f>
        <v>0</v>
      </c>
      <c r="AE110" s="133" cm="1">
        <f t="array" ref="AE110">IF(U110="",0,_xlfn.XLOOKUP(E110&amp;U110&amp;F110,tab_act&amp;tab_mod&amp;tab_act1,tab_csb1)*V110*T110/MGMT)</f>
        <v>0</v>
      </c>
      <c r="AF110" s="133" cm="1">
        <f t="array" ref="AF110">IF(U110="",0,_xlfn.XLOOKUP(E110&amp;U110&amp;F110,tab_act&amp;tab_mod&amp;tab_act1,tab_csb2)*V110*T110/MGMT)</f>
        <v>0</v>
      </c>
      <c r="AG110" s="133" cm="1">
        <f t="array" ref="AG110">IF(U110="",0,_xlfn.XLOOKUP(E110&amp;U110&amp;F110,tab_act&amp;tab_mod&amp;tab_act1,tab_pdoz)*V110*T110/MGMT)</f>
        <v>0.23924999999999999</v>
      </c>
      <c r="AH110" s="133" cm="1">
        <f t="array" ref="AH110">IFERROR(IF(U110="",0,_xlfn.XLOOKUP(E110&amp;U110&amp;F110,tab_act&amp;tab_mod&amp;tab_act1,tab_lns)*V110*T110/MGMT),"")</f>
        <v>0</v>
      </c>
      <c r="AI110" s="47">
        <f t="shared" si="11"/>
        <v>0.23924999999999999</v>
      </c>
      <c r="AJ110" s="48">
        <f t="shared" si="16"/>
        <v>0</v>
      </c>
      <c r="AK110" s="49" cm="1">
        <f t="array" ref="AK110">IF(U110="",0,_xlfn.XLOOKUP(E110&amp;U110&amp;F110,tab_act&amp;tab_mod&amp;tab_act1,tab_cash)*V110*T110)</f>
        <v>0</v>
      </c>
      <c r="AN110" s="140" t="str">
        <f t="shared" si="13"/>
        <v>A</v>
      </c>
    </row>
    <row r="111" spans="1:40" x14ac:dyDescent="0.35">
      <c r="B111" s="50" t="s">
        <v>129</v>
      </c>
      <c r="C111" s="44">
        <v>2023</v>
      </c>
      <c r="D111" s="44" t="s">
        <v>100</v>
      </c>
      <c r="E111" s="15" t="s">
        <v>39</v>
      </c>
      <c r="F111" s="143" t="s">
        <v>22</v>
      </c>
      <c r="G111" s="15" t="s">
        <v>159</v>
      </c>
      <c r="H111" s="44"/>
      <c r="I111" s="15" t="s">
        <v>94</v>
      </c>
      <c r="J111" s="15" t="s">
        <v>94</v>
      </c>
      <c r="K111" s="15" t="s">
        <v>160</v>
      </c>
      <c r="L111" s="15" t="s">
        <v>95</v>
      </c>
      <c r="M111" s="15" t="s">
        <v>94</v>
      </c>
      <c r="N111" s="15" t="s">
        <v>67</v>
      </c>
      <c r="O111" s="15" t="s">
        <v>182</v>
      </c>
      <c r="P111" s="43" t="s">
        <v>190</v>
      </c>
      <c r="Q111" s="42">
        <v>250.8</v>
      </c>
      <c r="R111" s="42">
        <v>147.4</v>
      </c>
      <c r="S111" s="42">
        <f t="shared" si="14"/>
        <v>398.20000000000005</v>
      </c>
      <c r="T111" s="43">
        <f t="shared" si="15"/>
        <v>398.20000000000005</v>
      </c>
      <c r="U111" s="15" t="s">
        <v>41</v>
      </c>
      <c r="V111" s="150">
        <v>30</v>
      </c>
      <c r="W111" s="133" cm="1">
        <f t="array" ref="W111">IF(U111="",0,_xlfn.XLOOKUP(E111&amp;U111&amp;F111,tab_act&amp;tab_mod&amp;tab_act1,tab_riz)*V111*T111/MGMT)</f>
        <v>0</v>
      </c>
      <c r="X111" s="43" cm="1">
        <f t="array" ref="X111">IF(U111="",0,_xlfn.XLOOKUP(E111&amp;U111&amp;F111,tab_act&amp;tab_mod&amp;tab_act1,tab_mc)*V111*T111/MGMT)</f>
        <v>0</v>
      </c>
      <c r="Y111" s="43" cm="1">
        <f t="array" ref="Y111">IF(U111="",0,_xlfn.XLOOKUP(E111&amp;U111&amp;F111,tab_act&amp;tab_mod&amp;tab_act1,tab_sor)*V111*T111/MGMT)</f>
        <v>0</v>
      </c>
      <c r="Z111" s="43" cm="1">
        <f t="array" ref="Z111">IF(U111="",0,_xlfn.XLOOKUP(E111&amp;U111&amp;F111,tab_act&amp;tab_mod&amp;tab_act1,tab_mg)*V111*T111/MGMT)</f>
        <v>0</v>
      </c>
      <c r="AA111" s="133" cm="1">
        <f t="array" ref="AA111">IF(U111="",0,IF(U111="hybrid-Sch",_xlfn.XLOOKUP(E111&amp;U111&amp;F111,tab_act&amp;tab_mod&amp;tab_act1,tab_ls)*SchLS*T111/MGMT,_xlfn.XLOOKUP(E111&amp;U111&amp;F111,tab_act&amp;tab_mod&amp;tab_act1,tab_ls)*V111*T111/MGMT))</f>
        <v>0</v>
      </c>
      <c r="AB111" s="133" cm="1">
        <f t="array" ref="AB111">IF(U111="",0,_xlfn.XLOOKUP(E111&amp;U111&amp;F111,tab_act&amp;tab_mod&amp;tab_act1,tab_hu)*V111*T111/MGMT)</f>
        <v>0</v>
      </c>
      <c r="AC111" s="133" cm="1">
        <f t="array" ref="AC111">IF(U111="",0,_xlfn.XLOOKUP(E111&amp;U111&amp;F111,tab_act&amp;tab_mod&amp;tab_act1,tab_mnp)*V111*T111/MGMT)</f>
        <v>0</v>
      </c>
      <c r="AD111" s="133" cm="1">
        <f t="array" ref="AD111">IF(U111="",0,_xlfn.XLOOKUP(E111&amp;U111&amp;F111,tab_act&amp;tab_mod&amp;tab_act1,tab_Psup)*V111*T111/MGMT)</f>
        <v>0</v>
      </c>
      <c r="AE111" s="133" cm="1">
        <f t="array" ref="AE111">IF(U111="",0,_xlfn.XLOOKUP(E111&amp;U111&amp;F111,tab_act&amp;tab_mod&amp;tab_act1,tab_csb1)*V111*T111/MGMT)</f>
        <v>0</v>
      </c>
      <c r="AF111" s="133" cm="1">
        <f t="array" ref="AF111">IF(U111="",0,_xlfn.XLOOKUP(E111&amp;U111&amp;F111,tab_act&amp;tab_mod&amp;tab_act1,tab_csb2)*V111*T111/MGMT)</f>
        <v>0</v>
      </c>
      <c r="AG111" s="133" cm="1">
        <f t="array" ref="AG111">IF(U111="",0,_xlfn.XLOOKUP(E111&amp;U111&amp;F111,tab_act&amp;tab_mod&amp;tab_act1,tab_pdoz)*V111*T111/MGMT)</f>
        <v>0.59730000000000016</v>
      </c>
      <c r="AH111" s="133" cm="1">
        <f t="array" ref="AH111">IFERROR(IF(U111="",0,_xlfn.XLOOKUP(E111&amp;U111&amp;F111,tab_act&amp;tab_mod&amp;tab_act1,tab_lns)*V111*T111/MGMT),"")</f>
        <v>0</v>
      </c>
      <c r="AI111" s="47">
        <f t="shared" si="11"/>
        <v>0.59730000000000016</v>
      </c>
      <c r="AJ111" s="48">
        <f t="shared" si="16"/>
        <v>0</v>
      </c>
      <c r="AK111" s="49" cm="1">
        <f t="array" ref="AK111">IF(U111="",0,_xlfn.XLOOKUP(E111&amp;U111&amp;F111,tab_act&amp;tab_mod&amp;tab_act1,tab_cash)*V111*T111)</f>
        <v>0</v>
      </c>
      <c r="AN111" s="140" t="str">
        <f t="shared" si="13"/>
        <v>A</v>
      </c>
    </row>
    <row r="112" spans="1:40" x14ac:dyDescent="0.35">
      <c r="B112" s="50" t="s">
        <v>129</v>
      </c>
      <c r="C112" s="44">
        <v>2023</v>
      </c>
      <c r="D112" s="44" t="s">
        <v>100</v>
      </c>
      <c r="E112" s="15" t="s">
        <v>39</v>
      </c>
      <c r="F112" s="143" t="s">
        <v>22</v>
      </c>
      <c r="G112" s="15" t="s">
        <v>159</v>
      </c>
      <c r="H112" s="44"/>
      <c r="I112" s="15" t="s">
        <v>94</v>
      </c>
      <c r="J112" s="15" t="s">
        <v>94</v>
      </c>
      <c r="K112" s="15" t="s">
        <v>160</v>
      </c>
      <c r="L112" s="15" t="s">
        <v>95</v>
      </c>
      <c r="M112" s="15" t="s">
        <v>94</v>
      </c>
      <c r="N112" s="15" t="s">
        <v>67</v>
      </c>
      <c r="O112" s="15" t="s">
        <v>182</v>
      </c>
      <c r="P112" s="43" t="s">
        <v>191</v>
      </c>
      <c r="Q112" s="42">
        <v>81.400000000000006</v>
      </c>
      <c r="R112" s="42">
        <v>72.599999999999994</v>
      </c>
      <c r="S112" s="42">
        <f t="shared" si="14"/>
        <v>154</v>
      </c>
      <c r="T112" s="43">
        <f t="shared" si="15"/>
        <v>154</v>
      </c>
      <c r="U112" s="15" t="s">
        <v>41</v>
      </c>
      <c r="V112" s="150">
        <v>30</v>
      </c>
      <c r="W112" s="133" cm="1">
        <f t="array" ref="W112">IF(U112="",0,_xlfn.XLOOKUP(E112&amp;U112&amp;F112,tab_act&amp;tab_mod&amp;tab_act1,tab_riz)*V112*T112/MGMT)</f>
        <v>0</v>
      </c>
      <c r="X112" s="43" cm="1">
        <f t="array" ref="X112">IF(U112="",0,_xlfn.XLOOKUP(E112&amp;U112&amp;F112,tab_act&amp;tab_mod&amp;tab_act1,tab_mc)*V112*T112/MGMT)</f>
        <v>0</v>
      </c>
      <c r="Y112" s="43" cm="1">
        <f t="array" ref="Y112">IF(U112="",0,_xlfn.XLOOKUP(E112&amp;U112&amp;F112,tab_act&amp;tab_mod&amp;tab_act1,tab_sor)*V112*T112/MGMT)</f>
        <v>0</v>
      </c>
      <c r="Z112" s="43" cm="1">
        <f t="array" ref="Z112">IF(U112="",0,_xlfn.XLOOKUP(E112&amp;U112&amp;F112,tab_act&amp;tab_mod&amp;tab_act1,tab_mg)*V112*T112/MGMT)</f>
        <v>0</v>
      </c>
      <c r="AA112" s="133" cm="1">
        <f t="array" ref="AA112">IF(U112="",0,IF(U112="hybrid-Sch",_xlfn.XLOOKUP(E112&amp;U112&amp;F112,tab_act&amp;tab_mod&amp;tab_act1,tab_ls)*SchLS*T112/MGMT,_xlfn.XLOOKUP(E112&amp;U112&amp;F112,tab_act&amp;tab_mod&amp;tab_act1,tab_ls)*V112*T112/MGMT))</f>
        <v>0</v>
      </c>
      <c r="AB112" s="133" cm="1">
        <f t="array" ref="AB112">IF(U112="",0,_xlfn.XLOOKUP(E112&amp;U112&amp;F112,tab_act&amp;tab_mod&amp;tab_act1,tab_hu)*V112*T112/MGMT)</f>
        <v>0</v>
      </c>
      <c r="AC112" s="133" cm="1">
        <f t="array" ref="AC112">IF(U112="",0,_xlfn.XLOOKUP(E112&amp;U112&amp;F112,tab_act&amp;tab_mod&amp;tab_act1,tab_mnp)*V112*T112/MGMT)</f>
        <v>0</v>
      </c>
      <c r="AD112" s="133" cm="1">
        <f t="array" ref="AD112">IF(U112="",0,_xlfn.XLOOKUP(E112&amp;U112&amp;F112,tab_act&amp;tab_mod&amp;tab_act1,tab_Psup)*V112*T112/MGMT)</f>
        <v>0</v>
      </c>
      <c r="AE112" s="133" cm="1">
        <f t="array" ref="AE112">IF(U112="",0,_xlfn.XLOOKUP(E112&amp;U112&amp;F112,tab_act&amp;tab_mod&amp;tab_act1,tab_csb1)*V112*T112/MGMT)</f>
        <v>0</v>
      </c>
      <c r="AF112" s="133" cm="1">
        <f t="array" ref="AF112">IF(U112="",0,_xlfn.XLOOKUP(E112&amp;U112&amp;F112,tab_act&amp;tab_mod&amp;tab_act1,tab_csb2)*V112*T112/MGMT)</f>
        <v>0</v>
      </c>
      <c r="AG112" s="133" cm="1">
        <f t="array" ref="AG112">IF(U112="",0,_xlfn.XLOOKUP(E112&amp;U112&amp;F112,tab_act&amp;tab_mod&amp;tab_act1,tab_pdoz)*V112*T112/MGMT)</f>
        <v>0.23100000000000001</v>
      </c>
      <c r="AH112" s="133" cm="1">
        <f t="array" ref="AH112">IFERROR(IF(U112="",0,_xlfn.XLOOKUP(E112&amp;U112&amp;F112,tab_act&amp;tab_mod&amp;tab_act1,tab_lns)*V112*T112/MGMT),"")</f>
        <v>0</v>
      </c>
      <c r="AI112" s="47">
        <f t="shared" si="11"/>
        <v>0.23100000000000001</v>
      </c>
      <c r="AJ112" s="48">
        <f t="shared" si="16"/>
        <v>0</v>
      </c>
      <c r="AK112" s="49" cm="1">
        <f t="array" ref="AK112">IF(U112="",0,_xlfn.XLOOKUP(E112&amp;U112&amp;F112,tab_act&amp;tab_mod&amp;tab_act1,tab_cash)*V112*T112)</f>
        <v>0</v>
      </c>
      <c r="AN112" s="140" t="str">
        <f t="shared" si="13"/>
        <v>A</v>
      </c>
    </row>
    <row r="113" spans="2:40" x14ac:dyDescent="0.35">
      <c r="B113" s="50" t="s">
        <v>129</v>
      </c>
      <c r="C113" s="44">
        <v>2023</v>
      </c>
      <c r="D113" s="44" t="s">
        <v>100</v>
      </c>
      <c r="E113" s="15" t="s">
        <v>39</v>
      </c>
      <c r="F113" s="143" t="s">
        <v>22</v>
      </c>
      <c r="G113" s="15" t="s">
        <v>159</v>
      </c>
      <c r="H113" s="44"/>
      <c r="I113" s="15" t="s">
        <v>94</v>
      </c>
      <c r="J113" s="15" t="s">
        <v>94</v>
      </c>
      <c r="K113" s="15" t="s">
        <v>160</v>
      </c>
      <c r="L113" s="15" t="s">
        <v>95</v>
      </c>
      <c r="M113" s="15" t="s">
        <v>94</v>
      </c>
      <c r="N113" s="15" t="s">
        <v>67</v>
      </c>
      <c r="O113" s="15" t="s">
        <v>182</v>
      </c>
      <c r="P113" s="43" t="s">
        <v>192</v>
      </c>
      <c r="Q113" s="42">
        <v>50.6</v>
      </c>
      <c r="R113" s="42">
        <v>36.299999999999997</v>
      </c>
      <c r="S113" s="42">
        <f t="shared" si="14"/>
        <v>86.9</v>
      </c>
      <c r="T113" s="43">
        <f t="shared" si="15"/>
        <v>86.9</v>
      </c>
      <c r="U113" s="15" t="s">
        <v>41</v>
      </c>
      <c r="V113" s="150">
        <v>30</v>
      </c>
      <c r="W113" s="133" cm="1">
        <f t="array" ref="W113">IF(U113="",0,_xlfn.XLOOKUP(E113&amp;U113&amp;F113,tab_act&amp;tab_mod&amp;tab_act1,tab_riz)*V113*T113/MGMT)</f>
        <v>0</v>
      </c>
      <c r="X113" s="43" cm="1">
        <f t="array" ref="X113">IF(U113="",0,_xlfn.XLOOKUP(E113&amp;U113&amp;F113,tab_act&amp;tab_mod&amp;tab_act1,tab_mc)*V113*T113/MGMT)</f>
        <v>0</v>
      </c>
      <c r="Y113" s="43" cm="1">
        <f t="array" ref="Y113">IF(U113="",0,_xlfn.XLOOKUP(E113&amp;U113&amp;F113,tab_act&amp;tab_mod&amp;tab_act1,tab_sor)*V113*T113/MGMT)</f>
        <v>0</v>
      </c>
      <c r="Z113" s="43" cm="1">
        <f t="array" ref="Z113">IF(U113="",0,_xlfn.XLOOKUP(E113&amp;U113&amp;F113,tab_act&amp;tab_mod&amp;tab_act1,tab_mg)*V113*T113/MGMT)</f>
        <v>0</v>
      </c>
      <c r="AA113" s="133" cm="1">
        <f t="array" ref="AA113">IF(U113="",0,IF(U113="hybrid-Sch",_xlfn.XLOOKUP(E113&amp;U113&amp;F113,tab_act&amp;tab_mod&amp;tab_act1,tab_ls)*SchLS*T113/MGMT,_xlfn.XLOOKUP(E113&amp;U113&amp;F113,tab_act&amp;tab_mod&amp;tab_act1,tab_ls)*V113*T113/MGMT))</f>
        <v>0</v>
      </c>
      <c r="AB113" s="133" cm="1">
        <f t="array" ref="AB113">IF(U113="",0,_xlfn.XLOOKUP(E113&amp;U113&amp;F113,tab_act&amp;tab_mod&amp;tab_act1,tab_hu)*V113*T113/MGMT)</f>
        <v>0</v>
      </c>
      <c r="AC113" s="133" cm="1">
        <f t="array" ref="AC113">IF(U113="",0,_xlfn.XLOOKUP(E113&amp;U113&amp;F113,tab_act&amp;tab_mod&amp;tab_act1,tab_mnp)*V113*T113/MGMT)</f>
        <v>0</v>
      </c>
      <c r="AD113" s="133" cm="1">
        <f t="array" ref="AD113">IF(U113="",0,_xlfn.XLOOKUP(E113&amp;U113&amp;F113,tab_act&amp;tab_mod&amp;tab_act1,tab_Psup)*V113*T113/MGMT)</f>
        <v>0</v>
      </c>
      <c r="AE113" s="133" cm="1">
        <f t="array" ref="AE113">IF(U113="",0,_xlfn.XLOOKUP(E113&amp;U113&amp;F113,tab_act&amp;tab_mod&amp;tab_act1,tab_csb1)*V113*T113/MGMT)</f>
        <v>0</v>
      </c>
      <c r="AF113" s="133" cm="1">
        <f t="array" ref="AF113">IF(U113="",0,_xlfn.XLOOKUP(E113&amp;U113&amp;F113,tab_act&amp;tab_mod&amp;tab_act1,tab_csb2)*V113*T113/MGMT)</f>
        <v>0</v>
      </c>
      <c r="AG113" s="133" cm="1">
        <f t="array" ref="AG113">IF(U113="",0,_xlfn.XLOOKUP(E113&amp;U113&amp;F113,tab_act&amp;tab_mod&amp;tab_act1,tab_pdoz)*V113*T113/MGMT)</f>
        <v>0.13035000000000002</v>
      </c>
      <c r="AH113" s="133" cm="1">
        <f t="array" ref="AH113">IFERROR(IF(U113="",0,_xlfn.XLOOKUP(E113&amp;U113&amp;F113,tab_act&amp;tab_mod&amp;tab_act1,tab_lns)*V113*T113/MGMT),"")</f>
        <v>0</v>
      </c>
      <c r="AI113" s="47">
        <f t="shared" si="11"/>
        <v>0.13035000000000002</v>
      </c>
      <c r="AJ113" s="48">
        <f t="shared" si="16"/>
        <v>0</v>
      </c>
      <c r="AK113" s="49" cm="1">
        <f t="array" ref="AK113">IF(U113="",0,_xlfn.XLOOKUP(E113&amp;U113&amp;F113,tab_act&amp;tab_mod&amp;tab_act1,tab_cash)*V113*T113)</f>
        <v>0</v>
      </c>
      <c r="AN113" s="140" t="str">
        <f t="shared" si="13"/>
        <v>A</v>
      </c>
    </row>
    <row r="114" spans="2:40" x14ac:dyDescent="0.35">
      <c r="B114" s="50" t="s">
        <v>129</v>
      </c>
      <c r="C114" s="44">
        <v>2023</v>
      </c>
      <c r="D114" s="44" t="s">
        <v>100</v>
      </c>
      <c r="E114" s="15" t="s">
        <v>39</v>
      </c>
      <c r="F114" s="143" t="s">
        <v>22</v>
      </c>
      <c r="G114" s="15" t="s">
        <v>159</v>
      </c>
      <c r="H114" s="44"/>
      <c r="I114" s="15" t="s">
        <v>94</v>
      </c>
      <c r="J114" s="15" t="s">
        <v>94</v>
      </c>
      <c r="K114" s="15" t="s">
        <v>160</v>
      </c>
      <c r="L114" s="15" t="s">
        <v>95</v>
      </c>
      <c r="M114" s="15" t="s">
        <v>94</v>
      </c>
      <c r="N114" s="15" t="s">
        <v>67</v>
      </c>
      <c r="O114" s="15" t="s">
        <v>182</v>
      </c>
      <c r="P114" s="43" t="s">
        <v>193</v>
      </c>
      <c r="Q114" s="42">
        <v>71.5</v>
      </c>
      <c r="R114" s="42">
        <v>108.9</v>
      </c>
      <c r="S114" s="42">
        <f t="shared" si="14"/>
        <v>180.4</v>
      </c>
      <c r="T114" s="43">
        <f t="shared" si="15"/>
        <v>180.4</v>
      </c>
      <c r="U114" s="15" t="s">
        <v>41</v>
      </c>
      <c r="V114" s="150">
        <v>30</v>
      </c>
      <c r="W114" s="133" cm="1">
        <f t="array" ref="W114">IF(U114="",0,_xlfn.XLOOKUP(E114&amp;U114&amp;F114,tab_act&amp;tab_mod&amp;tab_act1,tab_riz)*V114*T114/MGMT)</f>
        <v>0</v>
      </c>
      <c r="X114" s="43" cm="1">
        <f t="array" ref="X114">IF(U114="",0,_xlfn.XLOOKUP(E114&amp;U114&amp;F114,tab_act&amp;tab_mod&amp;tab_act1,tab_mc)*V114*T114/MGMT)</f>
        <v>0</v>
      </c>
      <c r="Y114" s="43" cm="1">
        <f t="array" ref="Y114">IF(U114="",0,_xlfn.XLOOKUP(E114&amp;U114&amp;F114,tab_act&amp;tab_mod&amp;tab_act1,tab_sor)*V114*T114/MGMT)</f>
        <v>0</v>
      </c>
      <c r="Z114" s="43" cm="1">
        <f t="array" ref="Z114">IF(U114="",0,_xlfn.XLOOKUP(E114&amp;U114&amp;F114,tab_act&amp;tab_mod&amp;tab_act1,tab_mg)*V114*T114/MGMT)</f>
        <v>0</v>
      </c>
      <c r="AA114" s="133" cm="1">
        <f t="array" ref="AA114">IF(U114="",0,IF(U114="hybrid-Sch",_xlfn.XLOOKUP(E114&amp;U114&amp;F114,tab_act&amp;tab_mod&amp;tab_act1,tab_ls)*SchLS*T114/MGMT,_xlfn.XLOOKUP(E114&amp;U114&amp;F114,tab_act&amp;tab_mod&amp;tab_act1,tab_ls)*V114*T114/MGMT))</f>
        <v>0</v>
      </c>
      <c r="AB114" s="133" cm="1">
        <f t="array" ref="AB114">IF(U114="",0,_xlfn.XLOOKUP(E114&amp;U114&amp;F114,tab_act&amp;tab_mod&amp;tab_act1,tab_hu)*V114*T114/MGMT)</f>
        <v>0</v>
      </c>
      <c r="AC114" s="133" cm="1">
        <f t="array" ref="AC114">IF(U114="",0,_xlfn.XLOOKUP(E114&amp;U114&amp;F114,tab_act&amp;tab_mod&amp;tab_act1,tab_mnp)*V114*T114/MGMT)</f>
        <v>0</v>
      </c>
      <c r="AD114" s="133" cm="1">
        <f t="array" ref="AD114">IF(U114="",0,_xlfn.XLOOKUP(E114&amp;U114&amp;F114,tab_act&amp;tab_mod&amp;tab_act1,tab_Psup)*V114*T114/MGMT)</f>
        <v>0</v>
      </c>
      <c r="AE114" s="133" cm="1">
        <f t="array" ref="AE114">IF(U114="",0,_xlfn.XLOOKUP(E114&amp;U114&amp;F114,tab_act&amp;tab_mod&amp;tab_act1,tab_csb1)*V114*T114/MGMT)</f>
        <v>0</v>
      </c>
      <c r="AF114" s="133" cm="1">
        <f t="array" ref="AF114">IF(U114="",0,_xlfn.XLOOKUP(E114&amp;U114&amp;F114,tab_act&amp;tab_mod&amp;tab_act1,tab_csb2)*V114*T114/MGMT)</f>
        <v>0</v>
      </c>
      <c r="AG114" s="133" cm="1">
        <f t="array" ref="AG114">IF(U114="",0,_xlfn.XLOOKUP(E114&amp;U114&amp;F114,tab_act&amp;tab_mod&amp;tab_act1,tab_pdoz)*V114*T114/MGMT)</f>
        <v>0.27060000000000001</v>
      </c>
      <c r="AH114" s="133" cm="1">
        <f t="array" ref="AH114">IFERROR(IF(U114="",0,_xlfn.XLOOKUP(E114&amp;U114&amp;F114,tab_act&amp;tab_mod&amp;tab_act1,tab_lns)*V114*T114/MGMT),"")</f>
        <v>0</v>
      </c>
      <c r="AI114" s="47">
        <f t="shared" si="11"/>
        <v>0.27060000000000001</v>
      </c>
      <c r="AJ114" s="48">
        <f t="shared" si="16"/>
        <v>0</v>
      </c>
      <c r="AK114" s="49" cm="1">
        <f t="array" ref="AK114">IF(U114="",0,_xlfn.XLOOKUP(E114&amp;U114&amp;F114,tab_act&amp;tab_mod&amp;tab_act1,tab_cash)*V114*T114)</f>
        <v>0</v>
      </c>
      <c r="AN114" s="140" t="str">
        <f t="shared" si="13"/>
        <v>A</v>
      </c>
    </row>
    <row r="115" spans="2:40" x14ac:dyDescent="0.35">
      <c r="B115" s="50" t="s">
        <v>129</v>
      </c>
      <c r="C115" s="44">
        <v>2023</v>
      </c>
      <c r="D115" s="44" t="s">
        <v>100</v>
      </c>
      <c r="E115" s="15" t="s">
        <v>39</v>
      </c>
      <c r="F115" s="143" t="s">
        <v>22</v>
      </c>
      <c r="G115" s="15" t="s">
        <v>159</v>
      </c>
      <c r="H115" s="44"/>
      <c r="I115" s="15" t="s">
        <v>94</v>
      </c>
      <c r="J115" s="15" t="s">
        <v>94</v>
      </c>
      <c r="K115" s="15" t="s">
        <v>160</v>
      </c>
      <c r="L115" s="15" t="s">
        <v>95</v>
      </c>
      <c r="M115" s="15" t="s">
        <v>94</v>
      </c>
      <c r="N115" s="15" t="s">
        <v>67</v>
      </c>
      <c r="O115" s="15" t="s">
        <v>182</v>
      </c>
      <c r="P115" s="43" t="s">
        <v>194</v>
      </c>
      <c r="Q115" s="42">
        <v>95.7</v>
      </c>
      <c r="R115" s="42">
        <v>107.8</v>
      </c>
      <c r="S115" s="42">
        <f t="shared" si="14"/>
        <v>203.5</v>
      </c>
      <c r="T115" s="43">
        <f t="shared" si="15"/>
        <v>203.5</v>
      </c>
      <c r="U115" s="15" t="s">
        <v>41</v>
      </c>
      <c r="V115" s="150">
        <v>30</v>
      </c>
      <c r="W115" s="133" cm="1">
        <f t="array" ref="W115">IF(U115="",0,_xlfn.XLOOKUP(E115&amp;U115&amp;F115,tab_act&amp;tab_mod&amp;tab_act1,tab_riz)*V115*T115/MGMT)</f>
        <v>0</v>
      </c>
      <c r="X115" s="43" cm="1">
        <f t="array" ref="X115">IF(U115="",0,_xlfn.XLOOKUP(E115&amp;U115&amp;F115,tab_act&amp;tab_mod&amp;tab_act1,tab_mc)*V115*T115/MGMT)</f>
        <v>0</v>
      </c>
      <c r="Y115" s="43" cm="1">
        <f t="array" ref="Y115">IF(U115="",0,_xlfn.XLOOKUP(E115&amp;U115&amp;F115,tab_act&amp;tab_mod&amp;tab_act1,tab_sor)*V115*T115/MGMT)</f>
        <v>0</v>
      </c>
      <c r="Z115" s="43" cm="1">
        <f t="array" ref="Z115">IF(U115="",0,_xlfn.XLOOKUP(E115&amp;U115&amp;F115,tab_act&amp;tab_mod&amp;tab_act1,tab_mg)*V115*T115/MGMT)</f>
        <v>0</v>
      </c>
      <c r="AA115" s="133" cm="1">
        <f t="array" ref="AA115">IF(U115="",0,IF(U115="hybrid-Sch",_xlfn.XLOOKUP(E115&amp;U115&amp;F115,tab_act&amp;tab_mod&amp;tab_act1,tab_ls)*SchLS*T115/MGMT,_xlfn.XLOOKUP(E115&amp;U115&amp;F115,tab_act&amp;tab_mod&amp;tab_act1,tab_ls)*V115*T115/MGMT))</f>
        <v>0</v>
      </c>
      <c r="AB115" s="133" cm="1">
        <f t="array" ref="AB115">IF(U115="",0,_xlfn.XLOOKUP(E115&amp;U115&amp;F115,tab_act&amp;tab_mod&amp;tab_act1,tab_hu)*V115*T115/MGMT)</f>
        <v>0</v>
      </c>
      <c r="AC115" s="133" cm="1">
        <f t="array" ref="AC115">IF(U115="",0,_xlfn.XLOOKUP(E115&amp;U115&amp;F115,tab_act&amp;tab_mod&amp;tab_act1,tab_mnp)*V115*T115/MGMT)</f>
        <v>0</v>
      </c>
      <c r="AD115" s="133" cm="1">
        <f t="array" ref="AD115">IF(U115="",0,_xlfn.XLOOKUP(E115&amp;U115&amp;F115,tab_act&amp;tab_mod&amp;tab_act1,tab_Psup)*V115*T115/MGMT)</f>
        <v>0</v>
      </c>
      <c r="AE115" s="133" cm="1">
        <f t="array" ref="AE115">IF(U115="",0,_xlfn.XLOOKUP(E115&amp;U115&amp;F115,tab_act&amp;tab_mod&amp;tab_act1,tab_csb1)*V115*T115/MGMT)</f>
        <v>0</v>
      </c>
      <c r="AF115" s="133" cm="1">
        <f t="array" ref="AF115">IF(U115="",0,_xlfn.XLOOKUP(E115&amp;U115&amp;F115,tab_act&amp;tab_mod&amp;tab_act1,tab_csb2)*V115*T115/MGMT)</f>
        <v>0</v>
      </c>
      <c r="AG115" s="133" cm="1">
        <f t="array" ref="AG115">IF(U115="",0,_xlfn.XLOOKUP(E115&amp;U115&amp;F115,tab_act&amp;tab_mod&amp;tab_act1,tab_pdoz)*V115*T115/MGMT)</f>
        <v>0.30525000000000002</v>
      </c>
      <c r="AH115" s="133" cm="1">
        <f t="array" ref="AH115">IFERROR(IF(U115="",0,_xlfn.XLOOKUP(E115&amp;U115&amp;F115,tab_act&amp;tab_mod&amp;tab_act1,tab_lns)*V115*T115/MGMT),"")</f>
        <v>0</v>
      </c>
      <c r="AI115" s="47">
        <f t="shared" si="11"/>
        <v>0.30525000000000002</v>
      </c>
      <c r="AJ115" s="48">
        <f t="shared" si="16"/>
        <v>0</v>
      </c>
      <c r="AK115" s="49" cm="1">
        <f t="array" ref="AK115">IF(U115="",0,_xlfn.XLOOKUP(E115&amp;U115&amp;F115,tab_act&amp;tab_mod&amp;tab_act1,tab_cash)*V115*T115)</f>
        <v>0</v>
      </c>
      <c r="AN115" s="140" t="str">
        <f t="shared" si="13"/>
        <v>A</v>
      </c>
    </row>
    <row r="116" spans="2:40" x14ac:dyDescent="0.35">
      <c r="B116" s="50" t="s">
        <v>129</v>
      </c>
      <c r="C116" s="44">
        <v>2023</v>
      </c>
      <c r="D116" s="44" t="s">
        <v>100</v>
      </c>
      <c r="E116" s="15" t="s">
        <v>39</v>
      </c>
      <c r="F116" s="143" t="s">
        <v>22</v>
      </c>
      <c r="G116" s="15" t="s">
        <v>159</v>
      </c>
      <c r="H116" s="44"/>
      <c r="I116" s="15" t="s">
        <v>94</v>
      </c>
      <c r="J116" s="15" t="s">
        <v>94</v>
      </c>
      <c r="K116" s="15" t="s">
        <v>160</v>
      </c>
      <c r="L116" s="15" t="s">
        <v>95</v>
      </c>
      <c r="M116" s="15" t="s">
        <v>94</v>
      </c>
      <c r="N116" s="15" t="s">
        <v>67</v>
      </c>
      <c r="O116" s="15" t="s">
        <v>182</v>
      </c>
      <c r="P116" s="15" t="s">
        <v>195</v>
      </c>
      <c r="Q116" s="42">
        <v>71.5</v>
      </c>
      <c r="R116" s="42">
        <v>71.5</v>
      </c>
      <c r="S116" s="135">
        <f t="shared" si="14"/>
        <v>143</v>
      </c>
      <c r="T116" s="15">
        <f t="shared" si="15"/>
        <v>143</v>
      </c>
      <c r="U116" s="15" t="s">
        <v>41</v>
      </c>
      <c r="V116" s="150">
        <v>30</v>
      </c>
      <c r="W116" s="133" cm="1">
        <f t="array" ref="W116">IF(U116="",0,_xlfn.XLOOKUP(E116&amp;U116&amp;F116,tab_act&amp;tab_mod&amp;tab_act1,tab_riz)*V116*T116/MGMT)</f>
        <v>0</v>
      </c>
      <c r="X116" s="43" cm="1">
        <f t="array" ref="X116">IF(U116="",0,_xlfn.XLOOKUP(E116&amp;U116&amp;F116,tab_act&amp;tab_mod&amp;tab_act1,tab_mc)*V116*T116/MGMT)</f>
        <v>0</v>
      </c>
      <c r="Y116" s="43" cm="1">
        <f t="array" ref="Y116">IF(U116="",0,_xlfn.XLOOKUP(E116&amp;U116&amp;F116,tab_act&amp;tab_mod&amp;tab_act1,tab_sor)*V116*T116/MGMT)</f>
        <v>0</v>
      </c>
      <c r="Z116" s="43" cm="1">
        <f t="array" ref="Z116">IF(U116="",0,_xlfn.XLOOKUP(E116&amp;U116&amp;F116,tab_act&amp;tab_mod&amp;tab_act1,tab_mg)*V116*T116/MGMT)</f>
        <v>0</v>
      </c>
      <c r="AA116" s="133" cm="1">
        <f t="array" ref="AA116">IF(U116="",0,IF(U116="hybrid-Sch",_xlfn.XLOOKUP(E116&amp;U116&amp;F116,tab_act&amp;tab_mod&amp;tab_act1,tab_ls)*SchLS*T116/MGMT,_xlfn.XLOOKUP(E116&amp;U116&amp;F116,tab_act&amp;tab_mod&amp;tab_act1,tab_ls)*V116*T116/MGMT))</f>
        <v>0</v>
      </c>
      <c r="AB116" s="133" cm="1">
        <f t="array" ref="AB116">IF(U116="",0,_xlfn.XLOOKUP(E116&amp;U116&amp;F116,tab_act&amp;tab_mod&amp;tab_act1,tab_hu)*V116*T116/MGMT)</f>
        <v>0</v>
      </c>
      <c r="AC116" s="133" cm="1">
        <f t="array" ref="AC116">IF(U116="",0,_xlfn.XLOOKUP(E116&amp;U116&amp;F116,tab_act&amp;tab_mod&amp;tab_act1,tab_mnp)*V116*T116/MGMT)</f>
        <v>0</v>
      </c>
      <c r="AD116" s="133" cm="1">
        <f t="array" ref="AD116">IF(U116="",0,_xlfn.XLOOKUP(E116&amp;U116&amp;F116,tab_act&amp;tab_mod&amp;tab_act1,tab_Psup)*V116*T116/MGMT)</f>
        <v>0</v>
      </c>
      <c r="AE116" s="133" cm="1">
        <f t="array" ref="AE116">IF(U116="",0,_xlfn.XLOOKUP(E116&amp;U116&amp;F116,tab_act&amp;tab_mod&amp;tab_act1,tab_csb1)*V116*T116/MGMT)</f>
        <v>0</v>
      </c>
      <c r="AF116" s="133" cm="1">
        <f t="array" ref="AF116">IF(U116="",0,_xlfn.XLOOKUP(E116&amp;U116&amp;F116,tab_act&amp;tab_mod&amp;tab_act1,tab_csb2)*V116*T116/MGMT)</f>
        <v>0</v>
      </c>
      <c r="AG116" s="133" cm="1">
        <f t="array" ref="AG116">IF(U116="",0,_xlfn.XLOOKUP(E116&amp;U116&amp;F116,tab_act&amp;tab_mod&amp;tab_act1,tab_pdoz)*V116*T116/MGMT)</f>
        <v>0.2145</v>
      </c>
      <c r="AH116" s="133" cm="1">
        <f t="array" ref="AH116">IFERROR(IF(U116="",0,_xlfn.XLOOKUP(E116&amp;U116&amp;F116,tab_act&amp;tab_mod&amp;tab_act1,tab_lns)*V116*T116/MGMT),"")</f>
        <v>0</v>
      </c>
      <c r="AI116" s="47">
        <f t="shared" si="11"/>
        <v>0.2145</v>
      </c>
      <c r="AJ116" s="48">
        <f t="shared" si="16"/>
        <v>0</v>
      </c>
      <c r="AK116" s="49" cm="1">
        <f t="array" ref="AK116">IF(U116="",0,_xlfn.XLOOKUP(E116&amp;U116&amp;F116,tab_act&amp;tab_mod&amp;tab_act1,tab_cash)*V116*T116)</f>
        <v>0</v>
      </c>
      <c r="AN116" s="140" t="str">
        <f t="shared" si="13"/>
        <v>A</v>
      </c>
    </row>
    <row r="117" spans="2:40" x14ac:dyDescent="0.35">
      <c r="B117" s="50" t="s">
        <v>129</v>
      </c>
      <c r="C117" s="44">
        <v>2023</v>
      </c>
      <c r="D117" s="44" t="s">
        <v>100</v>
      </c>
      <c r="E117" s="15" t="s">
        <v>39</v>
      </c>
      <c r="F117" s="143" t="s">
        <v>22</v>
      </c>
      <c r="G117" s="15" t="s">
        <v>159</v>
      </c>
      <c r="H117" s="44"/>
      <c r="I117" s="15" t="s">
        <v>94</v>
      </c>
      <c r="J117" s="15" t="s">
        <v>94</v>
      </c>
      <c r="K117" s="15" t="s">
        <v>160</v>
      </c>
      <c r="L117" s="15" t="s">
        <v>95</v>
      </c>
      <c r="M117" s="15" t="s">
        <v>94</v>
      </c>
      <c r="N117" s="15" t="s">
        <v>67</v>
      </c>
      <c r="O117" s="15" t="s">
        <v>182</v>
      </c>
      <c r="P117" s="15" t="s">
        <v>196</v>
      </c>
      <c r="Q117" s="42">
        <v>165</v>
      </c>
      <c r="R117" s="42">
        <v>211.2</v>
      </c>
      <c r="S117" s="42">
        <f t="shared" si="14"/>
        <v>376.2</v>
      </c>
      <c r="T117" s="43">
        <f t="shared" si="15"/>
        <v>376.2</v>
      </c>
      <c r="U117" s="15" t="s">
        <v>41</v>
      </c>
      <c r="V117" s="150">
        <v>30</v>
      </c>
      <c r="W117" s="133" cm="1">
        <f t="array" ref="W117">IF(U117="",0,_xlfn.XLOOKUP(E117&amp;U117&amp;F117,tab_act&amp;tab_mod&amp;tab_act1,tab_riz)*V117*T117/MGMT)</f>
        <v>0</v>
      </c>
      <c r="X117" s="43" cm="1">
        <f t="array" ref="X117">IF(U117="",0,_xlfn.XLOOKUP(E117&amp;U117&amp;F117,tab_act&amp;tab_mod&amp;tab_act1,tab_mc)*V117*T117/MGMT)</f>
        <v>0</v>
      </c>
      <c r="Y117" s="43" cm="1">
        <f t="array" ref="Y117">IF(U117="",0,_xlfn.XLOOKUP(E117&amp;U117&amp;F117,tab_act&amp;tab_mod&amp;tab_act1,tab_sor)*V117*T117/MGMT)</f>
        <v>0</v>
      </c>
      <c r="Z117" s="43" cm="1">
        <f t="array" ref="Z117">IF(U117="",0,_xlfn.XLOOKUP(E117&amp;U117&amp;F117,tab_act&amp;tab_mod&amp;tab_act1,tab_mg)*V117*T117/MGMT)</f>
        <v>0</v>
      </c>
      <c r="AA117" s="133" cm="1">
        <f t="array" ref="AA117">IF(U117="",0,IF(U117="hybrid-Sch",_xlfn.XLOOKUP(E117&amp;U117&amp;F117,tab_act&amp;tab_mod&amp;tab_act1,tab_ls)*SchLS*T117/MGMT,_xlfn.XLOOKUP(E117&amp;U117&amp;F117,tab_act&amp;tab_mod&amp;tab_act1,tab_ls)*V117*T117/MGMT))</f>
        <v>0</v>
      </c>
      <c r="AB117" s="133" cm="1">
        <f t="array" ref="AB117">IF(U117="",0,_xlfn.XLOOKUP(E117&amp;U117&amp;F117,tab_act&amp;tab_mod&amp;tab_act1,tab_hu)*V117*T117/MGMT)</f>
        <v>0</v>
      </c>
      <c r="AC117" s="133" cm="1">
        <f t="array" ref="AC117">IF(U117="",0,_xlfn.XLOOKUP(E117&amp;U117&amp;F117,tab_act&amp;tab_mod&amp;tab_act1,tab_mnp)*V117*T117/MGMT)</f>
        <v>0</v>
      </c>
      <c r="AD117" s="133" cm="1">
        <f t="array" ref="AD117">IF(U117="",0,_xlfn.XLOOKUP(E117&amp;U117&amp;F117,tab_act&amp;tab_mod&amp;tab_act1,tab_Psup)*V117*T117/MGMT)</f>
        <v>0</v>
      </c>
      <c r="AE117" s="133" cm="1">
        <f t="array" ref="AE117">IF(U117="",0,_xlfn.XLOOKUP(E117&amp;U117&amp;F117,tab_act&amp;tab_mod&amp;tab_act1,tab_csb1)*V117*T117/MGMT)</f>
        <v>0</v>
      </c>
      <c r="AF117" s="133" cm="1">
        <f t="array" ref="AF117">IF(U117="",0,_xlfn.XLOOKUP(E117&amp;U117&amp;F117,tab_act&amp;tab_mod&amp;tab_act1,tab_csb2)*V117*T117/MGMT)</f>
        <v>0</v>
      </c>
      <c r="AG117" s="133" cm="1">
        <f t="array" ref="AG117">IF(U117="",0,_xlfn.XLOOKUP(E117&amp;U117&amp;F117,tab_act&amp;tab_mod&amp;tab_act1,tab_pdoz)*V117*T117/MGMT)</f>
        <v>0.56430000000000002</v>
      </c>
      <c r="AH117" s="133" cm="1">
        <f t="array" ref="AH117">IFERROR(IF(U117="",0,_xlfn.XLOOKUP(E117&amp;U117&amp;F117,tab_act&amp;tab_mod&amp;tab_act1,tab_lns)*V117*T117/MGMT),"")</f>
        <v>0</v>
      </c>
      <c r="AI117" s="47">
        <f t="shared" si="11"/>
        <v>0.56430000000000002</v>
      </c>
      <c r="AJ117" s="48">
        <f t="shared" si="16"/>
        <v>0</v>
      </c>
      <c r="AK117" s="49" cm="1">
        <f t="array" ref="AK117">IF(U117="",0,_xlfn.XLOOKUP(E117&amp;U117&amp;F117,tab_act&amp;tab_mod&amp;tab_act1,tab_cash)*V117*T117)</f>
        <v>0</v>
      </c>
      <c r="AN117" s="140" t="str">
        <f t="shared" si="13"/>
        <v>A</v>
      </c>
    </row>
    <row r="118" spans="2:40" x14ac:dyDescent="0.35">
      <c r="B118" s="50" t="s">
        <v>129</v>
      </c>
      <c r="C118" s="44">
        <v>2023</v>
      </c>
      <c r="D118" s="44" t="s">
        <v>100</v>
      </c>
      <c r="E118" s="15" t="s">
        <v>39</v>
      </c>
      <c r="F118" s="143" t="s">
        <v>22</v>
      </c>
      <c r="G118" s="15" t="s">
        <v>159</v>
      </c>
      <c r="H118" s="44"/>
      <c r="I118" s="15" t="s">
        <v>94</v>
      </c>
      <c r="J118" s="15" t="s">
        <v>94</v>
      </c>
      <c r="K118" s="15" t="s">
        <v>160</v>
      </c>
      <c r="L118" s="15" t="s">
        <v>95</v>
      </c>
      <c r="M118" s="15" t="s">
        <v>94</v>
      </c>
      <c r="N118" s="15" t="s">
        <v>67</v>
      </c>
      <c r="O118" s="15" t="s">
        <v>182</v>
      </c>
      <c r="P118" s="15" t="s">
        <v>197</v>
      </c>
      <c r="Q118" s="42">
        <v>61.6</v>
      </c>
      <c r="R118" s="42">
        <v>73.7</v>
      </c>
      <c r="S118" s="42">
        <f t="shared" si="14"/>
        <v>135.30000000000001</v>
      </c>
      <c r="T118" s="43">
        <f t="shared" si="15"/>
        <v>135.30000000000001</v>
      </c>
      <c r="U118" s="15" t="s">
        <v>41</v>
      </c>
      <c r="V118" s="150">
        <v>30</v>
      </c>
      <c r="W118" s="133" cm="1">
        <f t="array" ref="W118">IF(U118="",0,_xlfn.XLOOKUP(E118&amp;U118&amp;F118,tab_act&amp;tab_mod&amp;tab_act1,tab_riz)*V118*T118/MGMT)</f>
        <v>0</v>
      </c>
      <c r="X118" s="43" cm="1">
        <f t="array" ref="X118">IF(U118="",0,_xlfn.XLOOKUP(E118&amp;U118&amp;F118,tab_act&amp;tab_mod&amp;tab_act1,tab_mc)*V118*T118/MGMT)</f>
        <v>0</v>
      </c>
      <c r="Y118" s="43" cm="1">
        <f t="array" ref="Y118">IF(U118="",0,_xlfn.XLOOKUP(E118&amp;U118&amp;F118,tab_act&amp;tab_mod&amp;tab_act1,tab_sor)*V118*T118/MGMT)</f>
        <v>0</v>
      </c>
      <c r="Z118" s="43" cm="1">
        <f t="array" ref="Z118">IF(U118="",0,_xlfn.XLOOKUP(E118&amp;U118&amp;F118,tab_act&amp;tab_mod&amp;tab_act1,tab_mg)*V118*T118/MGMT)</f>
        <v>0</v>
      </c>
      <c r="AA118" s="133" cm="1">
        <f t="array" ref="AA118">IF(U118="",0,IF(U118="hybrid-Sch",_xlfn.XLOOKUP(E118&amp;U118&amp;F118,tab_act&amp;tab_mod&amp;tab_act1,tab_ls)*SchLS*T118/MGMT,_xlfn.XLOOKUP(E118&amp;U118&amp;F118,tab_act&amp;tab_mod&amp;tab_act1,tab_ls)*V118*T118/MGMT))</f>
        <v>0</v>
      </c>
      <c r="AB118" s="133" cm="1">
        <f t="array" ref="AB118">IF(U118="",0,_xlfn.XLOOKUP(E118&amp;U118&amp;F118,tab_act&amp;tab_mod&amp;tab_act1,tab_hu)*V118*T118/MGMT)</f>
        <v>0</v>
      </c>
      <c r="AC118" s="133" cm="1">
        <f t="array" ref="AC118">IF(U118="",0,_xlfn.XLOOKUP(E118&amp;U118&amp;F118,tab_act&amp;tab_mod&amp;tab_act1,tab_mnp)*V118*T118/MGMT)</f>
        <v>0</v>
      </c>
      <c r="AD118" s="133" cm="1">
        <f t="array" ref="AD118">IF(U118="",0,_xlfn.XLOOKUP(E118&amp;U118&amp;F118,tab_act&amp;tab_mod&amp;tab_act1,tab_Psup)*V118*T118/MGMT)</f>
        <v>0</v>
      </c>
      <c r="AE118" s="133" cm="1">
        <f t="array" ref="AE118">IF(U118="",0,_xlfn.XLOOKUP(E118&amp;U118&amp;F118,tab_act&amp;tab_mod&amp;tab_act1,tab_csb1)*V118*T118/MGMT)</f>
        <v>0</v>
      </c>
      <c r="AF118" s="133" cm="1">
        <f t="array" ref="AF118">IF(U118="",0,_xlfn.XLOOKUP(E118&amp;U118&amp;F118,tab_act&amp;tab_mod&amp;tab_act1,tab_csb2)*V118*T118/MGMT)</f>
        <v>0</v>
      </c>
      <c r="AG118" s="133" cm="1">
        <f t="array" ref="AG118">IF(U118="",0,_xlfn.XLOOKUP(E118&amp;U118&amp;F118,tab_act&amp;tab_mod&amp;tab_act1,tab_pdoz)*V118*T118/MGMT)</f>
        <v>0.20295000000000002</v>
      </c>
      <c r="AH118" s="133" cm="1">
        <f t="array" ref="AH118">IFERROR(IF(U118="",0,_xlfn.XLOOKUP(E118&amp;U118&amp;F118,tab_act&amp;tab_mod&amp;tab_act1,tab_lns)*V118*T118/MGMT),"")</f>
        <v>0</v>
      </c>
      <c r="AI118" s="47">
        <f t="shared" si="11"/>
        <v>0.20295000000000002</v>
      </c>
      <c r="AJ118" s="48">
        <f t="shared" si="16"/>
        <v>0</v>
      </c>
      <c r="AK118" s="49" cm="1">
        <f t="array" ref="AK118">IF(U118="",0,_xlfn.XLOOKUP(E118&amp;U118&amp;F118,tab_act&amp;tab_mod&amp;tab_act1,tab_cash)*V118*T118)</f>
        <v>0</v>
      </c>
      <c r="AN118" s="140" t="str">
        <f t="shared" si="13"/>
        <v>A</v>
      </c>
    </row>
    <row r="119" spans="2:40" x14ac:dyDescent="0.35">
      <c r="B119" s="50" t="s">
        <v>129</v>
      </c>
      <c r="C119" s="44">
        <v>2023</v>
      </c>
      <c r="D119" s="44" t="s">
        <v>100</v>
      </c>
      <c r="E119" s="15" t="s">
        <v>39</v>
      </c>
      <c r="F119" s="143" t="s">
        <v>22</v>
      </c>
      <c r="G119" s="15" t="s">
        <v>159</v>
      </c>
      <c r="H119" s="44"/>
      <c r="I119" s="15" t="s">
        <v>94</v>
      </c>
      <c r="J119" s="15" t="s">
        <v>94</v>
      </c>
      <c r="K119" s="15" t="s">
        <v>160</v>
      </c>
      <c r="L119" s="15" t="s">
        <v>95</v>
      </c>
      <c r="M119" s="15" t="s">
        <v>94</v>
      </c>
      <c r="N119" s="15" t="s">
        <v>67</v>
      </c>
      <c r="O119" s="15" t="s">
        <v>182</v>
      </c>
      <c r="P119" s="15" t="s">
        <v>198</v>
      </c>
      <c r="Q119" s="42">
        <v>163.9</v>
      </c>
      <c r="R119" s="42">
        <v>146.30000000000001</v>
      </c>
      <c r="S119" s="42">
        <f t="shared" si="14"/>
        <v>310.20000000000005</v>
      </c>
      <c r="T119" s="43">
        <f t="shared" si="15"/>
        <v>310.20000000000005</v>
      </c>
      <c r="U119" s="15" t="s">
        <v>41</v>
      </c>
      <c r="V119" s="150">
        <v>30</v>
      </c>
      <c r="W119" s="133" cm="1">
        <f t="array" ref="W119">IF(U119="",0,_xlfn.XLOOKUP(E119&amp;U119&amp;F119,tab_act&amp;tab_mod&amp;tab_act1,tab_riz)*V119*T119/MGMT)</f>
        <v>0</v>
      </c>
      <c r="X119" s="43" cm="1">
        <f t="array" ref="X119">IF(U119="",0,_xlfn.XLOOKUP(E119&amp;U119&amp;F119,tab_act&amp;tab_mod&amp;tab_act1,tab_mc)*V119*T119/MGMT)</f>
        <v>0</v>
      </c>
      <c r="Y119" s="43" cm="1">
        <f t="array" ref="Y119">IF(U119="",0,_xlfn.XLOOKUP(E119&amp;U119&amp;F119,tab_act&amp;tab_mod&amp;tab_act1,tab_sor)*V119*T119/MGMT)</f>
        <v>0</v>
      </c>
      <c r="Z119" s="43" cm="1">
        <f t="array" ref="Z119">IF(U119="",0,_xlfn.XLOOKUP(E119&amp;U119&amp;F119,tab_act&amp;tab_mod&amp;tab_act1,tab_mg)*V119*T119/MGMT)</f>
        <v>0</v>
      </c>
      <c r="AA119" s="133" cm="1">
        <f t="array" ref="AA119">IF(U119="",0,IF(U119="hybrid-Sch",_xlfn.XLOOKUP(E119&amp;U119&amp;F119,tab_act&amp;tab_mod&amp;tab_act1,tab_ls)*SchLS*T119/MGMT,_xlfn.XLOOKUP(E119&amp;U119&amp;F119,tab_act&amp;tab_mod&amp;tab_act1,tab_ls)*V119*T119/MGMT))</f>
        <v>0</v>
      </c>
      <c r="AB119" s="133" cm="1">
        <f t="array" ref="AB119">IF(U119="",0,_xlfn.XLOOKUP(E119&amp;U119&amp;F119,tab_act&amp;tab_mod&amp;tab_act1,tab_hu)*V119*T119/MGMT)</f>
        <v>0</v>
      </c>
      <c r="AC119" s="133" cm="1">
        <f t="array" ref="AC119">IF(U119="",0,_xlfn.XLOOKUP(E119&amp;U119&amp;F119,tab_act&amp;tab_mod&amp;tab_act1,tab_mnp)*V119*T119/MGMT)</f>
        <v>0</v>
      </c>
      <c r="AD119" s="133" cm="1">
        <f t="array" ref="AD119">IF(U119="",0,_xlfn.XLOOKUP(E119&amp;U119&amp;F119,tab_act&amp;tab_mod&amp;tab_act1,tab_Psup)*V119*T119/MGMT)</f>
        <v>0</v>
      </c>
      <c r="AE119" s="133" cm="1">
        <f t="array" ref="AE119">IF(U119="",0,_xlfn.XLOOKUP(E119&amp;U119&amp;F119,tab_act&amp;tab_mod&amp;tab_act1,tab_csb1)*V119*T119/MGMT)</f>
        <v>0</v>
      </c>
      <c r="AF119" s="133" cm="1">
        <f t="array" ref="AF119">IF(U119="",0,_xlfn.XLOOKUP(E119&amp;U119&amp;F119,tab_act&amp;tab_mod&amp;tab_act1,tab_csb2)*V119*T119/MGMT)</f>
        <v>0</v>
      </c>
      <c r="AG119" s="133" cm="1">
        <f t="array" ref="AG119">IF(U119="",0,_xlfn.XLOOKUP(E119&amp;U119&amp;F119,tab_act&amp;tab_mod&amp;tab_act1,tab_pdoz)*V119*T119/MGMT)</f>
        <v>0.46530000000000005</v>
      </c>
      <c r="AH119" s="133" cm="1">
        <f t="array" ref="AH119">IFERROR(IF(U119="",0,_xlfn.XLOOKUP(E119&amp;U119&amp;F119,tab_act&amp;tab_mod&amp;tab_act1,tab_lns)*V119*T119/MGMT),"")</f>
        <v>0</v>
      </c>
      <c r="AI119" s="47">
        <f t="shared" si="11"/>
        <v>0.46530000000000005</v>
      </c>
      <c r="AJ119" s="48">
        <f t="shared" si="16"/>
        <v>0</v>
      </c>
      <c r="AK119" s="49" cm="1">
        <f t="array" ref="AK119">IF(U119="",0,_xlfn.XLOOKUP(E119&amp;U119&amp;F119,tab_act&amp;tab_mod&amp;tab_act1,tab_cash)*V119*T119)</f>
        <v>0</v>
      </c>
      <c r="AN119" s="140" t="str">
        <f t="shared" si="13"/>
        <v>A</v>
      </c>
    </row>
    <row r="120" spans="2:40" x14ac:dyDescent="0.35">
      <c r="B120" s="50" t="s">
        <v>129</v>
      </c>
      <c r="C120" s="44">
        <v>2023</v>
      </c>
      <c r="D120" s="44" t="s">
        <v>100</v>
      </c>
      <c r="E120" s="15" t="s">
        <v>39</v>
      </c>
      <c r="F120" s="143" t="s">
        <v>22</v>
      </c>
      <c r="G120" s="15" t="s">
        <v>159</v>
      </c>
      <c r="H120" s="44"/>
      <c r="I120" s="15" t="s">
        <v>94</v>
      </c>
      <c r="J120" s="15" t="s">
        <v>94</v>
      </c>
      <c r="K120" s="15" t="s">
        <v>160</v>
      </c>
      <c r="L120" s="15" t="s">
        <v>95</v>
      </c>
      <c r="M120" s="15" t="s">
        <v>94</v>
      </c>
      <c r="N120" s="15" t="s">
        <v>67</v>
      </c>
      <c r="O120" s="15" t="s">
        <v>182</v>
      </c>
      <c r="P120" s="15" t="s">
        <v>199</v>
      </c>
      <c r="Q120" s="42">
        <v>26.4</v>
      </c>
      <c r="R120" s="42">
        <v>25.3</v>
      </c>
      <c r="S120" s="42">
        <f t="shared" si="14"/>
        <v>51.7</v>
      </c>
      <c r="T120" s="43">
        <f t="shared" si="15"/>
        <v>51.7</v>
      </c>
      <c r="U120" s="15" t="s">
        <v>41</v>
      </c>
      <c r="V120" s="150">
        <v>30</v>
      </c>
      <c r="W120" s="133" cm="1">
        <f t="array" ref="W120">IF(U120="",0,_xlfn.XLOOKUP(E120&amp;U120&amp;F120,tab_act&amp;tab_mod&amp;tab_act1,tab_riz)*V120*T120/MGMT)</f>
        <v>0</v>
      </c>
      <c r="X120" s="43" cm="1">
        <f t="array" ref="X120">IF(U120="",0,_xlfn.XLOOKUP(E120&amp;U120&amp;F120,tab_act&amp;tab_mod&amp;tab_act1,tab_mc)*V120*T120/MGMT)</f>
        <v>0</v>
      </c>
      <c r="Y120" s="43" cm="1">
        <f t="array" ref="Y120">IF(U120="",0,_xlfn.XLOOKUP(E120&amp;U120&amp;F120,tab_act&amp;tab_mod&amp;tab_act1,tab_sor)*V120*T120/MGMT)</f>
        <v>0</v>
      </c>
      <c r="Z120" s="43" cm="1">
        <f t="array" ref="Z120">IF(U120="",0,_xlfn.XLOOKUP(E120&amp;U120&amp;F120,tab_act&amp;tab_mod&amp;tab_act1,tab_mg)*V120*T120/MGMT)</f>
        <v>0</v>
      </c>
      <c r="AA120" s="133" cm="1">
        <f t="array" ref="AA120">IF(U120="",0,IF(U120="hybrid-Sch",_xlfn.XLOOKUP(E120&amp;U120&amp;F120,tab_act&amp;tab_mod&amp;tab_act1,tab_ls)*SchLS*T120/MGMT,_xlfn.XLOOKUP(E120&amp;U120&amp;F120,tab_act&amp;tab_mod&amp;tab_act1,tab_ls)*V120*T120/MGMT))</f>
        <v>0</v>
      </c>
      <c r="AB120" s="133" cm="1">
        <f t="array" ref="AB120">IF(U120="",0,_xlfn.XLOOKUP(E120&amp;U120&amp;F120,tab_act&amp;tab_mod&amp;tab_act1,tab_hu)*V120*T120/MGMT)</f>
        <v>0</v>
      </c>
      <c r="AC120" s="133" cm="1">
        <f t="array" ref="AC120">IF(U120="",0,_xlfn.XLOOKUP(E120&amp;U120&amp;F120,tab_act&amp;tab_mod&amp;tab_act1,tab_mnp)*V120*T120/MGMT)</f>
        <v>0</v>
      </c>
      <c r="AD120" s="133" cm="1">
        <f t="array" ref="AD120">IF(U120="",0,_xlfn.XLOOKUP(E120&amp;U120&amp;F120,tab_act&amp;tab_mod&amp;tab_act1,tab_Psup)*V120*T120/MGMT)</f>
        <v>0</v>
      </c>
      <c r="AE120" s="133" cm="1">
        <f t="array" ref="AE120">IF(U120="",0,_xlfn.XLOOKUP(E120&amp;U120&amp;F120,tab_act&amp;tab_mod&amp;tab_act1,tab_csb1)*V120*T120/MGMT)</f>
        <v>0</v>
      </c>
      <c r="AF120" s="133" cm="1">
        <f t="array" ref="AF120">IF(U120="",0,_xlfn.XLOOKUP(E120&amp;U120&amp;F120,tab_act&amp;tab_mod&amp;tab_act1,tab_csb2)*V120*T120/MGMT)</f>
        <v>0</v>
      </c>
      <c r="AG120" s="133" cm="1">
        <f t="array" ref="AG120">IF(U120="",0,_xlfn.XLOOKUP(E120&amp;U120&amp;F120,tab_act&amp;tab_mod&amp;tab_act1,tab_pdoz)*V120*T120/MGMT)</f>
        <v>7.7549999999999994E-2</v>
      </c>
      <c r="AH120" s="133" cm="1">
        <f t="array" ref="AH120">IFERROR(IF(U120="",0,_xlfn.XLOOKUP(E120&amp;U120&amp;F120,tab_act&amp;tab_mod&amp;tab_act1,tab_lns)*V120*T120/MGMT),"")</f>
        <v>0</v>
      </c>
      <c r="AI120" s="47">
        <f t="shared" si="11"/>
        <v>7.7549999999999994E-2</v>
      </c>
      <c r="AJ120" s="48">
        <f t="shared" si="16"/>
        <v>0</v>
      </c>
      <c r="AK120" s="49" cm="1">
        <f t="array" ref="AK120">IF(U120="",0,_xlfn.XLOOKUP(E120&amp;U120&amp;F120,tab_act&amp;tab_mod&amp;tab_act1,tab_cash)*V120*T120)</f>
        <v>0</v>
      </c>
      <c r="AN120" s="140" t="str">
        <f t="shared" si="13"/>
        <v>A</v>
      </c>
    </row>
    <row r="121" spans="2:40" x14ac:dyDescent="0.35">
      <c r="B121" s="50" t="s">
        <v>129</v>
      </c>
      <c r="C121" s="44">
        <v>2023</v>
      </c>
      <c r="D121" s="44" t="s">
        <v>100</v>
      </c>
      <c r="E121" s="15" t="s">
        <v>39</v>
      </c>
      <c r="F121" s="143" t="s">
        <v>22</v>
      </c>
      <c r="G121" s="15" t="s">
        <v>159</v>
      </c>
      <c r="H121" s="44"/>
      <c r="I121" s="15" t="s">
        <v>94</v>
      </c>
      <c r="J121" s="15" t="s">
        <v>94</v>
      </c>
      <c r="K121" s="15" t="s">
        <v>160</v>
      </c>
      <c r="L121" s="15" t="s">
        <v>95</v>
      </c>
      <c r="M121" s="15" t="s">
        <v>94</v>
      </c>
      <c r="N121" s="15" t="s">
        <v>67</v>
      </c>
      <c r="O121" s="15" t="s">
        <v>200</v>
      </c>
      <c r="P121" s="15" t="s">
        <v>201</v>
      </c>
      <c r="Q121" s="42">
        <v>146.30000000000001</v>
      </c>
      <c r="R121" s="42">
        <v>176</v>
      </c>
      <c r="S121" s="42">
        <f t="shared" si="14"/>
        <v>322.3</v>
      </c>
      <c r="T121" s="43">
        <f t="shared" si="15"/>
        <v>322.3</v>
      </c>
      <c r="U121" s="15" t="s">
        <v>41</v>
      </c>
      <c r="V121" s="150">
        <v>30</v>
      </c>
      <c r="W121" s="133" cm="1">
        <f t="array" ref="W121">IF(U121="",0,_xlfn.XLOOKUP(E121&amp;U121&amp;F121,tab_act&amp;tab_mod&amp;tab_act1,tab_riz)*V121*T121/MGMT)</f>
        <v>0</v>
      </c>
      <c r="X121" s="43" cm="1">
        <f t="array" ref="X121">IF(U121="",0,_xlfn.XLOOKUP(E121&amp;U121&amp;F121,tab_act&amp;tab_mod&amp;tab_act1,tab_mc)*V121*T121/MGMT)</f>
        <v>0</v>
      </c>
      <c r="Y121" s="43" cm="1">
        <f t="array" ref="Y121">IF(U121="",0,_xlfn.XLOOKUP(E121&amp;U121&amp;F121,tab_act&amp;tab_mod&amp;tab_act1,tab_sor)*V121*T121/MGMT)</f>
        <v>0</v>
      </c>
      <c r="Z121" s="43" cm="1">
        <f t="array" ref="Z121">IF(U121="",0,_xlfn.XLOOKUP(E121&amp;U121&amp;F121,tab_act&amp;tab_mod&amp;tab_act1,tab_mg)*V121*T121/MGMT)</f>
        <v>0</v>
      </c>
      <c r="AA121" s="133" cm="1">
        <f t="array" ref="AA121">IF(U121="",0,IF(U121="hybrid-Sch",_xlfn.XLOOKUP(E121&amp;U121&amp;F121,tab_act&amp;tab_mod&amp;tab_act1,tab_ls)*SchLS*T121/MGMT,_xlfn.XLOOKUP(E121&amp;U121&amp;F121,tab_act&amp;tab_mod&amp;tab_act1,tab_ls)*V121*T121/MGMT))</f>
        <v>0</v>
      </c>
      <c r="AB121" s="133" cm="1">
        <f t="array" ref="AB121">IF(U121="",0,_xlfn.XLOOKUP(E121&amp;U121&amp;F121,tab_act&amp;tab_mod&amp;tab_act1,tab_hu)*V121*T121/MGMT)</f>
        <v>0</v>
      </c>
      <c r="AC121" s="133" cm="1">
        <f t="array" ref="AC121">IF(U121="",0,_xlfn.XLOOKUP(E121&amp;U121&amp;F121,tab_act&amp;tab_mod&amp;tab_act1,tab_mnp)*V121*T121/MGMT)</f>
        <v>0</v>
      </c>
      <c r="AD121" s="133" cm="1">
        <f t="array" ref="AD121">IF(U121="",0,_xlfn.XLOOKUP(E121&amp;U121&amp;F121,tab_act&amp;tab_mod&amp;tab_act1,tab_Psup)*V121*T121/MGMT)</f>
        <v>0</v>
      </c>
      <c r="AE121" s="133" cm="1">
        <f t="array" ref="AE121">IF(U121="",0,_xlfn.XLOOKUP(E121&amp;U121&amp;F121,tab_act&amp;tab_mod&amp;tab_act1,tab_csb1)*V121*T121/MGMT)</f>
        <v>0</v>
      </c>
      <c r="AF121" s="133" cm="1">
        <f t="array" ref="AF121">IF(U121="",0,_xlfn.XLOOKUP(E121&amp;U121&amp;F121,tab_act&amp;tab_mod&amp;tab_act1,tab_csb2)*V121*T121/MGMT)</f>
        <v>0</v>
      </c>
      <c r="AG121" s="133" cm="1">
        <f t="array" ref="AG121">IF(U121="",0,_xlfn.XLOOKUP(E121&amp;U121&amp;F121,tab_act&amp;tab_mod&amp;tab_act1,tab_pdoz)*V121*T121/MGMT)</f>
        <v>0.48344999999999999</v>
      </c>
      <c r="AH121" s="133" cm="1">
        <f t="array" ref="AH121">IFERROR(IF(U121="",0,_xlfn.XLOOKUP(E121&amp;U121&amp;F121,tab_act&amp;tab_mod&amp;tab_act1,tab_lns)*V121*T121/MGMT),"")</f>
        <v>0</v>
      </c>
      <c r="AI121" s="47">
        <f t="shared" si="11"/>
        <v>0.48344999999999999</v>
      </c>
      <c r="AJ121" s="48">
        <f t="shared" si="16"/>
        <v>0</v>
      </c>
      <c r="AK121" s="49" cm="1">
        <f t="array" ref="AK121">IF(U121="",0,_xlfn.XLOOKUP(E121&amp;U121&amp;F121,tab_act&amp;tab_mod&amp;tab_act1,tab_cash)*V121*T121)</f>
        <v>0</v>
      </c>
      <c r="AN121" s="140" t="str">
        <f t="shared" si="13"/>
        <v>A</v>
      </c>
    </row>
    <row r="122" spans="2:40" x14ac:dyDescent="0.35">
      <c r="B122" s="50" t="s">
        <v>129</v>
      </c>
      <c r="C122" s="44">
        <v>2023</v>
      </c>
      <c r="D122" s="44" t="s">
        <v>100</v>
      </c>
      <c r="E122" s="15" t="s">
        <v>39</v>
      </c>
      <c r="F122" s="143" t="s">
        <v>22</v>
      </c>
      <c r="G122" s="15" t="s">
        <v>159</v>
      </c>
      <c r="H122" s="44"/>
      <c r="I122" s="15" t="s">
        <v>94</v>
      </c>
      <c r="J122" s="15" t="s">
        <v>94</v>
      </c>
      <c r="K122" s="15" t="s">
        <v>160</v>
      </c>
      <c r="L122" s="15" t="s">
        <v>95</v>
      </c>
      <c r="M122" s="15" t="s">
        <v>94</v>
      </c>
      <c r="N122" s="15" t="s">
        <v>67</v>
      </c>
      <c r="O122" s="15" t="s">
        <v>200</v>
      </c>
      <c r="P122" s="15" t="s">
        <v>202</v>
      </c>
      <c r="Q122" s="42">
        <v>114.4</v>
      </c>
      <c r="R122" s="42">
        <v>96.8</v>
      </c>
      <c r="S122" s="42">
        <f t="shared" si="14"/>
        <v>211.2</v>
      </c>
      <c r="T122" s="43">
        <f t="shared" si="15"/>
        <v>211.2</v>
      </c>
      <c r="U122" s="15" t="s">
        <v>41</v>
      </c>
      <c r="V122" s="150">
        <v>30</v>
      </c>
      <c r="W122" s="133" cm="1">
        <f t="array" ref="W122">IF(U122="",0,_xlfn.XLOOKUP(E122&amp;U122&amp;F122,tab_act&amp;tab_mod&amp;tab_act1,tab_riz)*V122*T122/MGMT)</f>
        <v>0</v>
      </c>
      <c r="X122" s="43" cm="1">
        <f t="array" ref="X122">IF(U122="",0,_xlfn.XLOOKUP(E122&amp;U122&amp;F122,tab_act&amp;tab_mod&amp;tab_act1,tab_mc)*V122*T122/MGMT)</f>
        <v>0</v>
      </c>
      <c r="Y122" s="43" cm="1">
        <f t="array" ref="Y122">IF(U122="",0,_xlfn.XLOOKUP(E122&amp;U122&amp;F122,tab_act&amp;tab_mod&amp;tab_act1,tab_sor)*V122*T122/MGMT)</f>
        <v>0</v>
      </c>
      <c r="Z122" s="43" cm="1">
        <f t="array" ref="Z122">IF(U122="",0,_xlfn.XLOOKUP(E122&amp;U122&amp;F122,tab_act&amp;tab_mod&amp;tab_act1,tab_mg)*V122*T122/MGMT)</f>
        <v>0</v>
      </c>
      <c r="AA122" s="133" cm="1">
        <f t="array" ref="AA122">IF(U122="",0,IF(U122="hybrid-Sch",_xlfn.XLOOKUP(E122&amp;U122&amp;F122,tab_act&amp;tab_mod&amp;tab_act1,tab_ls)*SchLS*T122/MGMT,_xlfn.XLOOKUP(E122&amp;U122&amp;F122,tab_act&amp;tab_mod&amp;tab_act1,tab_ls)*V122*T122/MGMT))</f>
        <v>0</v>
      </c>
      <c r="AB122" s="133" cm="1">
        <f t="array" ref="AB122">IF(U122="",0,_xlfn.XLOOKUP(E122&amp;U122&amp;F122,tab_act&amp;tab_mod&amp;tab_act1,tab_hu)*V122*T122/MGMT)</f>
        <v>0</v>
      </c>
      <c r="AC122" s="133" cm="1">
        <f t="array" ref="AC122">IF(U122="",0,_xlfn.XLOOKUP(E122&amp;U122&amp;F122,tab_act&amp;tab_mod&amp;tab_act1,tab_mnp)*V122*T122/MGMT)</f>
        <v>0</v>
      </c>
      <c r="AD122" s="133" cm="1">
        <f t="array" ref="AD122">IF(U122="",0,_xlfn.XLOOKUP(E122&amp;U122&amp;F122,tab_act&amp;tab_mod&amp;tab_act1,tab_Psup)*V122*T122/MGMT)</f>
        <v>0</v>
      </c>
      <c r="AE122" s="133" cm="1">
        <f t="array" ref="AE122">IF(U122="",0,_xlfn.XLOOKUP(E122&amp;U122&amp;F122,tab_act&amp;tab_mod&amp;tab_act1,tab_csb1)*V122*T122/MGMT)</f>
        <v>0</v>
      </c>
      <c r="AF122" s="133" cm="1">
        <f t="array" ref="AF122">IF(U122="",0,_xlfn.XLOOKUP(E122&amp;U122&amp;F122,tab_act&amp;tab_mod&amp;tab_act1,tab_csb2)*V122*T122/MGMT)</f>
        <v>0</v>
      </c>
      <c r="AG122" s="133" cm="1">
        <f t="array" ref="AG122">IF(U122="",0,_xlfn.XLOOKUP(E122&amp;U122&amp;F122,tab_act&amp;tab_mod&amp;tab_act1,tab_pdoz)*V122*T122/MGMT)</f>
        <v>0.31680000000000003</v>
      </c>
      <c r="AH122" s="133" cm="1">
        <f t="array" ref="AH122">IFERROR(IF(U122="",0,_xlfn.XLOOKUP(E122&amp;U122&amp;F122,tab_act&amp;tab_mod&amp;tab_act1,tab_lns)*V122*T122/MGMT),"")</f>
        <v>0</v>
      </c>
      <c r="AI122" s="47">
        <f t="shared" si="11"/>
        <v>0.31680000000000003</v>
      </c>
      <c r="AJ122" s="48">
        <f t="shared" si="16"/>
        <v>0</v>
      </c>
      <c r="AK122" s="49" cm="1">
        <f t="array" ref="AK122">IF(U122="",0,_xlfn.XLOOKUP(E122&amp;U122&amp;F122,tab_act&amp;tab_mod&amp;tab_act1,tab_cash)*V122*T122)</f>
        <v>0</v>
      </c>
      <c r="AN122" s="140" t="str">
        <f t="shared" si="13"/>
        <v>A</v>
      </c>
    </row>
    <row r="123" spans="2:40" x14ac:dyDescent="0.35">
      <c r="B123" s="50" t="s">
        <v>129</v>
      </c>
      <c r="C123" s="44">
        <v>2023</v>
      </c>
      <c r="D123" s="44" t="s">
        <v>100</v>
      </c>
      <c r="E123" s="15" t="s">
        <v>39</v>
      </c>
      <c r="F123" s="143" t="s">
        <v>22</v>
      </c>
      <c r="G123" s="15" t="s">
        <v>159</v>
      </c>
      <c r="H123" s="44"/>
      <c r="I123" s="15" t="s">
        <v>94</v>
      </c>
      <c r="J123" s="15" t="s">
        <v>94</v>
      </c>
      <c r="K123" s="15" t="s">
        <v>160</v>
      </c>
      <c r="L123" s="15" t="s">
        <v>95</v>
      </c>
      <c r="M123" s="15" t="s">
        <v>94</v>
      </c>
      <c r="N123" s="15" t="s">
        <v>67</v>
      </c>
      <c r="O123" s="15" t="s">
        <v>200</v>
      </c>
      <c r="P123" s="15" t="s">
        <v>203</v>
      </c>
      <c r="Q123" s="42">
        <v>238.7</v>
      </c>
      <c r="R123" s="42">
        <v>238.7</v>
      </c>
      <c r="S123" s="42">
        <f t="shared" si="14"/>
        <v>477.4</v>
      </c>
      <c r="T123" s="43">
        <f t="shared" si="15"/>
        <v>477.4</v>
      </c>
      <c r="U123" s="15" t="s">
        <v>41</v>
      </c>
      <c r="V123" s="150">
        <v>30</v>
      </c>
      <c r="W123" s="133" cm="1">
        <f t="array" ref="W123">IF(U123="",0,_xlfn.XLOOKUP(E123&amp;U123&amp;F123,tab_act&amp;tab_mod&amp;tab_act1,tab_riz)*V123*T123/MGMT)</f>
        <v>0</v>
      </c>
      <c r="X123" s="43" cm="1">
        <f t="array" ref="X123">IF(U123="",0,_xlfn.XLOOKUP(E123&amp;U123&amp;F123,tab_act&amp;tab_mod&amp;tab_act1,tab_mc)*V123*T123/MGMT)</f>
        <v>0</v>
      </c>
      <c r="Y123" s="43" cm="1">
        <f t="array" ref="Y123">IF(U123="",0,_xlfn.XLOOKUP(E123&amp;U123&amp;F123,tab_act&amp;tab_mod&amp;tab_act1,tab_sor)*V123*T123/MGMT)</f>
        <v>0</v>
      </c>
      <c r="Z123" s="43" cm="1">
        <f t="array" ref="Z123">IF(U123="",0,_xlfn.XLOOKUP(E123&amp;U123&amp;F123,tab_act&amp;tab_mod&amp;tab_act1,tab_mg)*V123*T123/MGMT)</f>
        <v>0</v>
      </c>
      <c r="AA123" s="133" cm="1">
        <f t="array" ref="AA123">IF(U123="",0,IF(U123="hybrid-Sch",_xlfn.XLOOKUP(E123&amp;U123&amp;F123,tab_act&amp;tab_mod&amp;tab_act1,tab_ls)*SchLS*T123/MGMT,_xlfn.XLOOKUP(E123&amp;U123&amp;F123,tab_act&amp;tab_mod&amp;tab_act1,tab_ls)*V123*T123/MGMT))</f>
        <v>0</v>
      </c>
      <c r="AB123" s="133" cm="1">
        <f t="array" ref="AB123">IF(U123="",0,_xlfn.XLOOKUP(E123&amp;U123&amp;F123,tab_act&amp;tab_mod&amp;tab_act1,tab_hu)*V123*T123/MGMT)</f>
        <v>0</v>
      </c>
      <c r="AC123" s="133" cm="1">
        <f t="array" ref="AC123">IF(U123="",0,_xlfn.XLOOKUP(E123&amp;U123&amp;F123,tab_act&amp;tab_mod&amp;tab_act1,tab_mnp)*V123*T123/MGMT)</f>
        <v>0</v>
      </c>
      <c r="AD123" s="133" cm="1">
        <f t="array" ref="AD123">IF(U123="",0,_xlfn.XLOOKUP(E123&amp;U123&amp;F123,tab_act&amp;tab_mod&amp;tab_act1,tab_Psup)*V123*T123/MGMT)</f>
        <v>0</v>
      </c>
      <c r="AE123" s="133" cm="1">
        <f t="array" ref="AE123">IF(U123="",0,_xlfn.XLOOKUP(E123&amp;U123&amp;F123,tab_act&amp;tab_mod&amp;tab_act1,tab_csb1)*V123*T123/MGMT)</f>
        <v>0</v>
      </c>
      <c r="AF123" s="133" cm="1">
        <f t="array" ref="AF123">IF(U123="",0,_xlfn.XLOOKUP(E123&amp;U123&amp;F123,tab_act&amp;tab_mod&amp;tab_act1,tab_csb2)*V123*T123/MGMT)</f>
        <v>0</v>
      </c>
      <c r="AG123" s="133" cm="1">
        <f t="array" ref="AG123">IF(U123="",0,_xlfn.XLOOKUP(E123&amp;U123&amp;F123,tab_act&amp;tab_mod&amp;tab_act1,tab_pdoz)*V123*T123/MGMT)</f>
        <v>0.71609999999999996</v>
      </c>
      <c r="AH123" s="133" cm="1">
        <f t="array" ref="AH123">IFERROR(IF(U123="",0,_xlfn.XLOOKUP(E123&amp;U123&amp;F123,tab_act&amp;tab_mod&amp;tab_act1,tab_lns)*V123*T123/MGMT),"")</f>
        <v>0</v>
      </c>
      <c r="AI123" s="47">
        <f t="shared" si="11"/>
        <v>0.71609999999999996</v>
      </c>
      <c r="AJ123" s="48">
        <f t="shared" si="16"/>
        <v>0</v>
      </c>
      <c r="AK123" s="49" cm="1">
        <f t="array" ref="AK123">IF(U123="",0,_xlfn.XLOOKUP(E123&amp;U123&amp;F123,tab_act&amp;tab_mod&amp;tab_act1,tab_cash)*V123*T123)</f>
        <v>0</v>
      </c>
      <c r="AN123" s="140" t="str">
        <f t="shared" si="13"/>
        <v>A</v>
      </c>
    </row>
    <row r="124" spans="2:40" x14ac:dyDescent="0.35">
      <c r="B124" s="50" t="s">
        <v>129</v>
      </c>
      <c r="C124" s="44">
        <v>2023</v>
      </c>
      <c r="D124" s="44" t="s">
        <v>100</v>
      </c>
      <c r="E124" s="15" t="s">
        <v>39</v>
      </c>
      <c r="F124" s="143" t="s">
        <v>22</v>
      </c>
      <c r="G124" s="15" t="s">
        <v>159</v>
      </c>
      <c r="H124" s="44"/>
      <c r="I124" s="15" t="s">
        <v>94</v>
      </c>
      <c r="J124" s="15" t="s">
        <v>94</v>
      </c>
      <c r="K124" s="15" t="s">
        <v>160</v>
      </c>
      <c r="L124" s="15" t="s">
        <v>95</v>
      </c>
      <c r="M124" s="15" t="s">
        <v>94</v>
      </c>
      <c r="N124" s="15" t="s">
        <v>67</v>
      </c>
      <c r="O124" s="15" t="s">
        <v>200</v>
      </c>
      <c r="P124" s="15" t="s">
        <v>204</v>
      </c>
      <c r="Q124" s="42">
        <v>163.9</v>
      </c>
      <c r="R124" s="42">
        <v>184.8</v>
      </c>
      <c r="S124" s="42">
        <f t="shared" si="14"/>
        <v>348.70000000000005</v>
      </c>
      <c r="T124" s="43">
        <f t="shared" si="15"/>
        <v>348.70000000000005</v>
      </c>
      <c r="U124" s="15" t="s">
        <v>41</v>
      </c>
      <c r="V124" s="150">
        <v>30</v>
      </c>
      <c r="W124" s="133" cm="1">
        <f t="array" ref="W124">IF(U124="",0,_xlfn.XLOOKUP(E124&amp;U124&amp;F124,tab_act&amp;tab_mod&amp;tab_act1,tab_riz)*V124*T124/MGMT)</f>
        <v>0</v>
      </c>
      <c r="X124" s="43" cm="1">
        <f t="array" ref="X124">IF(U124="",0,_xlfn.XLOOKUP(E124&amp;U124&amp;F124,tab_act&amp;tab_mod&amp;tab_act1,tab_mc)*V124*T124/MGMT)</f>
        <v>0</v>
      </c>
      <c r="Y124" s="43" cm="1">
        <f t="array" ref="Y124">IF(U124="",0,_xlfn.XLOOKUP(E124&amp;U124&amp;F124,tab_act&amp;tab_mod&amp;tab_act1,tab_sor)*V124*T124/MGMT)</f>
        <v>0</v>
      </c>
      <c r="Z124" s="43" cm="1">
        <f t="array" ref="Z124">IF(U124="",0,_xlfn.XLOOKUP(E124&amp;U124&amp;F124,tab_act&amp;tab_mod&amp;tab_act1,tab_mg)*V124*T124/MGMT)</f>
        <v>0</v>
      </c>
      <c r="AA124" s="133" cm="1">
        <f t="array" ref="AA124">IF(U124="",0,IF(U124="hybrid-Sch",_xlfn.XLOOKUP(E124&amp;U124&amp;F124,tab_act&amp;tab_mod&amp;tab_act1,tab_ls)*SchLS*T124/MGMT,_xlfn.XLOOKUP(E124&amp;U124&amp;F124,tab_act&amp;tab_mod&amp;tab_act1,tab_ls)*V124*T124/MGMT))</f>
        <v>0</v>
      </c>
      <c r="AB124" s="133" cm="1">
        <f t="array" ref="AB124">IF(U124="",0,_xlfn.XLOOKUP(E124&amp;U124&amp;F124,tab_act&amp;tab_mod&amp;tab_act1,tab_hu)*V124*T124/MGMT)</f>
        <v>0</v>
      </c>
      <c r="AC124" s="133" cm="1">
        <f t="array" ref="AC124">IF(U124="",0,_xlfn.XLOOKUP(E124&amp;U124&amp;F124,tab_act&amp;tab_mod&amp;tab_act1,tab_mnp)*V124*T124/MGMT)</f>
        <v>0</v>
      </c>
      <c r="AD124" s="133" cm="1">
        <f t="array" ref="AD124">IF(U124="",0,_xlfn.XLOOKUP(E124&amp;U124&amp;F124,tab_act&amp;tab_mod&amp;tab_act1,tab_Psup)*V124*T124/MGMT)</f>
        <v>0</v>
      </c>
      <c r="AE124" s="133" cm="1">
        <f t="array" ref="AE124">IF(U124="",0,_xlfn.XLOOKUP(E124&amp;U124&amp;F124,tab_act&amp;tab_mod&amp;tab_act1,tab_csb1)*V124*T124/MGMT)</f>
        <v>0</v>
      </c>
      <c r="AF124" s="133" cm="1">
        <f t="array" ref="AF124">IF(U124="",0,_xlfn.XLOOKUP(E124&amp;U124&amp;F124,tab_act&amp;tab_mod&amp;tab_act1,tab_csb2)*V124*T124/MGMT)</f>
        <v>0</v>
      </c>
      <c r="AG124" s="133" cm="1">
        <f t="array" ref="AG124">IF(U124="",0,_xlfn.XLOOKUP(E124&amp;U124&amp;F124,tab_act&amp;tab_mod&amp;tab_act1,tab_pdoz)*V124*T124/MGMT)</f>
        <v>0.52305000000000001</v>
      </c>
      <c r="AH124" s="133" cm="1">
        <f t="array" ref="AH124">IFERROR(IF(U124="",0,_xlfn.XLOOKUP(E124&amp;U124&amp;F124,tab_act&amp;tab_mod&amp;tab_act1,tab_lns)*V124*T124/MGMT),"")</f>
        <v>0</v>
      </c>
      <c r="AI124" s="47">
        <f t="shared" si="11"/>
        <v>0.52305000000000001</v>
      </c>
      <c r="AJ124" s="48">
        <f t="shared" si="16"/>
        <v>0</v>
      </c>
      <c r="AK124" s="49" cm="1">
        <f t="array" ref="AK124">IF(U124="",0,_xlfn.XLOOKUP(E124&amp;U124&amp;F124,tab_act&amp;tab_mod&amp;tab_act1,tab_cash)*V124*T124)</f>
        <v>0</v>
      </c>
      <c r="AN124" s="140" t="str">
        <f t="shared" si="13"/>
        <v>A</v>
      </c>
    </row>
    <row r="125" spans="2:40" x14ac:dyDescent="0.35">
      <c r="B125" s="50" t="s">
        <v>129</v>
      </c>
      <c r="C125" s="44">
        <v>2023</v>
      </c>
      <c r="D125" s="44" t="s">
        <v>100</v>
      </c>
      <c r="E125" s="15" t="s">
        <v>39</v>
      </c>
      <c r="F125" s="143" t="s">
        <v>22</v>
      </c>
      <c r="G125" s="15" t="s">
        <v>159</v>
      </c>
      <c r="H125" s="44"/>
      <c r="I125" s="15" t="s">
        <v>94</v>
      </c>
      <c r="J125" s="15" t="s">
        <v>94</v>
      </c>
      <c r="K125" s="15" t="s">
        <v>160</v>
      </c>
      <c r="L125" s="15" t="s">
        <v>95</v>
      </c>
      <c r="M125" s="15" t="s">
        <v>94</v>
      </c>
      <c r="N125" s="15" t="s">
        <v>67</v>
      </c>
      <c r="O125" s="15" t="s">
        <v>200</v>
      </c>
      <c r="P125" s="15" t="s">
        <v>205</v>
      </c>
      <c r="Q125" s="42">
        <v>51.7</v>
      </c>
      <c r="R125" s="42">
        <v>60.5</v>
      </c>
      <c r="S125" s="42">
        <f t="shared" si="14"/>
        <v>112.2</v>
      </c>
      <c r="T125" s="43">
        <f t="shared" si="15"/>
        <v>112.2</v>
      </c>
      <c r="U125" s="15" t="s">
        <v>41</v>
      </c>
      <c r="V125" s="150">
        <v>30</v>
      </c>
      <c r="W125" s="133" cm="1">
        <f t="array" ref="W125">IF(U125="",0,_xlfn.XLOOKUP(E125&amp;U125&amp;F125,tab_act&amp;tab_mod&amp;tab_act1,tab_riz)*V125*T125/MGMT)</f>
        <v>0</v>
      </c>
      <c r="X125" s="43" cm="1">
        <f t="array" ref="X125">IF(U125="",0,_xlfn.XLOOKUP(E125&amp;U125&amp;F125,tab_act&amp;tab_mod&amp;tab_act1,tab_mc)*V125*T125/MGMT)</f>
        <v>0</v>
      </c>
      <c r="Y125" s="43" cm="1">
        <f t="array" ref="Y125">IF(U125="",0,_xlfn.XLOOKUP(E125&amp;U125&amp;F125,tab_act&amp;tab_mod&amp;tab_act1,tab_sor)*V125*T125/MGMT)</f>
        <v>0</v>
      </c>
      <c r="Z125" s="43" cm="1">
        <f t="array" ref="Z125">IF(U125="",0,_xlfn.XLOOKUP(E125&amp;U125&amp;F125,tab_act&amp;tab_mod&amp;tab_act1,tab_mg)*V125*T125/MGMT)</f>
        <v>0</v>
      </c>
      <c r="AA125" s="133" cm="1">
        <f t="array" ref="AA125">IF(U125="",0,IF(U125="hybrid-Sch",_xlfn.XLOOKUP(E125&amp;U125&amp;F125,tab_act&amp;tab_mod&amp;tab_act1,tab_ls)*SchLS*T125/MGMT,_xlfn.XLOOKUP(E125&amp;U125&amp;F125,tab_act&amp;tab_mod&amp;tab_act1,tab_ls)*V125*T125/MGMT))</f>
        <v>0</v>
      </c>
      <c r="AB125" s="133" cm="1">
        <f t="array" ref="AB125">IF(U125="",0,_xlfn.XLOOKUP(E125&amp;U125&amp;F125,tab_act&amp;tab_mod&amp;tab_act1,tab_hu)*V125*T125/MGMT)</f>
        <v>0</v>
      </c>
      <c r="AC125" s="133" cm="1">
        <f t="array" ref="AC125">IF(U125="",0,_xlfn.XLOOKUP(E125&amp;U125&amp;F125,tab_act&amp;tab_mod&amp;tab_act1,tab_mnp)*V125*T125/MGMT)</f>
        <v>0</v>
      </c>
      <c r="AD125" s="133" cm="1">
        <f t="array" ref="AD125">IF(U125="",0,_xlfn.XLOOKUP(E125&amp;U125&amp;F125,tab_act&amp;tab_mod&amp;tab_act1,tab_Psup)*V125*T125/MGMT)</f>
        <v>0</v>
      </c>
      <c r="AE125" s="133" cm="1">
        <f t="array" ref="AE125">IF(U125="",0,_xlfn.XLOOKUP(E125&amp;U125&amp;F125,tab_act&amp;tab_mod&amp;tab_act1,tab_csb1)*V125*T125/MGMT)</f>
        <v>0</v>
      </c>
      <c r="AF125" s="133" cm="1">
        <f t="array" ref="AF125">IF(U125="",0,_xlfn.XLOOKUP(E125&amp;U125&amp;F125,tab_act&amp;tab_mod&amp;tab_act1,tab_csb2)*V125*T125/MGMT)</f>
        <v>0</v>
      </c>
      <c r="AG125" s="133" cm="1">
        <f t="array" ref="AG125">IF(U125="",0,_xlfn.XLOOKUP(E125&amp;U125&amp;F125,tab_act&amp;tab_mod&amp;tab_act1,tab_pdoz)*V125*T125/MGMT)</f>
        <v>0.16830000000000001</v>
      </c>
      <c r="AH125" s="133" cm="1">
        <f t="array" ref="AH125">IFERROR(IF(U125="",0,_xlfn.XLOOKUP(E125&amp;U125&amp;F125,tab_act&amp;tab_mod&amp;tab_act1,tab_lns)*V125*T125/MGMT),"")</f>
        <v>0</v>
      </c>
      <c r="AI125" s="47">
        <f t="shared" si="11"/>
        <v>0.16830000000000001</v>
      </c>
      <c r="AJ125" s="48">
        <f t="shared" si="16"/>
        <v>0</v>
      </c>
      <c r="AK125" s="49" cm="1">
        <f t="array" ref="AK125">IF(U125="",0,_xlfn.XLOOKUP(E125&amp;U125&amp;F125,tab_act&amp;tab_mod&amp;tab_act1,tab_cash)*V125*T125)</f>
        <v>0</v>
      </c>
      <c r="AN125" s="140" t="str">
        <f t="shared" si="13"/>
        <v>A</v>
      </c>
    </row>
    <row r="126" spans="2:40" x14ac:dyDescent="0.35">
      <c r="B126" s="50" t="s">
        <v>129</v>
      </c>
      <c r="C126" s="44">
        <v>2023</v>
      </c>
      <c r="D126" s="44" t="s">
        <v>100</v>
      </c>
      <c r="E126" s="15" t="s">
        <v>39</v>
      </c>
      <c r="F126" s="143" t="s">
        <v>22</v>
      </c>
      <c r="G126" s="15" t="s">
        <v>159</v>
      </c>
      <c r="H126" s="44"/>
      <c r="I126" s="15" t="s">
        <v>94</v>
      </c>
      <c r="J126" s="15" t="s">
        <v>94</v>
      </c>
      <c r="K126" s="15" t="s">
        <v>160</v>
      </c>
      <c r="L126" s="15" t="s">
        <v>95</v>
      </c>
      <c r="M126" s="15" t="s">
        <v>94</v>
      </c>
      <c r="N126" s="15" t="s">
        <v>67</v>
      </c>
      <c r="O126" s="15" t="s">
        <v>206</v>
      </c>
      <c r="P126" s="15" t="s">
        <v>207</v>
      </c>
      <c r="Q126" s="42">
        <v>160.6</v>
      </c>
      <c r="R126" s="42">
        <v>180.4</v>
      </c>
      <c r="S126" s="42">
        <f t="shared" si="14"/>
        <v>341</v>
      </c>
      <c r="T126" s="43">
        <f t="shared" si="15"/>
        <v>341</v>
      </c>
      <c r="U126" s="15" t="s">
        <v>41</v>
      </c>
      <c r="V126" s="150">
        <v>30</v>
      </c>
      <c r="W126" s="133" cm="1">
        <f t="array" ref="W126">IF(U126="",0,_xlfn.XLOOKUP(E126&amp;U126&amp;F126,tab_act&amp;tab_mod&amp;tab_act1,tab_riz)*V126*T126/MGMT)</f>
        <v>0</v>
      </c>
      <c r="X126" s="43" cm="1">
        <f t="array" ref="X126">IF(U126="",0,_xlfn.XLOOKUP(E126&amp;U126&amp;F126,tab_act&amp;tab_mod&amp;tab_act1,tab_mc)*V126*T126/MGMT)</f>
        <v>0</v>
      </c>
      <c r="Y126" s="43" cm="1">
        <f t="array" ref="Y126">IF(U126="",0,_xlfn.XLOOKUP(E126&amp;U126&amp;F126,tab_act&amp;tab_mod&amp;tab_act1,tab_sor)*V126*T126/MGMT)</f>
        <v>0</v>
      </c>
      <c r="Z126" s="43" cm="1">
        <f t="array" ref="Z126">IF(U126="",0,_xlfn.XLOOKUP(E126&amp;U126&amp;F126,tab_act&amp;tab_mod&amp;tab_act1,tab_mg)*V126*T126/MGMT)</f>
        <v>0</v>
      </c>
      <c r="AA126" s="133" cm="1">
        <f t="array" ref="AA126">IF(U126="",0,IF(U126="hybrid-Sch",_xlfn.XLOOKUP(E126&amp;U126&amp;F126,tab_act&amp;tab_mod&amp;tab_act1,tab_ls)*SchLS*T126/MGMT,_xlfn.XLOOKUP(E126&amp;U126&amp;F126,tab_act&amp;tab_mod&amp;tab_act1,tab_ls)*V126*T126/MGMT))</f>
        <v>0</v>
      </c>
      <c r="AB126" s="133" cm="1">
        <f t="array" ref="AB126">IF(U126="",0,_xlfn.XLOOKUP(E126&amp;U126&amp;F126,tab_act&amp;tab_mod&amp;tab_act1,tab_hu)*V126*T126/MGMT)</f>
        <v>0</v>
      </c>
      <c r="AC126" s="133" cm="1">
        <f t="array" ref="AC126">IF(U126="",0,_xlfn.XLOOKUP(E126&amp;U126&amp;F126,tab_act&amp;tab_mod&amp;tab_act1,tab_mnp)*V126*T126/MGMT)</f>
        <v>0</v>
      </c>
      <c r="AD126" s="133" cm="1">
        <f t="array" ref="AD126">IF(U126="",0,_xlfn.XLOOKUP(E126&amp;U126&amp;F126,tab_act&amp;tab_mod&amp;tab_act1,tab_Psup)*V126*T126/MGMT)</f>
        <v>0</v>
      </c>
      <c r="AE126" s="133" cm="1">
        <f t="array" ref="AE126">IF(U126="",0,_xlfn.XLOOKUP(E126&amp;U126&amp;F126,tab_act&amp;tab_mod&amp;tab_act1,tab_csb1)*V126*T126/MGMT)</f>
        <v>0</v>
      </c>
      <c r="AF126" s="133" cm="1">
        <f t="array" ref="AF126">IF(U126="",0,_xlfn.XLOOKUP(E126&amp;U126&amp;F126,tab_act&amp;tab_mod&amp;tab_act1,tab_csb2)*V126*T126/MGMT)</f>
        <v>0</v>
      </c>
      <c r="AG126" s="133" cm="1">
        <f t="array" ref="AG126">IF(U126="",0,_xlfn.XLOOKUP(E126&amp;U126&amp;F126,tab_act&amp;tab_mod&amp;tab_act1,tab_pdoz)*V126*T126/MGMT)</f>
        <v>0.51149999999999995</v>
      </c>
      <c r="AH126" s="133" cm="1">
        <f t="array" ref="AH126">IFERROR(IF(U126="",0,_xlfn.XLOOKUP(E126&amp;U126&amp;F126,tab_act&amp;tab_mod&amp;tab_act1,tab_lns)*V126*T126/MGMT),"")</f>
        <v>0</v>
      </c>
      <c r="AI126" s="47">
        <f t="shared" si="11"/>
        <v>0.51149999999999995</v>
      </c>
      <c r="AJ126" s="48">
        <f t="shared" si="16"/>
        <v>0</v>
      </c>
      <c r="AK126" s="49" cm="1">
        <f t="array" ref="AK126">IF(U126="",0,_xlfn.XLOOKUP(E126&amp;U126&amp;F126,tab_act&amp;tab_mod&amp;tab_act1,tab_cash)*V126*T126)</f>
        <v>0</v>
      </c>
      <c r="AN126" s="140" t="str">
        <f t="shared" si="13"/>
        <v>A</v>
      </c>
    </row>
    <row r="127" spans="2:40" x14ac:dyDescent="0.35">
      <c r="B127" s="50" t="s">
        <v>129</v>
      </c>
      <c r="C127" s="44">
        <v>2023</v>
      </c>
      <c r="D127" s="44" t="s">
        <v>100</v>
      </c>
      <c r="E127" s="15" t="s">
        <v>39</v>
      </c>
      <c r="F127" s="143" t="s">
        <v>22</v>
      </c>
      <c r="G127" s="15" t="s">
        <v>159</v>
      </c>
      <c r="H127" s="44"/>
      <c r="I127" s="15" t="s">
        <v>94</v>
      </c>
      <c r="J127" s="15" t="s">
        <v>94</v>
      </c>
      <c r="K127" s="15" t="s">
        <v>160</v>
      </c>
      <c r="L127" s="15" t="s">
        <v>95</v>
      </c>
      <c r="M127" s="15" t="s">
        <v>94</v>
      </c>
      <c r="N127" s="15" t="s">
        <v>67</v>
      </c>
      <c r="O127" s="15" t="s">
        <v>206</v>
      </c>
      <c r="P127" s="15" t="s">
        <v>208</v>
      </c>
      <c r="Q127" s="42">
        <v>79.2</v>
      </c>
      <c r="R127" s="42">
        <v>62.7</v>
      </c>
      <c r="S127" s="42">
        <f t="shared" si="14"/>
        <v>141.9</v>
      </c>
      <c r="T127" s="43">
        <f t="shared" si="15"/>
        <v>141.9</v>
      </c>
      <c r="U127" s="15" t="s">
        <v>41</v>
      </c>
      <c r="V127" s="150">
        <v>30</v>
      </c>
      <c r="W127" s="133" cm="1">
        <f t="array" ref="W127">IF(U127="",0,_xlfn.XLOOKUP(E127&amp;U127&amp;F127,tab_act&amp;tab_mod&amp;tab_act1,tab_riz)*V127*T127/MGMT)</f>
        <v>0</v>
      </c>
      <c r="X127" s="43" cm="1">
        <f t="array" ref="X127">IF(U127="",0,_xlfn.XLOOKUP(E127&amp;U127&amp;F127,tab_act&amp;tab_mod&amp;tab_act1,tab_mc)*V127*T127/MGMT)</f>
        <v>0</v>
      </c>
      <c r="Y127" s="43" cm="1">
        <f t="array" ref="Y127">IF(U127="",0,_xlfn.XLOOKUP(E127&amp;U127&amp;F127,tab_act&amp;tab_mod&amp;tab_act1,tab_sor)*V127*T127/MGMT)</f>
        <v>0</v>
      </c>
      <c r="Z127" s="43" cm="1">
        <f t="array" ref="Z127">IF(U127="",0,_xlfn.XLOOKUP(E127&amp;U127&amp;F127,tab_act&amp;tab_mod&amp;tab_act1,tab_mg)*V127*T127/MGMT)</f>
        <v>0</v>
      </c>
      <c r="AA127" s="133" cm="1">
        <f t="array" ref="AA127">IF(U127="",0,IF(U127="hybrid-Sch",_xlfn.XLOOKUP(E127&amp;U127&amp;F127,tab_act&amp;tab_mod&amp;tab_act1,tab_ls)*SchLS*T127/MGMT,_xlfn.XLOOKUP(E127&amp;U127&amp;F127,tab_act&amp;tab_mod&amp;tab_act1,tab_ls)*V127*T127/MGMT))</f>
        <v>0</v>
      </c>
      <c r="AB127" s="133" cm="1">
        <f t="array" ref="AB127">IF(U127="",0,_xlfn.XLOOKUP(E127&amp;U127&amp;F127,tab_act&amp;tab_mod&amp;tab_act1,tab_hu)*V127*T127/MGMT)</f>
        <v>0</v>
      </c>
      <c r="AC127" s="133" cm="1">
        <f t="array" ref="AC127">IF(U127="",0,_xlfn.XLOOKUP(E127&amp;U127&amp;F127,tab_act&amp;tab_mod&amp;tab_act1,tab_mnp)*V127*T127/MGMT)</f>
        <v>0</v>
      </c>
      <c r="AD127" s="133" cm="1">
        <f t="array" ref="AD127">IF(U127="",0,_xlfn.XLOOKUP(E127&amp;U127&amp;F127,tab_act&amp;tab_mod&amp;tab_act1,tab_Psup)*V127*T127/MGMT)</f>
        <v>0</v>
      </c>
      <c r="AE127" s="133" cm="1">
        <f t="array" ref="AE127">IF(U127="",0,_xlfn.XLOOKUP(E127&amp;U127&amp;F127,tab_act&amp;tab_mod&amp;tab_act1,tab_csb1)*V127*T127/MGMT)</f>
        <v>0</v>
      </c>
      <c r="AF127" s="133" cm="1">
        <f t="array" ref="AF127">IF(U127="",0,_xlfn.XLOOKUP(E127&amp;U127&amp;F127,tab_act&amp;tab_mod&amp;tab_act1,tab_csb2)*V127*T127/MGMT)</f>
        <v>0</v>
      </c>
      <c r="AG127" s="133" cm="1">
        <f t="array" ref="AG127">IF(U127="",0,_xlfn.XLOOKUP(E127&amp;U127&amp;F127,tab_act&amp;tab_mod&amp;tab_act1,tab_pdoz)*V127*T127/MGMT)</f>
        <v>0.21285000000000001</v>
      </c>
      <c r="AH127" s="133" cm="1">
        <f t="array" ref="AH127">IFERROR(IF(U127="",0,_xlfn.XLOOKUP(E127&amp;U127&amp;F127,tab_act&amp;tab_mod&amp;tab_act1,tab_lns)*V127*T127/MGMT),"")</f>
        <v>0</v>
      </c>
      <c r="AI127" s="47">
        <f t="shared" si="11"/>
        <v>0.21285000000000001</v>
      </c>
      <c r="AJ127" s="48">
        <f t="shared" si="16"/>
        <v>0</v>
      </c>
      <c r="AK127" s="49" cm="1">
        <f t="array" ref="AK127">IF(U127="",0,_xlfn.XLOOKUP(E127&amp;U127&amp;F127,tab_act&amp;tab_mod&amp;tab_act1,tab_cash)*V127*T127)</f>
        <v>0</v>
      </c>
      <c r="AN127" s="140" t="str">
        <f t="shared" si="13"/>
        <v>A</v>
      </c>
    </row>
    <row r="128" spans="2:40" x14ac:dyDescent="0.35">
      <c r="B128" s="50" t="s">
        <v>129</v>
      </c>
      <c r="C128" s="44">
        <v>2023</v>
      </c>
      <c r="D128" s="44" t="s">
        <v>100</v>
      </c>
      <c r="E128" s="15" t="s">
        <v>39</v>
      </c>
      <c r="F128" s="143" t="s">
        <v>22</v>
      </c>
      <c r="G128" s="15" t="s">
        <v>159</v>
      </c>
      <c r="H128" s="44"/>
      <c r="I128" s="15" t="s">
        <v>94</v>
      </c>
      <c r="J128" s="15" t="s">
        <v>94</v>
      </c>
      <c r="K128" s="15" t="s">
        <v>160</v>
      </c>
      <c r="L128" s="15" t="s">
        <v>95</v>
      </c>
      <c r="M128" s="15" t="s">
        <v>94</v>
      </c>
      <c r="N128" s="15" t="s">
        <v>67</v>
      </c>
      <c r="O128" s="15" t="s">
        <v>206</v>
      </c>
      <c r="P128" s="15" t="s">
        <v>209</v>
      </c>
      <c r="Q128" s="42">
        <v>124.3</v>
      </c>
      <c r="R128" s="42">
        <v>132</v>
      </c>
      <c r="S128" s="42">
        <f t="shared" si="14"/>
        <v>256.3</v>
      </c>
      <c r="T128" s="43">
        <f t="shared" si="15"/>
        <v>256.3</v>
      </c>
      <c r="U128" s="15" t="s">
        <v>41</v>
      </c>
      <c r="V128" s="150">
        <v>30</v>
      </c>
      <c r="W128" s="133" cm="1">
        <f t="array" ref="W128">IF(U128="",0,_xlfn.XLOOKUP(E128&amp;U128&amp;F128,tab_act&amp;tab_mod&amp;tab_act1,tab_riz)*V128*T128/MGMT)</f>
        <v>0</v>
      </c>
      <c r="X128" s="43" cm="1">
        <f t="array" ref="X128">IF(U128="",0,_xlfn.XLOOKUP(E128&amp;U128&amp;F128,tab_act&amp;tab_mod&amp;tab_act1,tab_mc)*V128*T128/MGMT)</f>
        <v>0</v>
      </c>
      <c r="Y128" s="43" cm="1">
        <f t="array" ref="Y128">IF(U128="",0,_xlfn.XLOOKUP(E128&amp;U128&amp;F128,tab_act&amp;tab_mod&amp;tab_act1,tab_sor)*V128*T128/MGMT)</f>
        <v>0</v>
      </c>
      <c r="Z128" s="43" cm="1">
        <f t="array" ref="Z128">IF(U128="",0,_xlfn.XLOOKUP(E128&amp;U128&amp;F128,tab_act&amp;tab_mod&amp;tab_act1,tab_mg)*V128*T128/MGMT)</f>
        <v>0</v>
      </c>
      <c r="AA128" s="133" cm="1">
        <f t="array" ref="AA128">IF(U128="",0,IF(U128="hybrid-Sch",_xlfn.XLOOKUP(E128&amp;U128&amp;F128,tab_act&amp;tab_mod&amp;tab_act1,tab_ls)*SchLS*T128/MGMT,_xlfn.XLOOKUP(E128&amp;U128&amp;F128,tab_act&amp;tab_mod&amp;tab_act1,tab_ls)*V128*T128/MGMT))</f>
        <v>0</v>
      </c>
      <c r="AB128" s="133" cm="1">
        <f t="array" ref="AB128">IF(U128="",0,_xlfn.XLOOKUP(E128&amp;U128&amp;F128,tab_act&amp;tab_mod&amp;tab_act1,tab_hu)*V128*T128/MGMT)</f>
        <v>0</v>
      </c>
      <c r="AC128" s="133" cm="1">
        <f t="array" ref="AC128">IF(U128="",0,_xlfn.XLOOKUP(E128&amp;U128&amp;F128,tab_act&amp;tab_mod&amp;tab_act1,tab_mnp)*V128*T128/MGMT)</f>
        <v>0</v>
      </c>
      <c r="AD128" s="133" cm="1">
        <f t="array" ref="AD128">IF(U128="",0,_xlfn.XLOOKUP(E128&amp;U128&amp;F128,tab_act&amp;tab_mod&amp;tab_act1,tab_Psup)*V128*T128/MGMT)</f>
        <v>0</v>
      </c>
      <c r="AE128" s="133" cm="1">
        <f t="array" ref="AE128">IF(U128="",0,_xlfn.XLOOKUP(E128&amp;U128&amp;F128,tab_act&amp;tab_mod&amp;tab_act1,tab_csb1)*V128*T128/MGMT)</f>
        <v>0</v>
      </c>
      <c r="AF128" s="133" cm="1">
        <f t="array" ref="AF128">IF(U128="",0,_xlfn.XLOOKUP(E128&amp;U128&amp;F128,tab_act&amp;tab_mod&amp;tab_act1,tab_csb2)*V128*T128/MGMT)</f>
        <v>0</v>
      </c>
      <c r="AG128" s="133" cm="1">
        <f t="array" ref="AG128">IF(U128="",0,_xlfn.XLOOKUP(E128&amp;U128&amp;F128,tab_act&amp;tab_mod&amp;tab_act1,tab_pdoz)*V128*T128/MGMT)</f>
        <v>0.38445000000000001</v>
      </c>
      <c r="AH128" s="133" cm="1">
        <f t="array" ref="AH128">IFERROR(IF(U128="",0,_xlfn.XLOOKUP(E128&amp;U128&amp;F128,tab_act&amp;tab_mod&amp;tab_act1,tab_lns)*V128*T128/MGMT),"")</f>
        <v>0</v>
      </c>
      <c r="AI128" s="47">
        <f t="shared" si="11"/>
        <v>0.38445000000000001</v>
      </c>
      <c r="AJ128" s="48">
        <f t="shared" si="16"/>
        <v>0</v>
      </c>
      <c r="AK128" s="49" cm="1">
        <f t="array" ref="AK128">IF(U128="",0,_xlfn.XLOOKUP(E128&amp;U128&amp;F128,tab_act&amp;tab_mod&amp;tab_act1,tab_cash)*V128*T128)</f>
        <v>0</v>
      </c>
      <c r="AN128" s="140" t="str">
        <f t="shared" si="13"/>
        <v>A</v>
      </c>
    </row>
    <row r="129" spans="2:40" x14ac:dyDescent="0.35">
      <c r="B129" s="50" t="s">
        <v>129</v>
      </c>
      <c r="C129" s="44">
        <v>2023</v>
      </c>
      <c r="D129" s="44" t="s">
        <v>100</v>
      </c>
      <c r="E129" s="15" t="s">
        <v>39</v>
      </c>
      <c r="F129" s="108" t="s">
        <v>22</v>
      </c>
      <c r="G129" s="15" t="s">
        <v>159</v>
      </c>
      <c r="H129" s="44"/>
      <c r="I129" s="15" t="s">
        <v>94</v>
      </c>
      <c r="J129" s="15" t="s">
        <v>94</v>
      </c>
      <c r="K129" s="15" t="s">
        <v>160</v>
      </c>
      <c r="L129" s="15" t="s">
        <v>95</v>
      </c>
      <c r="M129" s="15" t="s">
        <v>94</v>
      </c>
      <c r="N129" s="15" t="s">
        <v>67</v>
      </c>
      <c r="O129" s="15" t="s">
        <v>206</v>
      </c>
      <c r="P129" s="15" t="s">
        <v>210</v>
      </c>
      <c r="Q129" s="42">
        <v>238.7</v>
      </c>
      <c r="R129" s="42">
        <v>272.8</v>
      </c>
      <c r="S129" s="42">
        <f t="shared" si="14"/>
        <v>511.5</v>
      </c>
      <c r="T129" s="43">
        <f t="shared" si="15"/>
        <v>511.5</v>
      </c>
      <c r="U129" s="15" t="s">
        <v>41</v>
      </c>
      <c r="V129" s="150">
        <v>30</v>
      </c>
      <c r="W129" s="133" cm="1">
        <f t="array" ref="W129">IF(U129="",0,_xlfn.XLOOKUP(E129&amp;U129&amp;F129,tab_act&amp;tab_mod&amp;tab_act1,tab_riz)*V129*T129/MGMT)</f>
        <v>0</v>
      </c>
      <c r="X129" s="43" cm="1">
        <f t="array" ref="X129">IF(U129="",0,_xlfn.XLOOKUP(E129&amp;U129&amp;F129,tab_act&amp;tab_mod&amp;tab_act1,tab_mc)*V129*T129/MGMT)</f>
        <v>0</v>
      </c>
      <c r="Y129" s="43" cm="1">
        <f t="array" ref="Y129">IF(U129="",0,_xlfn.XLOOKUP(E129&amp;U129&amp;F129,tab_act&amp;tab_mod&amp;tab_act1,tab_sor)*V129*T129/MGMT)</f>
        <v>0</v>
      </c>
      <c r="Z129" s="43" cm="1">
        <f t="array" ref="Z129">IF(U129="",0,_xlfn.XLOOKUP(E129&amp;U129&amp;F129,tab_act&amp;tab_mod&amp;tab_act1,tab_mg)*V129*T129/MGMT)</f>
        <v>0</v>
      </c>
      <c r="AA129" s="133" cm="1">
        <f t="array" ref="AA129">IF(U129="",0,IF(U129="hybrid-Sch",_xlfn.XLOOKUP(E129&amp;U129&amp;F129,tab_act&amp;tab_mod&amp;tab_act1,tab_ls)*SchLS*T129/MGMT,_xlfn.XLOOKUP(E129&amp;U129&amp;F129,tab_act&amp;tab_mod&amp;tab_act1,tab_ls)*V129*T129/MGMT))</f>
        <v>0</v>
      </c>
      <c r="AB129" s="133" cm="1">
        <f t="array" ref="AB129">IF(U129="",0,_xlfn.XLOOKUP(E129&amp;U129&amp;F129,tab_act&amp;tab_mod&amp;tab_act1,tab_hu)*V129*T129/MGMT)</f>
        <v>0</v>
      </c>
      <c r="AC129" s="133" cm="1">
        <f t="array" ref="AC129">IF(U129="",0,_xlfn.XLOOKUP(E129&amp;U129&amp;F129,tab_act&amp;tab_mod&amp;tab_act1,tab_mnp)*V129*T129/MGMT)</f>
        <v>0</v>
      </c>
      <c r="AD129" s="133" cm="1">
        <f t="array" ref="AD129">IF(U129="",0,_xlfn.XLOOKUP(E129&amp;U129&amp;F129,tab_act&amp;tab_mod&amp;tab_act1,tab_Psup)*V129*T129/MGMT)</f>
        <v>0</v>
      </c>
      <c r="AE129" s="133" cm="1">
        <f t="array" ref="AE129">IF(U129="",0,_xlfn.XLOOKUP(E129&amp;U129&amp;F129,tab_act&amp;tab_mod&amp;tab_act1,tab_csb1)*V129*T129/MGMT)</f>
        <v>0</v>
      </c>
      <c r="AF129" s="133" cm="1">
        <f t="array" ref="AF129">IF(U129="",0,_xlfn.XLOOKUP(E129&amp;U129&amp;F129,tab_act&amp;tab_mod&amp;tab_act1,tab_csb2)*V129*T129/MGMT)</f>
        <v>0</v>
      </c>
      <c r="AG129" s="133" cm="1">
        <f t="array" ref="AG129">IF(U129="",0,_xlfn.XLOOKUP(E129&amp;U129&amp;F129,tab_act&amp;tab_mod&amp;tab_act1,tab_pdoz)*V129*T129/MGMT)</f>
        <v>0.76724999999999999</v>
      </c>
      <c r="AH129" s="133" cm="1">
        <f t="array" ref="AH129">IFERROR(IF(U129="",0,_xlfn.XLOOKUP(E129&amp;U129&amp;F129,tab_act&amp;tab_mod&amp;tab_act1,tab_lns)*V129*T129/MGMT),"")</f>
        <v>0</v>
      </c>
      <c r="AI129" s="47">
        <f t="shared" si="11"/>
        <v>0.76724999999999999</v>
      </c>
      <c r="AJ129" s="48">
        <f t="shared" si="16"/>
        <v>0</v>
      </c>
      <c r="AK129" s="49" cm="1">
        <f t="array" ref="AK129">IF(U129="",0,_xlfn.XLOOKUP(E129&amp;U129&amp;F129,tab_act&amp;tab_mod&amp;tab_act1,tab_cash)*V129*T129)</f>
        <v>0</v>
      </c>
      <c r="AN129" s="140" t="str">
        <f t="shared" si="13"/>
        <v>A</v>
      </c>
    </row>
    <row r="130" spans="2:40" x14ac:dyDescent="0.35">
      <c r="B130" s="50" t="s">
        <v>129</v>
      </c>
      <c r="C130" s="44">
        <v>2023</v>
      </c>
      <c r="D130" s="44" t="s">
        <v>100</v>
      </c>
      <c r="E130" s="15" t="s">
        <v>39</v>
      </c>
      <c r="F130" s="108" t="s">
        <v>22</v>
      </c>
      <c r="G130" s="15" t="s">
        <v>159</v>
      </c>
      <c r="H130" s="44"/>
      <c r="I130" s="15" t="s">
        <v>94</v>
      </c>
      <c r="J130" s="15" t="s">
        <v>94</v>
      </c>
      <c r="K130" s="15" t="s">
        <v>160</v>
      </c>
      <c r="L130" s="15" t="s">
        <v>95</v>
      </c>
      <c r="M130" s="15" t="s">
        <v>94</v>
      </c>
      <c r="N130" s="15" t="s">
        <v>67</v>
      </c>
      <c r="O130" s="15" t="s">
        <v>206</v>
      </c>
      <c r="P130" s="15" t="s">
        <v>211</v>
      </c>
      <c r="Q130" s="42">
        <v>93.5</v>
      </c>
      <c r="R130" s="42">
        <v>104.5</v>
      </c>
      <c r="S130" s="42">
        <f t="shared" si="14"/>
        <v>198</v>
      </c>
      <c r="T130" s="43">
        <f t="shared" si="15"/>
        <v>198</v>
      </c>
      <c r="U130" s="15" t="s">
        <v>41</v>
      </c>
      <c r="V130" s="150">
        <v>30</v>
      </c>
      <c r="W130" s="133" cm="1">
        <f t="array" ref="W130">IF(U130="",0,_xlfn.XLOOKUP(E130&amp;U130&amp;F130,tab_act&amp;tab_mod&amp;tab_act1,tab_riz)*V130*T130/MGMT)</f>
        <v>0</v>
      </c>
      <c r="X130" s="43" cm="1">
        <f t="array" ref="X130">IF(U130="",0,_xlfn.XLOOKUP(E130&amp;U130&amp;F130,tab_act&amp;tab_mod&amp;tab_act1,tab_mc)*V130*T130/MGMT)</f>
        <v>0</v>
      </c>
      <c r="Y130" s="43" cm="1">
        <f t="array" ref="Y130">IF(U130="",0,_xlfn.XLOOKUP(E130&amp;U130&amp;F130,tab_act&amp;tab_mod&amp;tab_act1,tab_sor)*V130*T130/MGMT)</f>
        <v>0</v>
      </c>
      <c r="Z130" s="43" cm="1">
        <f t="array" ref="Z130">IF(U130="",0,_xlfn.XLOOKUP(E130&amp;U130&amp;F130,tab_act&amp;tab_mod&amp;tab_act1,tab_mg)*V130*T130/MGMT)</f>
        <v>0</v>
      </c>
      <c r="AA130" s="133" cm="1">
        <f t="array" ref="AA130">IF(U130="",0,IF(U130="hybrid-Sch",_xlfn.XLOOKUP(E130&amp;U130&amp;F130,tab_act&amp;tab_mod&amp;tab_act1,tab_ls)*SchLS*T130/MGMT,_xlfn.XLOOKUP(E130&amp;U130&amp;F130,tab_act&amp;tab_mod&amp;tab_act1,tab_ls)*V130*T130/MGMT))</f>
        <v>0</v>
      </c>
      <c r="AB130" s="133" cm="1">
        <f t="array" ref="AB130">IF(U130="",0,_xlfn.XLOOKUP(E130&amp;U130&amp;F130,tab_act&amp;tab_mod&amp;tab_act1,tab_hu)*V130*T130/MGMT)</f>
        <v>0</v>
      </c>
      <c r="AC130" s="133" cm="1">
        <f t="array" ref="AC130">IF(U130="",0,_xlfn.XLOOKUP(E130&amp;U130&amp;F130,tab_act&amp;tab_mod&amp;tab_act1,tab_mnp)*V130*T130/MGMT)</f>
        <v>0</v>
      </c>
      <c r="AD130" s="133" cm="1">
        <f t="array" ref="AD130">IF(U130="",0,_xlfn.XLOOKUP(E130&amp;U130&amp;F130,tab_act&amp;tab_mod&amp;tab_act1,tab_Psup)*V130*T130/MGMT)</f>
        <v>0</v>
      </c>
      <c r="AE130" s="133" cm="1">
        <f t="array" ref="AE130">IF(U130="",0,_xlfn.XLOOKUP(E130&amp;U130&amp;F130,tab_act&amp;tab_mod&amp;tab_act1,tab_csb1)*V130*T130/MGMT)</f>
        <v>0</v>
      </c>
      <c r="AF130" s="133" cm="1">
        <f t="array" ref="AF130">IF(U130="",0,_xlfn.XLOOKUP(E130&amp;U130&amp;F130,tab_act&amp;tab_mod&amp;tab_act1,tab_csb2)*V130*T130/MGMT)</f>
        <v>0</v>
      </c>
      <c r="AG130" s="133" cm="1">
        <f t="array" ref="AG130">IF(U130="",0,_xlfn.XLOOKUP(E130&amp;U130&amp;F130,tab_act&amp;tab_mod&amp;tab_act1,tab_pdoz)*V130*T130/MGMT)</f>
        <v>0.29699999999999999</v>
      </c>
      <c r="AH130" s="133" cm="1">
        <f t="array" ref="AH130">IFERROR(IF(U130="",0,_xlfn.XLOOKUP(E130&amp;U130&amp;F130,tab_act&amp;tab_mod&amp;tab_act1,tab_lns)*V130*T130/MGMT),"")</f>
        <v>0</v>
      </c>
      <c r="AI130" s="47">
        <f t="shared" si="11"/>
        <v>0.29699999999999999</v>
      </c>
      <c r="AJ130" s="48">
        <f t="shared" si="16"/>
        <v>0</v>
      </c>
      <c r="AK130" s="49" cm="1">
        <f t="array" ref="AK130">IF(U130="",0,_xlfn.XLOOKUP(E130&amp;U130&amp;F130,tab_act&amp;tab_mod&amp;tab_act1,tab_cash)*V130*T130)</f>
        <v>0</v>
      </c>
      <c r="AN130" s="140" t="str">
        <f t="shared" si="13"/>
        <v>A</v>
      </c>
    </row>
    <row r="131" spans="2:40" x14ac:dyDescent="0.35">
      <c r="B131" s="50" t="s">
        <v>129</v>
      </c>
      <c r="C131" s="44">
        <v>2023</v>
      </c>
      <c r="D131" s="44" t="s">
        <v>100</v>
      </c>
      <c r="E131" s="15" t="s">
        <v>39</v>
      </c>
      <c r="F131" s="108" t="s">
        <v>22</v>
      </c>
      <c r="G131" s="15" t="s">
        <v>159</v>
      </c>
      <c r="H131" s="44"/>
      <c r="I131" s="15" t="s">
        <v>213</v>
      </c>
      <c r="J131" s="15" t="s">
        <v>91</v>
      </c>
      <c r="K131" s="15" t="s">
        <v>97</v>
      </c>
      <c r="L131" s="15" t="s">
        <v>212</v>
      </c>
      <c r="M131" s="15" t="s">
        <v>158</v>
      </c>
      <c r="N131" s="15" t="s">
        <v>68</v>
      </c>
      <c r="O131" s="15" t="s">
        <v>152</v>
      </c>
      <c r="P131" s="15" t="s">
        <v>214</v>
      </c>
      <c r="Q131" s="135"/>
      <c r="R131" s="42"/>
      <c r="S131" s="42">
        <v>732</v>
      </c>
      <c r="T131" s="43">
        <f t="shared" si="15"/>
        <v>732</v>
      </c>
      <c r="U131" s="15" t="s">
        <v>41</v>
      </c>
      <c r="V131" s="150">
        <v>30</v>
      </c>
      <c r="W131" s="133" cm="1">
        <f t="array" ref="W131">IF(U131="",0,_xlfn.XLOOKUP(E131&amp;U131&amp;F131,tab_act&amp;tab_mod&amp;tab_act1,tab_riz)*V131*T131/MGMT)</f>
        <v>0</v>
      </c>
      <c r="X131" s="43" cm="1">
        <f t="array" ref="X131">IF(U131="",0,_xlfn.XLOOKUP(E131&amp;U131&amp;F131,tab_act&amp;tab_mod&amp;tab_act1,tab_mc)*V131*T131/MGMT)</f>
        <v>0</v>
      </c>
      <c r="Y131" s="43" cm="1">
        <f t="array" ref="Y131">IF(U131="",0,_xlfn.XLOOKUP(E131&amp;U131&amp;F131,tab_act&amp;tab_mod&amp;tab_act1,tab_sor)*V131*T131/MGMT)</f>
        <v>0</v>
      </c>
      <c r="Z131" s="43" cm="1">
        <f t="array" ref="Z131">IF(U131="",0,_xlfn.XLOOKUP(E131&amp;U131&amp;F131,tab_act&amp;tab_mod&amp;tab_act1,tab_mg)*V131*T131/MGMT)</f>
        <v>0</v>
      </c>
      <c r="AA131" s="133" cm="1">
        <f t="array" ref="AA131">IF(U131="",0,IF(U131="hybrid-Sch",_xlfn.XLOOKUP(E131&amp;U131&amp;F131,tab_act&amp;tab_mod&amp;tab_act1,tab_ls)*SchLS*T131/MGMT,_xlfn.XLOOKUP(E131&amp;U131&amp;F131,tab_act&amp;tab_mod&amp;tab_act1,tab_ls)*V131*T131/MGMT))</f>
        <v>0</v>
      </c>
      <c r="AB131" s="133" cm="1">
        <f t="array" ref="AB131">IF(U131="",0,_xlfn.XLOOKUP(E131&amp;U131&amp;F131,tab_act&amp;tab_mod&amp;tab_act1,tab_hu)*V131*T131/MGMT)</f>
        <v>0</v>
      </c>
      <c r="AC131" s="133" cm="1">
        <f t="array" ref="AC131">IF(U131="",0,_xlfn.XLOOKUP(E131&amp;U131&amp;F131,tab_act&amp;tab_mod&amp;tab_act1,tab_mnp)*V131*T131/MGMT)</f>
        <v>0</v>
      </c>
      <c r="AD131" s="133" cm="1">
        <f t="array" ref="AD131">IF(U131="",0,_xlfn.XLOOKUP(E131&amp;U131&amp;F131,tab_act&amp;tab_mod&amp;tab_act1,tab_Psup)*V131*T131/MGMT)</f>
        <v>0</v>
      </c>
      <c r="AE131" s="133" cm="1">
        <f t="array" ref="AE131">IF(U131="",0,_xlfn.XLOOKUP(E131&amp;U131&amp;F131,tab_act&amp;tab_mod&amp;tab_act1,tab_csb1)*V131*T131/MGMT)</f>
        <v>0</v>
      </c>
      <c r="AF131" s="133" cm="1">
        <f t="array" ref="AF131">IF(U131="",0,_xlfn.XLOOKUP(E131&amp;U131&amp;F131,tab_act&amp;tab_mod&amp;tab_act1,tab_csb2)*V131*T131/MGMT)</f>
        <v>0</v>
      </c>
      <c r="AG131" s="133" cm="1">
        <f t="array" ref="AG131">IF(U131="",0,_xlfn.XLOOKUP(E131&amp;U131&amp;F131,tab_act&amp;tab_mod&amp;tab_act1,tab_pdoz)*V131*T131/MGMT)</f>
        <v>1.0980000000000001</v>
      </c>
      <c r="AH131" s="133" cm="1">
        <f t="array" ref="AH131">IF(U131="",0,_xlfn.XLOOKUP(E131&amp;U131&amp;F131,tab_act&amp;tab_mod&amp;tab_act1,tab_lns)*V131*T131/MGMT)</f>
        <v>0</v>
      </c>
      <c r="AI131" s="47">
        <f t="shared" si="11"/>
        <v>1.0980000000000001</v>
      </c>
      <c r="AJ131" s="48">
        <f t="shared" si="16"/>
        <v>0</v>
      </c>
      <c r="AK131" s="49" cm="1">
        <f t="array" ref="AK131">IF(U131="",0,_xlfn.XLOOKUP(E131&amp;U131&amp;F131,tab_act&amp;tab_mod&amp;tab_act1,tab_cash)*V131*T131)</f>
        <v>0</v>
      </c>
      <c r="AN131" s="140" t="str">
        <f t="shared" si="13"/>
        <v>A</v>
      </c>
    </row>
    <row r="132" spans="2:40" x14ac:dyDescent="0.35">
      <c r="B132" s="50" t="s">
        <v>129</v>
      </c>
      <c r="C132" s="44">
        <v>2023</v>
      </c>
      <c r="D132" s="44" t="s">
        <v>100</v>
      </c>
      <c r="E132" s="15" t="s">
        <v>39</v>
      </c>
      <c r="F132" s="108" t="s">
        <v>22</v>
      </c>
      <c r="G132" s="15" t="s">
        <v>159</v>
      </c>
      <c r="H132" s="44"/>
      <c r="I132" s="15" t="s">
        <v>213</v>
      </c>
      <c r="J132" s="15" t="s">
        <v>91</v>
      </c>
      <c r="K132" s="15" t="s">
        <v>97</v>
      </c>
      <c r="L132" s="15" t="s">
        <v>212</v>
      </c>
      <c r="M132" s="15" t="s">
        <v>158</v>
      </c>
      <c r="N132" s="15" t="s">
        <v>68</v>
      </c>
      <c r="O132" s="15" t="s">
        <v>152</v>
      </c>
      <c r="P132" s="15" t="s">
        <v>215</v>
      </c>
      <c r="Q132" s="135"/>
      <c r="R132" s="42"/>
      <c r="S132" s="42">
        <v>300</v>
      </c>
      <c r="T132" s="43">
        <f t="shared" ref="T132:T163" si="17">IF(E132="Sch",S132,IF(E132="nutrition",S132,S132/5))</f>
        <v>300</v>
      </c>
      <c r="U132" s="15" t="s">
        <v>41</v>
      </c>
      <c r="V132" s="150">
        <v>30</v>
      </c>
      <c r="W132" s="133" cm="1">
        <f t="array" ref="W132">IF(U132="",0,_xlfn.XLOOKUP(E132&amp;U132&amp;F132,tab_act&amp;tab_mod&amp;tab_act1,tab_riz)*V132*T132/MGMT)</f>
        <v>0</v>
      </c>
      <c r="X132" s="43" cm="1">
        <f t="array" ref="X132">IF(U132="",0,_xlfn.XLOOKUP(E132&amp;U132&amp;F132,tab_act&amp;tab_mod&amp;tab_act1,tab_mc)*V132*T132/MGMT)</f>
        <v>0</v>
      </c>
      <c r="Y132" s="43" cm="1">
        <f t="array" ref="Y132">IF(U132="",0,_xlfn.XLOOKUP(E132&amp;U132&amp;F132,tab_act&amp;tab_mod&amp;tab_act1,tab_sor)*V132*T132/MGMT)</f>
        <v>0</v>
      </c>
      <c r="Z132" s="43" cm="1">
        <f t="array" ref="Z132">IF(U132="",0,_xlfn.XLOOKUP(E132&amp;U132&amp;F132,tab_act&amp;tab_mod&amp;tab_act1,tab_mg)*V132*T132/MGMT)</f>
        <v>0</v>
      </c>
      <c r="AA132" s="133" cm="1">
        <f t="array" ref="AA132">IF(U132="",0,IF(U132="hybrid-Sch",_xlfn.XLOOKUP(E132&amp;U132&amp;F132,tab_act&amp;tab_mod&amp;tab_act1,tab_ls)*SchLS*T132/MGMT,_xlfn.XLOOKUP(E132&amp;U132&amp;F132,tab_act&amp;tab_mod&amp;tab_act1,tab_ls)*V132*T132/MGMT))</f>
        <v>0</v>
      </c>
      <c r="AB132" s="133" cm="1">
        <f t="array" ref="AB132">IF(U132="",0,_xlfn.XLOOKUP(E132&amp;U132&amp;F132,tab_act&amp;tab_mod&amp;tab_act1,tab_hu)*V132*T132/MGMT)</f>
        <v>0</v>
      </c>
      <c r="AC132" s="133" cm="1">
        <f t="array" ref="AC132">IF(U132="",0,_xlfn.XLOOKUP(E132&amp;U132&amp;F132,tab_act&amp;tab_mod&amp;tab_act1,tab_mnp)*V132*T132/MGMT)</f>
        <v>0</v>
      </c>
      <c r="AD132" s="133" cm="1">
        <f t="array" ref="AD132">IF(U132="",0,_xlfn.XLOOKUP(E132&amp;U132&amp;F132,tab_act&amp;tab_mod&amp;tab_act1,tab_Psup)*V132*T132/MGMT)</f>
        <v>0</v>
      </c>
      <c r="AE132" s="133" cm="1">
        <f t="array" ref="AE132">IF(U132="",0,_xlfn.XLOOKUP(E132&amp;U132&amp;F132,tab_act&amp;tab_mod&amp;tab_act1,tab_csb1)*V132*T132/MGMT)</f>
        <v>0</v>
      </c>
      <c r="AF132" s="133" cm="1">
        <f t="array" ref="AF132">IF(U132="",0,_xlfn.XLOOKUP(E132&amp;U132&amp;F132,tab_act&amp;tab_mod&amp;tab_act1,tab_csb2)*V132*T132/MGMT)</f>
        <v>0</v>
      </c>
      <c r="AG132" s="133" cm="1">
        <f t="array" ref="AG132">IF(U132="",0,_xlfn.XLOOKUP(E132&amp;U132&amp;F132,tab_act&amp;tab_mod&amp;tab_act1,tab_pdoz)*V132*T132/MGMT)</f>
        <v>0.45</v>
      </c>
      <c r="AH132" s="133" cm="1">
        <f t="array" ref="AH132">IF(U132="",0,_xlfn.XLOOKUP(E132&amp;U132&amp;F132,tab_act&amp;tab_mod&amp;tab_act1,tab_lns)*V132*T132/MGMT)</f>
        <v>0</v>
      </c>
      <c r="AI132" s="47">
        <f t="shared" ref="AI132:AI195" si="18">SUM(W132:AH132)</f>
        <v>0.45</v>
      </c>
      <c r="AJ132" s="48">
        <f t="shared" ref="AJ132:AJ163" si="19">AK132*ExRate</f>
        <v>0</v>
      </c>
      <c r="AK132" s="49" cm="1">
        <f t="array" ref="AK132">IF(U132="",0,_xlfn.XLOOKUP(E132&amp;U132&amp;F132,tab_act&amp;tab_mod&amp;tab_act1,tab_cash)*V132*T132)</f>
        <v>0</v>
      </c>
      <c r="AN132" s="140" t="str">
        <f t="shared" ref="AN132:AN195" si="20">IF(V132="","IA",IF(V132=0,"IA","A"))</f>
        <v>A</v>
      </c>
    </row>
    <row r="133" spans="2:40" x14ac:dyDescent="0.35">
      <c r="B133" s="50" t="s">
        <v>129</v>
      </c>
      <c r="C133" s="44">
        <v>2023</v>
      </c>
      <c r="D133" s="44" t="s">
        <v>100</v>
      </c>
      <c r="E133" s="15" t="s">
        <v>39</v>
      </c>
      <c r="F133" s="108" t="s">
        <v>22</v>
      </c>
      <c r="G133" s="15" t="s">
        <v>159</v>
      </c>
      <c r="H133" s="44"/>
      <c r="I133" s="15" t="s">
        <v>213</v>
      </c>
      <c r="J133" s="15" t="s">
        <v>91</v>
      </c>
      <c r="K133" s="15" t="s">
        <v>97</v>
      </c>
      <c r="L133" s="15" t="s">
        <v>212</v>
      </c>
      <c r="M133" s="15" t="s">
        <v>158</v>
      </c>
      <c r="N133" s="15" t="s">
        <v>68</v>
      </c>
      <c r="O133" s="15" t="s">
        <v>152</v>
      </c>
      <c r="P133" s="15" t="s">
        <v>216</v>
      </c>
      <c r="Q133" s="135"/>
      <c r="R133" s="42"/>
      <c r="S133" s="42">
        <v>342</v>
      </c>
      <c r="T133" s="43">
        <f t="shared" si="17"/>
        <v>342</v>
      </c>
      <c r="U133" s="15" t="s">
        <v>41</v>
      </c>
      <c r="V133" s="150">
        <v>30</v>
      </c>
      <c r="W133" s="133" cm="1">
        <f t="array" ref="W133">IF(U133="",0,_xlfn.XLOOKUP(E133&amp;U133&amp;F133,tab_act&amp;tab_mod&amp;tab_act1,tab_riz)*V133*T133/MGMT)</f>
        <v>0</v>
      </c>
      <c r="X133" s="43" cm="1">
        <f t="array" ref="X133">IF(U133="",0,_xlfn.XLOOKUP(E133&amp;U133&amp;F133,tab_act&amp;tab_mod&amp;tab_act1,tab_mc)*V133*T133/MGMT)</f>
        <v>0</v>
      </c>
      <c r="Y133" s="43" cm="1">
        <f t="array" ref="Y133">IF(U133="",0,_xlfn.XLOOKUP(E133&amp;U133&amp;F133,tab_act&amp;tab_mod&amp;tab_act1,tab_sor)*V133*T133/MGMT)</f>
        <v>0</v>
      </c>
      <c r="Z133" s="43" cm="1">
        <f t="array" ref="Z133">IF(U133="",0,_xlfn.XLOOKUP(E133&amp;U133&amp;F133,tab_act&amp;tab_mod&amp;tab_act1,tab_mg)*V133*T133/MGMT)</f>
        <v>0</v>
      </c>
      <c r="AA133" s="133" cm="1">
        <f t="array" ref="AA133">IF(U133="",0,IF(U133="hybrid-Sch",_xlfn.XLOOKUP(E133&amp;U133&amp;F133,tab_act&amp;tab_mod&amp;tab_act1,tab_ls)*SchLS*T133/MGMT,_xlfn.XLOOKUP(E133&amp;U133&amp;F133,tab_act&amp;tab_mod&amp;tab_act1,tab_ls)*V133*T133/MGMT))</f>
        <v>0</v>
      </c>
      <c r="AB133" s="133" cm="1">
        <f t="array" ref="AB133">IF(U133="",0,_xlfn.XLOOKUP(E133&amp;U133&amp;F133,tab_act&amp;tab_mod&amp;tab_act1,tab_hu)*V133*T133/MGMT)</f>
        <v>0</v>
      </c>
      <c r="AC133" s="133" cm="1">
        <f t="array" ref="AC133">IF(U133="",0,_xlfn.XLOOKUP(E133&amp;U133&amp;F133,tab_act&amp;tab_mod&amp;tab_act1,tab_mnp)*V133*T133/MGMT)</f>
        <v>0</v>
      </c>
      <c r="AD133" s="133" cm="1">
        <f t="array" ref="AD133">IF(U133="",0,_xlfn.XLOOKUP(E133&amp;U133&amp;F133,tab_act&amp;tab_mod&amp;tab_act1,tab_Psup)*V133*T133/MGMT)</f>
        <v>0</v>
      </c>
      <c r="AE133" s="133" cm="1">
        <f t="array" ref="AE133">IF(U133="",0,_xlfn.XLOOKUP(E133&amp;U133&amp;F133,tab_act&amp;tab_mod&amp;tab_act1,tab_csb1)*V133*T133/MGMT)</f>
        <v>0</v>
      </c>
      <c r="AF133" s="133" cm="1">
        <f t="array" ref="AF133">IF(U133="",0,_xlfn.XLOOKUP(E133&amp;U133&amp;F133,tab_act&amp;tab_mod&amp;tab_act1,tab_csb2)*V133*T133/MGMT)</f>
        <v>0</v>
      </c>
      <c r="AG133" s="133" cm="1">
        <f t="array" ref="AG133">IF(U133="",0,_xlfn.XLOOKUP(E133&amp;U133&amp;F133,tab_act&amp;tab_mod&amp;tab_act1,tab_pdoz)*V133*T133/MGMT)</f>
        <v>0.51300000000000001</v>
      </c>
      <c r="AH133" s="133" cm="1">
        <f t="array" ref="AH133">IF(U133="",0,_xlfn.XLOOKUP(E133&amp;U133&amp;F133,tab_act&amp;tab_mod&amp;tab_act1,tab_lns)*V133*T133/MGMT)</f>
        <v>0</v>
      </c>
      <c r="AI133" s="47">
        <f t="shared" si="18"/>
        <v>0.51300000000000001</v>
      </c>
      <c r="AJ133" s="48">
        <f t="shared" si="19"/>
        <v>0</v>
      </c>
      <c r="AK133" s="49" cm="1">
        <f t="array" ref="AK133">IF(U133="",0,_xlfn.XLOOKUP(E133&amp;U133&amp;F133,tab_act&amp;tab_mod&amp;tab_act1,tab_cash)*V133*T133)</f>
        <v>0</v>
      </c>
      <c r="AN133" s="140" t="str">
        <f t="shared" si="20"/>
        <v>A</v>
      </c>
    </row>
    <row r="134" spans="2:40" x14ac:dyDescent="0.35">
      <c r="B134" s="50" t="s">
        <v>129</v>
      </c>
      <c r="C134" s="44">
        <v>2023</v>
      </c>
      <c r="D134" s="44" t="s">
        <v>100</v>
      </c>
      <c r="E134" s="15" t="s">
        <v>39</v>
      </c>
      <c r="F134" s="108" t="s">
        <v>22</v>
      </c>
      <c r="G134" s="15" t="s">
        <v>159</v>
      </c>
      <c r="H134" s="44"/>
      <c r="I134" s="15" t="s">
        <v>213</v>
      </c>
      <c r="J134" s="15" t="s">
        <v>91</v>
      </c>
      <c r="K134" s="15" t="s">
        <v>97</v>
      </c>
      <c r="L134" s="15" t="s">
        <v>212</v>
      </c>
      <c r="M134" s="15" t="s">
        <v>158</v>
      </c>
      <c r="N134" s="15" t="s">
        <v>68</v>
      </c>
      <c r="O134" s="15" t="s">
        <v>152</v>
      </c>
      <c r="P134" s="15" t="s">
        <v>217</v>
      </c>
      <c r="Q134" s="135"/>
      <c r="R134" s="42"/>
      <c r="S134" s="42">
        <v>166</v>
      </c>
      <c r="T134" s="43">
        <f t="shared" si="17"/>
        <v>166</v>
      </c>
      <c r="U134" s="15" t="s">
        <v>41</v>
      </c>
      <c r="V134" s="150">
        <v>30</v>
      </c>
      <c r="W134" s="133" cm="1">
        <f t="array" ref="W134">IF(U134="",0,_xlfn.XLOOKUP(E134&amp;U134&amp;F134,tab_act&amp;tab_mod&amp;tab_act1,tab_riz)*V134*T134/MGMT)</f>
        <v>0</v>
      </c>
      <c r="X134" s="43" cm="1">
        <f t="array" ref="X134">IF(U134="",0,_xlfn.XLOOKUP(E134&amp;U134&amp;F134,tab_act&amp;tab_mod&amp;tab_act1,tab_mc)*V134*T134/MGMT)</f>
        <v>0</v>
      </c>
      <c r="Y134" s="43" cm="1">
        <f t="array" ref="Y134">IF(U134="",0,_xlfn.XLOOKUP(E134&amp;U134&amp;F134,tab_act&amp;tab_mod&amp;tab_act1,tab_sor)*V134*T134/MGMT)</f>
        <v>0</v>
      </c>
      <c r="Z134" s="43" cm="1">
        <f t="array" ref="Z134">IF(U134="",0,_xlfn.XLOOKUP(E134&amp;U134&amp;F134,tab_act&amp;tab_mod&amp;tab_act1,tab_mg)*V134*T134/MGMT)</f>
        <v>0</v>
      </c>
      <c r="AA134" s="133" cm="1">
        <f t="array" ref="AA134">IF(U134="",0,IF(U134="hybrid-Sch",_xlfn.XLOOKUP(E134&amp;U134&amp;F134,tab_act&amp;tab_mod&amp;tab_act1,tab_ls)*SchLS*T134/MGMT,_xlfn.XLOOKUP(E134&amp;U134&amp;F134,tab_act&amp;tab_mod&amp;tab_act1,tab_ls)*V134*T134/MGMT))</f>
        <v>0</v>
      </c>
      <c r="AB134" s="133" cm="1">
        <f t="array" ref="AB134">IF(U134="",0,_xlfn.XLOOKUP(E134&amp;U134&amp;F134,tab_act&amp;tab_mod&amp;tab_act1,tab_hu)*V134*T134/MGMT)</f>
        <v>0</v>
      </c>
      <c r="AC134" s="133" cm="1">
        <f t="array" ref="AC134">IF(U134="",0,_xlfn.XLOOKUP(E134&amp;U134&amp;F134,tab_act&amp;tab_mod&amp;tab_act1,tab_mnp)*V134*T134/MGMT)</f>
        <v>0</v>
      </c>
      <c r="AD134" s="133" cm="1">
        <f t="array" ref="AD134">IF(U134="",0,_xlfn.XLOOKUP(E134&amp;U134&amp;F134,tab_act&amp;tab_mod&amp;tab_act1,tab_Psup)*V134*T134/MGMT)</f>
        <v>0</v>
      </c>
      <c r="AE134" s="133" cm="1">
        <f t="array" ref="AE134">IF(U134="",0,_xlfn.XLOOKUP(E134&amp;U134&amp;F134,tab_act&amp;tab_mod&amp;tab_act1,tab_csb1)*V134*T134/MGMT)</f>
        <v>0</v>
      </c>
      <c r="AF134" s="133" cm="1">
        <f t="array" ref="AF134">IF(U134="",0,_xlfn.XLOOKUP(E134&amp;U134&amp;F134,tab_act&amp;tab_mod&amp;tab_act1,tab_csb2)*V134*T134/MGMT)</f>
        <v>0</v>
      </c>
      <c r="AG134" s="133" cm="1">
        <f t="array" ref="AG134">IF(U134="",0,_xlfn.XLOOKUP(E134&amp;U134&amp;F134,tab_act&amp;tab_mod&amp;tab_act1,tab_pdoz)*V134*T134/MGMT)</f>
        <v>0.249</v>
      </c>
      <c r="AH134" s="133" cm="1">
        <f t="array" ref="AH134">IF(U134="",0,_xlfn.XLOOKUP(E134&amp;U134&amp;F134,tab_act&amp;tab_mod&amp;tab_act1,tab_lns)*V134*T134/MGMT)</f>
        <v>0</v>
      </c>
      <c r="AI134" s="47">
        <f t="shared" si="18"/>
        <v>0.249</v>
      </c>
      <c r="AJ134" s="48">
        <f t="shared" si="19"/>
        <v>0</v>
      </c>
      <c r="AK134" s="49" cm="1">
        <f t="array" ref="AK134">IF(U134="",0,_xlfn.XLOOKUP(E134&amp;U134&amp;F134,tab_act&amp;tab_mod&amp;tab_act1,tab_cash)*V134*T134)</f>
        <v>0</v>
      </c>
      <c r="AN134" s="140" t="str">
        <f t="shared" si="20"/>
        <v>A</v>
      </c>
    </row>
    <row r="135" spans="2:40" x14ac:dyDescent="0.35">
      <c r="B135" s="50" t="s">
        <v>129</v>
      </c>
      <c r="C135" s="44">
        <v>2023</v>
      </c>
      <c r="D135" s="44" t="s">
        <v>100</v>
      </c>
      <c r="E135" s="15" t="s">
        <v>39</v>
      </c>
      <c r="F135" s="108" t="s">
        <v>22</v>
      </c>
      <c r="G135" s="15" t="s">
        <v>159</v>
      </c>
      <c r="H135" s="44"/>
      <c r="I135" s="15" t="s">
        <v>213</v>
      </c>
      <c r="J135" s="15" t="s">
        <v>91</v>
      </c>
      <c r="K135" s="15" t="s">
        <v>97</v>
      </c>
      <c r="L135" s="15" t="s">
        <v>212</v>
      </c>
      <c r="M135" s="15" t="s">
        <v>158</v>
      </c>
      <c r="N135" s="15" t="s">
        <v>68</v>
      </c>
      <c r="O135" s="15" t="s">
        <v>152</v>
      </c>
      <c r="P135" s="15" t="s">
        <v>218</v>
      </c>
      <c r="Q135" s="135"/>
      <c r="R135" s="42"/>
      <c r="S135" s="42">
        <v>320</v>
      </c>
      <c r="T135" s="43">
        <f t="shared" si="17"/>
        <v>320</v>
      </c>
      <c r="U135" s="15" t="s">
        <v>41</v>
      </c>
      <c r="V135" s="150">
        <v>30</v>
      </c>
      <c r="W135" s="133" cm="1">
        <f t="array" ref="W135">IF(U135="",0,_xlfn.XLOOKUP(E135&amp;U135&amp;F135,tab_act&amp;tab_mod&amp;tab_act1,tab_riz)*V135*T135/MGMT)</f>
        <v>0</v>
      </c>
      <c r="X135" s="43" cm="1">
        <f t="array" ref="X135">IF(U135="",0,_xlfn.XLOOKUP(E135&amp;U135&amp;F135,tab_act&amp;tab_mod&amp;tab_act1,tab_mc)*V135*T135/MGMT)</f>
        <v>0</v>
      </c>
      <c r="Y135" s="43" cm="1">
        <f t="array" ref="Y135">IF(U135="",0,_xlfn.XLOOKUP(E135&amp;U135&amp;F135,tab_act&amp;tab_mod&amp;tab_act1,tab_sor)*V135*T135/MGMT)</f>
        <v>0</v>
      </c>
      <c r="Z135" s="43" cm="1">
        <f t="array" ref="Z135">IF(U135="",0,_xlfn.XLOOKUP(E135&amp;U135&amp;F135,tab_act&amp;tab_mod&amp;tab_act1,tab_mg)*V135*T135/MGMT)</f>
        <v>0</v>
      </c>
      <c r="AA135" s="133" cm="1">
        <f t="array" ref="AA135">IF(U135="",0,IF(U135="hybrid-Sch",_xlfn.XLOOKUP(E135&amp;U135&amp;F135,tab_act&amp;tab_mod&amp;tab_act1,tab_ls)*SchLS*T135/MGMT,_xlfn.XLOOKUP(E135&amp;U135&amp;F135,tab_act&amp;tab_mod&amp;tab_act1,tab_ls)*V135*T135/MGMT))</f>
        <v>0</v>
      </c>
      <c r="AB135" s="133" cm="1">
        <f t="array" ref="AB135">IF(U135="",0,_xlfn.XLOOKUP(E135&amp;U135&amp;F135,tab_act&amp;tab_mod&amp;tab_act1,tab_hu)*V135*T135/MGMT)</f>
        <v>0</v>
      </c>
      <c r="AC135" s="133" cm="1">
        <f t="array" ref="AC135">IF(U135="",0,_xlfn.XLOOKUP(E135&amp;U135&amp;F135,tab_act&amp;tab_mod&amp;tab_act1,tab_mnp)*V135*T135/MGMT)</f>
        <v>0</v>
      </c>
      <c r="AD135" s="133" cm="1">
        <f t="array" ref="AD135">IF(U135="",0,_xlfn.XLOOKUP(E135&amp;U135&amp;F135,tab_act&amp;tab_mod&amp;tab_act1,tab_Psup)*V135*T135/MGMT)</f>
        <v>0</v>
      </c>
      <c r="AE135" s="133" cm="1">
        <f t="array" ref="AE135">IF(U135="",0,_xlfn.XLOOKUP(E135&amp;U135&amp;F135,tab_act&amp;tab_mod&amp;tab_act1,tab_csb1)*V135*T135/MGMT)</f>
        <v>0</v>
      </c>
      <c r="AF135" s="133" cm="1">
        <f t="array" ref="AF135">IF(U135="",0,_xlfn.XLOOKUP(E135&amp;U135&amp;F135,tab_act&amp;tab_mod&amp;tab_act1,tab_csb2)*V135*T135/MGMT)</f>
        <v>0</v>
      </c>
      <c r="AG135" s="133" cm="1">
        <f t="array" ref="AG135">IF(U135="",0,_xlfn.XLOOKUP(E135&amp;U135&amp;F135,tab_act&amp;tab_mod&amp;tab_act1,tab_pdoz)*V135*T135/MGMT)</f>
        <v>0.48</v>
      </c>
      <c r="AH135" s="133" cm="1">
        <f t="array" ref="AH135">IF(U135="",0,_xlfn.XLOOKUP(E135&amp;U135&amp;F135,tab_act&amp;tab_mod&amp;tab_act1,tab_lns)*V135*T135/MGMT)</f>
        <v>0</v>
      </c>
      <c r="AI135" s="47">
        <f t="shared" si="18"/>
        <v>0.48</v>
      </c>
      <c r="AJ135" s="48">
        <f t="shared" si="19"/>
        <v>0</v>
      </c>
      <c r="AK135" s="49" cm="1">
        <f t="array" ref="AK135">IF(U135="",0,_xlfn.XLOOKUP(E135&amp;U135&amp;F135,tab_act&amp;tab_mod&amp;tab_act1,tab_cash)*V135*T135)</f>
        <v>0</v>
      </c>
      <c r="AN135" s="140" t="str">
        <f t="shared" si="20"/>
        <v>A</v>
      </c>
    </row>
    <row r="136" spans="2:40" x14ac:dyDescent="0.35">
      <c r="B136" s="50" t="s">
        <v>129</v>
      </c>
      <c r="C136" s="44">
        <v>2023</v>
      </c>
      <c r="D136" s="44" t="s">
        <v>100</v>
      </c>
      <c r="E136" s="15" t="s">
        <v>39</v>
      </c>
      <c r="F136" s="108" t="s">
        <v>22</v>
      </c>
      <c r="G136" s="15" t="s">
        <v>159</v>
      </c>
      <c r="H136" s="44"/>
      <c r="I136" s="15" t="s">
        <v>213</v>
      </c>
      <c r="J136" s="15" t="s">
        <v>91</v>
      </c>
      <c r="K136" s="15" t="s">
        <v>97</v>
      </c>
      <c r="L136" s="15" t="s">
        <v>212</v>
      </c>
      <c r="M136" s="15" t="s">
        <v>158</v>
      </c>
      <c r="N136" s="15" t="s">
        <v>68</v>
      </c>
      <c r="O136" s="15" t="s">
        <v>152</v>
      </c>
      <c r="P136" s="15" t="s">
        <v>219</v>
      </c>
      <c r="Q136" s="135"/>
      <c r="R136" s="42"/>
      <c r="S136" s="42">
        <v>324</v>
      </c>
      <c r="T136" s="43">
        <f t="shared" si="17"/>
        <v>324</v>
      </c>
      <c r="U136" s="15" t="s">
        <v>41</v>
      </c>
      <c r="V136" s="150">
        <v>30</v>
      </c>
      <c r="W136" s="133" cm="1">
        <f t="array" ref="W136">IF(U136="",0,_xlfn.XLOOKUP(E136&amp;U136&amp;F136,tab_act&amp;tab_mod&amp;tab_act1,tab_riz)*V136*T136/MGMT)</f>
        <v>0</v>
      </c>
      <c r="X136" s="43" cm="1">
        <f t="array" ref="X136">IF(U136="",0,_xlfn.XLOOKUP(E136&amp;U136&amp;F136,tab_act&amp;tab_mod&amp;tab_act1,tab_mc)*V136*T136/MGMT)</f>
        <v>0</v>
      </c>
      <c r="Y136" s="43" cm="1">
        <f t="array" ref="Y136">IF(U136="",0,_xlfn.XLOOKUP(E136&amp;U136&amp;F136,tab_act&amp;tab_mod&amp;tab_act1,tab_sor)*V136*T136/MGMT)</f>
        <v>0</v>
      </c>
      <c r="Z136" s="43" cm="1">
        <f t="array" ref="Z136">IF(U136="",0,_xlfn.XLOOKUP(E136&amp;U136&amp;F136,tab_act&amp;tab_mod&amp;tab_act1,tab_mg)*V136*T136/MGMT)</f>
        <v>0</v>
      </c>
      <c r="AA136" s="133" cm="1">
        <f t="array" ref="AA136">IF(U136="",0,IF(U136="hybrid-Sch",_xlfn.XLOOKUP(E136&amp;U136&amp;F136,tab_act&amp;tab_mod&amp;tab_act1,tab_ls)*SchLS*T136/MGMT,_xlfn.XLOOKUP(E136&amp;U136&amp;F136,tab_act&amp;tab_mod&amp;tab_act1,tab_ls)*V136*T136/MGMT))</f>
        <v>0</v>
      </c>
      <c r="AB136" s="133" cm="1">
        <f t="array" ref="AB136">IF(U136="",0,_xlfn.XLOOKUP(E136&amp;U136&amp;F136,tab_act&amp;tab_mod&amp;tab_act1,tab_hu)*V136*T136/MGMT)</f>
        <v>0</v>
      </c>
      <c r="AC136" s="133" cm="1">
        <f t="array" ref="AC136">IF(U136="",0,_xlfn.XLOOKUP(E136&amp;U136&amp;F136,tab_act&amp;tab_mod&amp;tab_act1,tab_mnp)*V136*T136/MGMT)</f>
        <v>0</v>
      </c>
      <c r="AD136" s="133" cm="1">
        <f t="array" ref="AD136">IF(U136="",0,_xlfn.XLOOKUP(E136&amp;U136&amp;F136,tab_act&amp;tab_mod&amp;tab_act1,tab_Psup)*V136*T136/MGMT)</f>
        <v>0</v>
      </c>
      <c r="AE136" s="133" cm="1">
        <f t="array" ref="AE136">IF(U136="",0,_xlfn.XLOOKUP(E136&amp;U136&amp;F136,tab_act&amp;tab_mod&amp;tab_act1,tab_csb1)*V136*T136/MGMT)</f>
        <v>0</v>
      </c>
      <c r="AF136" s="133" cm="1">
        <f t="array" ref="AF136">IF(U136="",0,_xlfn.XLOOKUP(E136&amp;U136&amp;F136,tab_act&amp;tab_mod&amp;tab_act1,tab_csb2)*V136*T136/MGMT)</f>
        <v>0</v>
      </c>
      <c r="AG136" s="133" cm="1">
        <f t="array" ref="AG136">IF(U136="",0,_xlfn.XLOOKUP(E136&amp;U136&amp;F136,tab_act&amp;tab_mod&amp;tab_act1,tab_pdoz)*V136*T136/MGMT)</f>
        <v>0.48599999999999999</v>
      </c>
      <c r="AH136" s="133" cm="1">
        <f t="array" ref="AH136">IF(U136="",0,_xlfn.XLOOKUP(E136&amp;U136&amp;F136,tab_act&amp;tab_mod&amp;tab_act1,tab_lns)*V136*T136/MGMT)</f>
        <v>0</v>
      </c>
      <c r="AI136" s="47">
        <f t="shared" si="18"/>
        <v>0.48599999999999999</v>
      </c>
      <c r="AJ136" s="48">
        <f t="shared" si="19"/>
        <v>0</v>
      </c>
      <c r="AK136" s="49" cm="1">
        <f t="array" ref="AK136">IF(U136="",0,_xlfn.XLOOKUP(E136&amp;U136&amp;F136,tab_act&amp;tab_mod&amp;tab_act1,tab_cash)*V136*T136)</f>
        <v>0</v>
      </c>
      <c r="AN136" s="140" t="str">
        <f t="shared" si="20"/>
        <v>A</v>
      </c>
    </row>
    <row r="137" spans="2:40" x14ac:dyDescent="0.35">
      <c r="B137" s="50" t="s">
        <v>129</v>
      </c>
      <c r="C137" s="44">
        <v>2023</v>
      </c>
      <c r="D137" s="44" t="s">
        <v>100</v>
      </c>
      <c r="E137" s="15" t="s">
        <v>39</v>
      </c>
      <c r="F137" s="108" t="s">
        <v>22</v>
      </c>
      <c r="G137" s="15" t="s">
        <v>159</v>
      </c>
      <c r="H137" s="44"/>
      <c r="I137" s="15" t="s">
        <v>213</v>
      </c>
      <c r="J137" s="15" t="s">
        <v>91</v>
      </c>
      <c r="K137" s="15" t="s">
        <v>97</v>
      </c>
      <c r="L137" s="15" t="s">
        <v>212</v>
      </c>
      <c r="M137" s="15" t="s">
        <v>158</v>
      </c>
      <c r="N137" s="15" t="s">
        <v>68</v>
      </c>
      <c r="O137" s="15" t="s">
        <v>152</v>
      </c>
      <c r="P137" s="15" t="s">
        <v>220</v>
      </c>
      <c r="Q137" s="135"/>
      <c r="R137" s="42"/>
      <c r="S137" s="42">
        <v>282</v>
      </c>
      <c r="T137" s="43">
        <f t="shared" si="17"/>
        <v>282</v>
      </c>
      <c r="U137" s="15" t="s">
        <v>41</v>
      </c>
      <c r="V137" s="150">
        <v>30</v>
      </c>
      <c r="W137" s="133" cm="1">
        <f t="array" ref="W137">IF(U137="",0,_xlfn.XLOOKUP(E137&amp;U137&amp;F137,tab_act&amp;tab_mod&amp;tab_act1,tab_riz)*V137*T137/MGMT)</f>
        <v>0</v>
      </c>
      <c r="X137" s="43" cm="1">
        <f t="array" ref="X137">IF(U137="",0,_xlfn.XLOOKUP(E137&amp;U137&amp;F137,tab_act&amp;tab_mod&amp;tab_act1,tab_mc)*V137*T137/MGMT)</f>
        <v>0</v>
      </c>
      <c r="Y137" s="43" cm="1">
        <f t="array" ref="Y137">IF(U137="",0,_xlfn.XLOOKUP(E137&amp;U137&amp;F137,tab_act&amp;tab_mod&amp;tab_act1,tab_sor)*V137*T137/MGMT)</f>
        <v>0</v>
      </c>
      <c r="Z137" s="43" cm="1">
        <f t="array" ref="Z137">IF(U137="",0,_xlfn.XLOOKUP(E137&amp;U137&amp;F137,tab_act&amp;tab_mod&amp;tab_act1,tab_mg)*V137*T137/MGMT)</f>
        <v>0</v>
      </c>
      <c r="AA137" s="133" cm="1">
        <f t="array" ref="AA137">IF(U137="",0,IF(U137="hybrid-Sch",_xlfn.XLOOKUP(E137&amp;U137&amp;F137,tab_act&amp;tab_mod&amp;tab_act1,tab_ls)*SchLS*T137/MGMT,_xlfn.XLOOKUP(E137&amp;U137&amp;F137,tab_act&amp;tab_mod&amp;tab_act1,tab_ls)*V137*T137/MGMT))</f>
        <v>0</v>
      </c>
      <c r="AB137" s="133" cm="1">
        <f t="array" ref="AB137">IF(U137="",0,_xlfn.XLOOKUP(E137&amp;U137&amp;F137,tab_act&amp;tab_mod&amp;tab_act1,tab_hu)*V137*T137/MGMT)</f>
        <v>0</v>
      </c>
      <c r="AC137" s="133" cm="1">
        <f t="array" ref="AC137">IF(U137="",0,_xlfn.XLOOKUP(E137&amp;U137&amp;F137,tab_act&amp;tab_mod&amp;tab_act1,tab_mnp)*V137*T137/MGMT)</f>
        <v>0</v>
      </c>
      <c r="AD137" s="133" cm="1">
        <f t="array" ref="AD137">IF(U137="",0,_xlfn.XLOOKUP(E137&amp;U137&amp;F137,tab_act&amp;tab_mod&amp;tab_act1,tab_Psup)*V137*T137/MGMT)</f>
        <v>0</v>
      </c>
      <c r="AE137" s="133" cm="1">
        <f t="array" ref="AE137">IF(U137="",0,_xlfn.XLOOKUP(E137&amp;U137&amp;F137,tab_act&amp;tab_mod&amp;tab_act1,tab_csb1)*V137*T137/MGMT)</f>
        <v>0</v>
      </c>
      <c r="AF137" s="133" cm="1">
        <f t="array" ref="AF137">IF(U137="",0,_xlfn.XLOOKUP(E137&amp;U137&amp;F137,tab_act&amp;tab_mod&amp;tab_act1,tab_csb2)*V137*T137/MGMT)</f>
        <v>0</v>
      </c>
      <c r="AG137" s="133" cm="1">
        <f t="array" ref="AG137">IF(U137="",0,_xlfn.XLOOKUP(E137&amp;U137&amp;F137,tab_act&amp;tab_mod&amp;tab_act1,tab_pdoz)*V137*T137/MGMT)</f>
        <v>0.42299999999999999</v>
      </c>
      <c r="AH137" s="133" cm="1">
        <f t="array" ref="AH137">IF(U137="",0,_xlfn.XLOOKUP(E137&amp;U137&amp;F137,tab_act&amp;tab_mod&amp;tab_act1,tab_lns)*V137*T137/MGMT)</f>
        <v>0</v>
      </c>
      <c r="AI137" s="47">
        <f t="shared" si="18"/>
        <v>0.42299999999999999</v>
      </c>
      <c r="AJ137" s="48">
        <f t="shared" si="19"/>
        <v>0</v>
      </c>
      <c r="AK137" s="49" cm="1">
        <f t="array" ref="AK137">IF(U137="",0,_xlfn.XLOOKUP(E137&amp;U137&amp;F137,tab_act&amp;tab_mod&amp;tab_act1,tab_cash)*V137*T137)</f>
        <v>0</v>
      </c>
      <c r="AN137" s="140" t="str">
        <f t="shared" si="20"/>
        <v>A</v>
      </c>
    </row>
    <row r="138" spans="2:40" x14ac:dyDescent="0.35">
      <c r="B138" s="50" t="s">
        <v>129</v>
      </c>
      <c r="C138" s="44">
        <v>2023</v>
      </c>
      <c r="D138" s="44" t="s">
        <v>100</v>
      </c>
      <c r="E138" s="15" t="s">
        <v>39</v>
      </c>
      <c r="F138" s="108" t="s">
        <v>22</v>
      </c>
      <c r="G138" s="15" t="s">
        <v>159</v>
      </c>
      <c r="H138" s="44"/>
      <c r="I138" s="15" t="s">
        <v>213</v>
      </c>
      <c r="J138" s="15" t="s">
        <v>91</v>
      </c>
      <c r="K138" s="15" t="s">
        <v>97</v>
      </c>
      <c r="L138" s="15" t="s">
        <v>212</v>
      </c>
      <c r="M138" s="15" t="s">
        <v>158</v>
      </c>
      <c r="N138" s="15" t="s">
        <v>68</v>
      </c>
      <c r="O138" s="15" t="s">
        <v>152</v>
      </c>
      <c r="P138" s="15" t="s">
        <v>221</v>
      </c>
      <c r="Q138" s="135"/>
      <c r="R138" s="42"/>
      <c r="S138" s="42">
        <v>214</v>
      </c>
      <c r="T138" s="43">
        <f t="shared" si="17"/>
        <v>214</v>
      </c>
      <c r="U138" s="15" t="s">
        <v>41</v>
      </c>
      <c r="V138" s="150">
        <v>30</v>
      </c>
      <c r="W138" s="133" cm="1">
        <f t="array" ref="W138">IF(U138="",0,_xlfn.XLOOKUP(E138&amp;U138&amp;F138,tab_act&amp;tab_mod&amp;tab_act1,tab_riz)*V138*T138/MGMT)</f>
        <v>0</v>
      </c>
      <c r="X138" s="43" cm="1">
        <f t="array" ref="X138">IF(U138="",0,_xlfn.XLOOKUP(E138&amp;U138&amp;F138,tab_act&amp;tab_mod&amp;tab_act1,tab_mc)*V138*T138/MGMT)</f>
        <v>0</v>
      </c>
      <c r="Y138" s="43" cm="1">
        <f t="array" ref="Y138">IF(U138="",0,_xlfn.XLOOKUP(E138&amp;U138&amp;F138,tab_act&amp;tab_mod&amp;tab_act1,tab_sor)*V138*T138/MGMT)</f>
        <v>0</v>
      </c>
      <c r="Z138" s="43" cm="1">
        <f t="array" ref="Z138">IF(U138="",0,_xlfn.XLOOKUP(E138&amp;U138&amp;F138,tab_act&amp;tab_mod&amp;tab_act1,tab_mg)*V138*T138/MGMT)</f>
        <v>0</v>
      </c>
      <c r="AA138" s="133" cm="1">
        <f t="array" ref="AA138">IF(U138="",0,IF(U138="hybrid-Sch",_xlfn.XLOOKUP(E138&amp;U138&amp;F138,tab_act&amp;tab_mod&amp;tab_act1,tab_ls)*SchLS*T138/MGMT,_xlfn.XLOOKUP(E138&amp;U138&amp;F138,tab_act&amp;tab_mod&amp;tab_act1,tab_ls)*V138*T138/MGMT))</f>
        <v>0</v>
      </c>
      <c r="AB138" s="133" cm="1">
        <f t="array" ref="AB138">IF(U138="",0,_xlfn.XLOOKUP(E138&amp;U138&amp;F138,tab_act&amp;tab_mod&amp;tab_act1,tab_hu)*V138*T138/MGMT)</f>
        <v>0</v>
      </c>
      <c r="AC138" s="133" cm="1">
        <f t="array" ref="AC138">IF(U138="",0,_xlfn.XLOOKUP(E138&amp;U138&amp;F138,tab_act&amp;tab_mod&amp;tab_act1,tab_mnp)*V138*T138/MGMT)</f>
        <v>0</v>
      </c>
      <c r="AD138" s="133" cm="1">
        <f t="array" ref="AD138">IF(U138="",0,_xlfn.XLOOKUP(E138&amp;U138&amp;F138,tab_act&amp;tab_mod&amp;tab_act1,tab_Psup)*V138*T138/MGMT)</f>
        <v>0</v>
      </c>
      <c r="AE138" s="133" cm="1">
        <f t="array" ref="AE138">IF(U138="",0,_xlfn.XLOOKUP(E138&amp;U138&amp;F138,tab_act&amp;tab_mod&amp;tab_act1,tab_csb1)*V138*T138/MGMT)</f>
        <v>0</v>
      </c>
      <c r="AF138" s="133" cm="1">
        <f t="array" ref="AF138">IF(U138="",0,_xlfn.XLOOKUP(E138&amp;U138&amp;F138,tab_act&amp;tab_mod&amp;tab_act1,tab_csb2)*V138*T138/MGMT)</f>
        <v>0</v>
      </c>
      <c r="AG138" s="133" cm="1">
        <f t="array" ref="AG138">IF(U138="",0,_xlfn.XLOOKUP(E138&amp;U138&amp;F138,tab_act&amp;tab_mod&amp;tab_act1,tab_pdoz)*V138*T138/MGMT)</f>
        <v>0.32100000000000001</v>
      </c>
      <c r="AH138" s="133" cm="1">
        <f t="array" ref="AH138">IF(U138="",0,_xlfn.XLOOKUP(E138&amp;U138&amp;F138,tab_act&amp;tab_mod&amp;tab_act1,tab_lns)*V138*T138/MGMT)</f>
        <v>0</v>
      </c>
      <c r="AI138" s="47">
        <f t="shared" si="18"/>
        <v>0.32100000000000001</v>
      </c>
      <c r="AJ138" s="48">
        <f t="shared" si="19"/>
        <v>0</v>
      </c>
      <c r="AK138" s="49" cm="1">
        <f t="array" ref="AK138">IF(U138="",0,_xlfn.XLOOKUP(E138&amp;U138&amp;F138,tab_act&amp;tab_mod&amp;tab_act1,tab_cash)*V138*T138)</f>
        <v>0</v>
      </c>
      <c r="AN138" s="140" t="str">
        <f t="shared" si="20"/>
        <v>A</v>
      </c>
    </row>
    <row r="139" spans="2:40" x14ac:dyDescent="0.35">
      <c r="B139" s="50" t="s">
        <v>129</v>
      </c>
      <c r="C139" s="44">
        <v>2023</v>
      </c>
      <c r="D139" s="44" t="s">
        <v>100</v>
      </c>
      <c r="E139" s="15" t="s">
        <v>39</v>
      </c>
      <c r="F139" s="108" t="s">
        <v>22</v>
      </c>
      <c r="G139" s="15" t="s">
        <v>159</v>
      </c>
      <c r="H139" s="44"/>
      <c r="I139" s="15" t="s">
        <v>213</v>
      </c>
      <c r="J139" s="15" t="s">
        <v>91</v>
      </c>
      <c r="K139" s="15" t="s">
        <v>97</v>
      </c>
      <c r="L139" s="15" t="s">
        <v>212</v>
      </c>
      <c r="M139" s="15" t="s">
        <v>158</v>
      </c>
      <c r="N139" s="15" t="s">
        <v>68</v>
      </c>
      <c r="O139" s="15" t="s">
        <v>222</v>
      </c>
      <c r="P139" s="15" t="s">
        <v>223</v>
      </c>
      <c r="Q139" s="135"/>
      <c r="R139" s="42"/>
      <c r="S139" s="42">
        <v>560</v>
      </c>
      <c r="T139" s="43">
        <f t="shared" si="17"/>
        <v>560</v>
      </c>
      <c r="U139" s="15" t="s">
        <v>41</v>
      </c>
      <c r="V139" s="150">
        <v>30</v>
      </c>
      <c r="W139" s="133" cm="1">
        <f t="array" ref="W139">IF(U139="",0,_xlfn.XLOOKUP(E139&amp;U139&amp;F139,tab_act&amp;tab_mod&amp;tab_act1,tab_riz)*V139*T139/MGMT)</f>
        <v>0</v>
      </c>
      <c r="X139" s="43" cm="1">
        <f t="array" ref="X139">IF(U139="",0,_xlfn.XLOOKUP(E139&amp;U139&amp;F139,tab_act&amp;tab_mod&amp;tab_act1,tab_mc)*V139*T139/MGMT)</f>
        <v>0</v>
      </c>
      <c r="Y139" s="43" cm="1">
        <f t="array" ref="Y139">IF(U139="",0,_xlfn.XLOOKUP(E139&amp;U139&amp;F139,tab_act&amp;tab_mod&amp;tab_act1,tab_sor)*V139*T139/MGMT)</f>
        <v>0</v>
      </c>
      <c r="Z139" s="43" cm="1">
        <f t="array" ref="Z139">IF(U139="",0,_xlfn.XLOOKUP(E139&amp;U139&amp;F139,tab_act&amp;tab_mod&amp;tab_act1,tab_mg)*V139*T139/MGMT)</f>
        <v>0</v>
      </c>
      <c r="AA139" s="133" cm="1">
        <f t="array" ref="AA139">IF(U139="",0,IF(U139="hybrid-Sch",_xlfn.XLOOKUP(E139&amp;U139&amp;F139,tab_act&amp;tab_mod&amp;tab_act1,tab_ls)*SchLS*T139/MGMT,_xlfn.XLOOKUP(E139&amp;U139&amp;F139,tab_act&amp;tab_mod&amp;tab_act1,tab_ls)*V139*T139/MGMT))</f>
        <v>0</v>
      </c>
      <c r="AB139" s="133" cm="1">
        <f t="array" ref="AB139">IF(U139="",0,_xlfn.XLOOKUP(E139&amp;U139&amp;F139,tab_act&amp;tab_mod&amp;tab_act1,tab_hu)*V139*T139/MGMT)</f>
        <v>0</v>
      </c>
      <c r="AC139" s="133" cm="1">
        <f t="array" ref="AC139">IF(U139="",0,_xlfn.XLOOKUP(E139&amp;U139&amp;F139,tab_act&amp;tab_mod&amp;tab_act1,tab_mnp)*V139*T139/MGMT)</f>
        <v>0</v>
      </c>
      <c r="AD139" s="133" cm="1">
        <f t="array" ref="AD139">IF(U139="",0,_xlfn.XLOOKUP(E139&amp;U139&amp;F139,tab_act&amp;tab_mod&amp;tab_act1,tab_Psup)*V139*T139/MGMT)</f>
        <v>0</v>
      </c>
      <c r="AE139" s="133" cm="1">
        <f t="array" ref="AE139">IF(U139="",0,_xlfn.XLOOKUP(E139&amp;U139&amp;F139,tab_act&amp;tab_mod&amp;tab_act1,tab_csb1)*V139*T139/MGMT)</f>
        <v>0</v>
      </c>
      <c r="AF139" s="133" cm="1">
        <f t="array" ref="AF139">IF(U139="",0,_xlfn.XLOOKUP(E139&amp;U139&amp;F139,tab_act&amp;tab_mod&amp;tab_act1,tab_csb2)*V139*T139/MGMT)</f>
        <v>0</v>
      </c>
      <c r="AG139" s="133" cm="1">
        <f t="array" ref="AG139">IF(U139="",0,_xlfn.XLOOKUP(E139&amp;U139&amp;F139,tab_act&amp;tab_mod&amp;tab_act1,tab_pdoz)*V139*T139/MGMT)</f>
        <v>0.84</v>
      </c>
      <c r="AH139" s="133" cm="1">
        <f t="array" ref="AH139">IF(U139="",0,_xlfn.XLOOKUP(E139&amp;U139&amp;F139,tab_act&amp;tab_mod&amp;tab_act1,tab_lns)*V139*T139/MGMT)</f>
        <v>0</v>
      </c>
      <c r="AI139" s="47">
        <f t="shared" si="18"/>
        <v>0.84</v>
      </c>
      <c r="AJ139" s="48">
        <f t="shared" si="19"/>
        <v>0</v>
      </c>
      <c r="AK139" s="49" cm="1">
        <f t="array" ref="AK139">IF(U139="",0,_xlfn.XLOOKUP(E139&amp;U139&amp;F139,tab_act&amp;tab_mod&amp;tab_act1,tab_cash)*V139*T139)</f>
        <v>0</v>
      </c>
      <c r="AN139" s="140" t="str">
        <f t="shared" si="20"/>
        <v>A</v>
      </c>
    </row>
    <row r="140" spans="2:40" x14ac:dyDescent="0.35">
      <c r="B140" s="50" t="s">
        <v>129</v>
      </c>
      <c r="C140" s="44">
        <v>2023</v>
      </c>
      <c r="D140" s="44" t="s">
        <v>100</v>
      </c>
      <c r="E140" s="15" t="s">
        <v>39</v>
      </c>
      <c r="F140" s="108" t="s">
        <v>22</v>
      </c>
      <c r="G140" s="15" t="s">
        <v>159</v>
      </c>
      <c r="H140" s="44"/>
      <c r="I140" s="15" t="s">
        <v>213</v>
      </c>
      <c r="J140" s="15" t="s">
        <v>91</v>
      </c>
      <c r="K140" s="15" t="s">
        <v>97</v>
      </c>
      <c r="L140" s="15" t="s">
        <v>212</v>
      </c>
      <c r="M140" s="15" t="s">
        <v>158</v>
      </c>
      <c r="N140" s="15" t="s">
        <v>68</v>
      </c>
      <c r="O140" s="15" t="s">
        <v>222</v>
      </c>
      <c r="P140" s="15" t="s">
        <v>224</v>
      </c>
      <c r="Q140" s="135"/>
      <c r="R140" s="42"/>
      <c r="S140" s="42">
        <v>486</v>
      </c>
      <c r="T140" s="43">
        <f t="shared" si="17"/>
        <v>486</v>
      </c>
      <c r="U140" s="15" t="s">
        <v>41</v>
      </c>
      <c r="V140" s="150">
        <v>30</v>
      </c>
      <c r="W140" s="133" cm="1">
        <f t="array" ref="W140">IF(U140="",0,_xlfn.XLOOKUP(E140&amp;U140&amp;F140,tab_act&amp;tab_mod&amp;tab_act1,tab_riz)*V140*T140/MGMT)</f>
        <v>0</v>
      </c>
      <c r="X140" s="43" cm="1">
        <f t="array" ref="X140">IF(U140="",0,_xlfn.XLOOKUP(E140&amp;U140&amp;F140,tab_act&amp;tab_mod&amp;tab_act1,tab_mc)*V140*T140/MGMT)</f>
        <v>0</v>
      </c>
      <c r="Y140" s="43" cm="1">
        <f t="array" ref="Y140">IF(U140="",0,_xlfn.XLOOKUP(E140&amp;U140&amp;F140,tab_act&amp;tab_mod&amp;tab_act1,tab_sor)*V140*T140/MGMT)</f>
        <v>0</v>
      </c>
      <c r="Z140" s="43" cm="1">
        <f t="array" ref="Z140">IF(U140="",0,_xlfn.XLOOKUP(E140&amp;U140&amp;F140,tab_act&amp;tab_mod&amp;tab_act1,tab_mg)*V140*T140/MGMT)</f>
        <v>0</v>
      </c>
      <c r="AA140" s="133" cm="1">
        <f t="array" ref="AA140">IF(U140="",0,IF(U140="hybrid-Sch",_xlfn.XLOOKUP(E140&amp;U140&amp;F140,tab_act&amp;tab_mod&amp;tab_act1,tab_ls)*SchLS*T140/MGMT,_xlfn.XLOOKUP(E140&amp;U140&amp;F140,tab_act&amp;tab_mod&amp;tab_act1,tab_ls)*V140*T140/MGMT))</f>
        <v>0</v>
      </c>
      <c r="AB140" s="133" cm="1">
        <f t="array" ref="AB140">IF(U140="",0,_xlfn.XLOOKUP(E140&amp;U140&amp;F140,tab_act&amp;tab_mod&amp;tab_act1,tab_hu)*V140*T140/MGMT)</f>
        <v>0</v>
      </c>
      <c r="AC140" s="133" cm="1">
        <f t="array" ref="AC140">IF(U140="",0,_xlfn.XLOOKUP(E140&amp;U140&amp;F140,tab_act&amp;tab_mod&amp;tab_act1,tab_mnp)*V140*T140/MGMT)</f>
        <v>0</v>
      </c>
      <c r="AD140" s="133" cm="1">
        <f t="array" ref="AD140">IF(U140="",0,_xlfn.XLOOKUP(E140&amp;U140&amp;F140,tab_act&amp;tab_mod&amp;tab_act1,tab_Psup)*V140*T140/MGMT)</f>
        <v>0</v>
      </c>
      <c r="AE140" s="133" cm="1">
        <f t="array" ref="AE140">IF(U140="",0,_xlfn.XLOOKUP(E140&amp;U140&amp;F140,tab_act&amp;tab_mod&amp;tab_act1,tab_csb1)*V140*T140/MGMT)</f>
        <v>0</v>
      </c>
      <c r="AF140" s="133" cm="1">
        <f t="array" ref="AF140">IF(U140="",0,_xlfn.XLOOKUP(E140&amp;U140&amp;F140,tab_act&amp;tab_mod&amp;tab_act1,tab_csb2)*V140*T140/MGMT)</f>
        <v>0</v>
      </c>
      <c r="AG140" s="133" cm="1">
        <f t="array" ref="AG140">IF(U140="",0,_xlfn.XLOOKUP(E140&amp;U140&amp;F140,tab_act&amp;tab_mod&amp;tab_act1,tab_pdoz)*V140*T140/MGMT)</f>
        <v>0.72899999999999998</v>
      </c>
      <c r="AH140" s="133" cm="1">
        <f t="array" ref="AH140">IF(U140="",0,_xlfn.XLOOKUP(E140&amp;U140&amp;F140,tab_act&amp;tab_mod&amp;tab_act1,tab_lns)*V140*T140/MGMT)</f>
        <v>0</v>
      </c>
      <c r="AI140" s="47">
        <f t="shared" si="18"/>
        <v>0.72899999999999998</v>
      </c>
      <c r="AJ140" s="48">
        <f t="shared" si="19"/>
        <v>0</v>
      </c>
      <c r="AK140" s="49" cm="1">
        <f t="array" ref="AK140">IF(U140="",0,_xlfn.XLOOKUP(E140&amp;U140&amp;F140,tab_act&amp;tab_mod&amp;tab_act1,tab_cash)*V140*T140)</f>
        <v>0</v>
      </c>
      <c r="AN140" s="140" t="str">
        <f t="shared" si="20"/>
        <v>A</v>
      </c>
    </row>
    <row r="141" spans="2:40" x14ac:dyDescent="0.35">
      <c r="B141" s="50" t="s">
        <v>129</v>
      </c>
      <c r="C141" s="44">
        <v>2023</v>
      </c>
      <c r="D141" s="44" t="s">
        <v>100</v>
      </c>
      <c r="E141" s="15" t="s">
        <v>39</v>
      </c>
      <c r="F141" s="108" t="s">
        <v>22</v>
      </c>
      <c r="G141" s="15" t="s">
        <v>159</v>
      </c>
      <c r="H141" s="44"/>
      <c r="I141" s="15" t="s">
        <v>213</v>
      </c>
      <c r="J141" s="15" t="s">
        <v>91</v>
      </c>
      <c r="K141" s="15" t="s">
        <v>97</v>
      </c>
      <c r="L141" s="15" t="s">
        <v>212</v>
      </c>
      <c r="M141" s="15" t="s">
        <v>158</v>
      </c>
      <c r="N141" s="15" t="s">
        <v>68</v>
      </c>
      <c r="O141" s="15" t="s">
        <v>222</v>
      </c>
      <c r="P141" s="15" t="s">
        <v>225</v>
      </c>
      <c r="Q141" s="135"/>
      <c r="R141" s="42"/>
      <c r="S141" s="42">
        <v>430</v>
      </c>
      <c r="T141" s="43">
        <f t="shared" si="17"/>
        <v>430</v>
      </c>
      <c r="U141" s="15" t="s">
        <v>41</v>
      </c>
      <c r="V141" s="150">
        <v>30</v>
      </c>
      <c r="W141" s="133" cm="1">
        <f t="array" ref="W141">IF(U141="",0,_xlfn.XLOOKUP(E141&amp;U141&amp;F141,tab_act&amp;tab_mod&amp;tab_act1,tab_riz)*V141*T141/MGMT)</f>
        <v>0</v>
      </c>
      <c r="X141" s="43" cm="1">
        <f t="array" ref="X141">IF(U141="",0,_xlfn.XLOOKUP(E141&amp;U141&amp;F141,tab_act&amp;tab_mod&amp;tab_act1,tab_mc)*V141*T141/MGMT)</f>
        <v>0</v>
      </c>
      <c r="Y141" s="43" cm="1">
        <f t="array" ref="Y141">IF(U141="",0,_xlfn.XLOOKUP(E141&amp;U141&amp;F141,tab_act&amp;tab_mod&amp;tab_act1,tab_sor)*V141*T141/MGMT)</f>
        <v>0</v>
      </c>
      <c r="Z141" s="43" cm="1">
        <f t="array" ref="Z141">IF(U141="",0,_xlfn.XLOOKUP(E141&amp;U141&amp;F141,tab_act&amp;tab_mod&amp;tab_act1,tab_mg)*V141*T141/MGMT)</f>
        <v>0</v>
      </c>
      <c r="AA141" s="133" cm="1">
        <f t="array" ref="AA141">IF(U141="",0,IF(U141="hybrid-Sch",_xlfn.XLOOKUP(E141&amp;U141&amp;F141,tab_act&amp;tab_mod&amp;tab_act1,tab_ls)*SchLS*T141/MGMT,_xlfn.XLOOKUP(E141&amp;U141&amp;F141,tab_act&amp;tab_mod&amp;tab_act1,tab_ls)*V141*T141/MGMT))</f>
        <v>0</v>
      </c>
      <c r="AB141" s="133" cm="1">
        <f t="array" ref="AB141">IF(U141="",0,_xlfn.XLOOKUP(E141&amp;U141&amp;F141,tab_act&amp;tab_mod&amp;tab_act1,tab_hu)*V141*T141/MGMT)</f>
        <v>0</v>
      </c>
      <c r="AC141" s="133" cm="1">
        <f t="array" ref="AC141">IF(U141="",0,_xlfn.XLOOKUP(E141&amp;U141&amp;F141,tab_act&amp;tab_mod&amp;tab_act1,tab_mnp)*V141*T141/MGMT)</f>
        <v>0</v>
      </c>
      <c r="AD141" s="133" cm="1">
        <f t="array" ref="AD141">IF(U141="",0,_xlfn.XLOOKUP(E141&amp;U141&amp;F141,tab_act&amp;tab_mod&amp;tab_act1,tab_Psup)*V141*T141/MGMT)</f>
        <v>0</v>
      </c>
      <c r="AE141" s="133" cm="1">
        <f t="array" ref="AE141">IF(U141="",0,_xlfn.XLOOKUP(E141&amp;U141&amp;F141,tab_act&amp;tab_mod&amp;tab_act1,tab_csb1)*V141*T141/MGMT)</f>
        <v>0</v>
      </c>
      <c r="AF141" s="133" cm="1">
        <f t="array" ref="AF141">IF(U141="",0,_xlfn.XLOOKUP(E141&amp;U141&amp;F141,tab_act&amp;tab_mod&amp;tab_act1,tab_csb2)*V141*T141/MGMT)</f>
        <v>0</v>
      </c>
      <c r="AG141" s="133" cm="1">
        <f t="array" ref="AG141">IF(U141="",0,_xlfn.XLOOKUP(E141&amp;U141&amp;F141,tab_act&amp;tab_mod&amp;tab_act1,tab_pdoz)*V141*T141/MGMT)</f>
        <v>0.64500000000000002</v>
      </c>
      <c r="AH141" s="133" cm="1">
        <f t="array" ref="AH141">IF(U141="",0,_xlfn.XLOOKUP(E141&amp;U141&amp;F141,tab_act&amp;tab_mod&amp;tab_act1,tab_lns)*V141*T141/MGMT)</f>
        <v>0</v>
      </c>
      <c r="AI141" s="47">
        <f t="shared" si="18"/>
        <v>0.64500000000000002</v>
      </c>
      <c r="AJ141" s="48">
        <f t="shared" si="19"/>
        <v>0</v>
      </c>
      <c r="AK141" s="49" cm="1">
        <f t="array" ref="AK141">IF(U141="",0,_xlfn.XLOOKUP(E141&amp;U141&amp;F141,tab_act&amp;tab_mod&amp;tab_act1,tab_cash)*V141*T141)</f>
        <v>0</v>
      </c>
      <c r="AN141" s="140" t="str">
        <f t="shared" si="20"/>
        <v>A</v>
      </c>
    </row>
    <row r="142" spans="2:40" x14ac:dyDescent="0.35">
      <c r="B142" s="50" t="s">
        <v>129</v>
      </c>
      <c r="C142" s="44">
        <v>2023</v>
      </c>
      <c r="D142" s="44" t="s">
        <v>100</v>
      </c>
      <c r="E142" s="15" t="s">
        <v>39</v>
      </c>
      <c r="F142" s="108" t="s">
        <v>22</v>
      </c>
      <c r="G142" s="15" t="s">
        <v>159</v>
      </c>
      <c r="H142" s="44"/>
      <c r="I142" s="15" t="s">
        <v>213</v>
      </c>
      <c r="J142" s="15" t="s">
        <v>91</v>
      </c>
      <c r="K142" s="15" t="s">
        <v>97</v>
      </c>
      <c r="L142" s="15" t="s">
        <v>212</v>
      </c>
      <c r="M142" s="15" t="s">
        <v>158</v>
      </c>
      <c r="N142" s="15" t="s">
        <v>68</v>
      </c>
      <c r="O142" s="15" t="s">
        <v>222</v>
      </c>
      <c r="P142" s="15" t="s">
        <v>226</v>
      </c>
      <c r="Q142" s="135"/>
      <c r="R142" s="42"/>
      <c r="S142" s="42">
        <v>366</v>
      </c>
      <c r="T142" s="43">
        <f t="shared" si="17"/>
        <v>366</v>
      </c>
      <c r="U142" s="15" t="s">
        <v>41</v>
      </c>
      <c r="V142" s="150">
        <v>30</v>
      </c>
      <c r="W142" s="133" cm="1">
        <f t="array" ref="W142">IF(U142="",0,_xlfn.XLOOKUP(E142&amp;U142&amp;F142,tab_act&amp;tab_mod&amp;tab_act1,tab_riz)*V142*T142/MGMT)</f>
        <v>0</v>
      </c>
      <c r="X142" s="43" cm="1">
        <f t="array" ref="X142">IF(U142="",0,_xlfn.XLOOKUP(E142&amp;U142&amp;F142,tab_act&amp;tab_mod&amp;tab_act1,tab_mc)*V142*T142/MGMT)</f>
        <v>0</v>
      </c>
      <c r="Y142" s="43" cm="1">
        <f t="array" ref="Y142">IF(U142="",0,_xlfn.XLOOKUP(E142&amp;U142&amp;F142,tab_act&amp;tab_mod&amp;tab_act1,tab_sor)*V142*T142/MGMT)</f>
        <v>0</v>
      </c>
      <c r="Z142" s="43" cm="1">
        <f t="array" ref="Z142">IF(U142="",0,_xlfn.XLOOKUP(E142&amp;U142&amp;F142,tab_act&amp;tab_mod&amp;tab_act1,tab_mg)*V142*T142/MGMT)</f>
        <v>0</v>
      </c>
      <c r="AA142" s="133" cm="1">
        <f t="array" ref="AA142">IF(U142="",0,IF(U142="hybrid-Sch",_xlfn.XLOOKUP(E142&amp;U142&amp;F142,tab_act&amp;tab_mod&amp;tab_act1,tab_ls)*SchLS*T142/MGMT,_xlfn.XLOOKUP(E142&amp;U142&amp;F142,tab_act&amp;tab_mod&amp;tab_act1,tab_ls)*V142*T142/MGMT))</f>
        <v>0</v>
      </c>
      <c r="AB142" s="133" cm="1">
        <f t="array" ref="AB142">IF(U142="",0,_xlfn.XLOOKUP(E142&amp;U142&amp;F142,tab_act&amp;tab_mod&amp;tab_act1,tab_hu)*V142*T142/MGMT)</f>
        <v>0</v>
      </c>
      <c r="AC142" s="133" cm="1">
        <f t="array" ref="AC142">IF(U142="",0,_xlfn.XLOOKUP(E142&amp;U142&amp;F142,tab_act&amp;tab_mod&amp;tab_act1,tab_mnp)*V142*T142/MGMT)</f>
        <v>0</v>
      </c>
      <c r="AD142" s="133" cm="1">
        <f t="array" ref="AD142">IF(U142="",0,_xlfn.XLOOKUP(E142&amp;U142&amp;F142,tab_act&amp;tab_mod&amp;tab_act1,tab_Psup)*V142*T142/MGMT)</f>
        <v>0</v>
      </c>
      <c r="AE142" s="133" cm="1">
        <f t="array" ref="AE142">IF(U142="",0,_xlfn.XLOOKUP(E142&amp;U142&amp;F142,tab_act&amp;tab_mod&amp;tab_act1,tab_csb1)*V142*T142/MGMT)</f>
        <v>0</v>
      </c>
      <c r="AF142" s="133" cm="1">
        <f t="array" ref="AF142">IF(U142="",0,_xlfn.XLOOKUP(E142&amp;U142&amp;F142,tab_act&amp;tab_mod&amp;tab_act1,tab_csb2)*V142*T142/MGMT)</f>
        <v>0</v>
      </c>
      <c r="AG142" s="133" cm="1">
        <f t="array" ref="AG142">IF(U142="",0,_xlfn.XLOOKUP(E142&amp;U142&amp;F142,tab_act&amp;tab_mod&amp;tab_act1,tab_pdoz)*V142*T142/MGMT)</f>
        <v>0.54900000000000004</v>
      </c>
      <c r="AH142" s="133" cm="1">
        <f t="array" ref="AH142">IF(U142="",0,_xlfn.XLOOKUP(E142&amp;U142&amp;F142,tab_act&amp;tab_mod&amp;tab_act1,tab_lns)*V142*T142/MGMT)</f>
        <v>0</v>
      </c>
      <c r="AI142" s="47">
        <f t="shared" si="18"/>
        <v>0.54900000000000004</v>
      </c>
      <c r="AJ142" s="48">
        <f t="shared" si="19"/>
        <v>0</v>
      </c>
      <c r="AK142" s="49" cm="1">
        <f t="array" ref="AK142">IF(U142="",0,_xlfn.XLOOKUP(E142&amp;U142&amp;F142,tab_act&amp;tab_mod&amp;tab_act1,tab_cash)*V142*T142)</f>
        <v>0</v>
      </c>
      <c r="AN142" s="140" t="str">
        <f t="shared" si="20"/>
        <v>A</v>
      </c>
    </row>
    <row r="143" spans="2:40" x14ac:dyDescent="0.35">
      <c r="B143" s="50" t="s">
        <v>129</v>
      </c>
      <c r="C143" s="44">
        <v>2023</v>
      </c>
      <c r="D143" s="44" t="s">
        <v>100</v>
      </c>
      <c r="E143" s="15" t="s">
        <v>39</v>
      </c>
      <c r="F143" s="108" t="s">
        <v>22</v>
      </c>
      <c r="G143" s="15" t="s">
        <v>159</v>
      </c>
      <c r="H143" s="44"/>
      <c r="I143" s="15" t="s">
        <v>213</v>
      </c>
      <c r="J143" s="15" t="s">
        <v>91</v>
      </c>
      <c r="K143" s="15" t="s">
        <v>97</v>
      </c>
      <c r="L143" s="15" t="s">
        <v>212</v>
      </c>
      <c r="M143" s="15" t="s">
        <v>158</v>
      </c>
      <c r="N143" s="15" t="s">
        <v>68</v>
      </c>
      <c r="O143" s="15" t="s">
        <v>102</v>
      </c>
      <c r="P143" s="15" t="s">
        <v>227</v>
      </c>
      <c r="Q143" s="135"/>
      <c r="R143" s="42"/>
      <c r="S143" s="42">
        <v>444</v>
      </c>
      <c r="T143" s="43">
        <f t="shared" si="17"/>
        <v>444</v>
      </c>
      <c r="U143" s="15" t="s">
        <v>41</v>
      </c>
      <c r="V143" s="150">
        <v>30</v>
      </c>
      <c r="W143" s="133" cm="1">
        <f t="array" ref="W143">IF(U143="",0,_xlfn.XLOOKUP(E143&amp;U143&amp;F143,tab_act&amp;tab_mod&amp;tab_act1,tab_riz)*V143*T143/MGMT)</f>
        <v>0</v>
      </c>
      <c r="X143" s="43" cm="1">
        <f t="array" ref="X143">IF(U143="",0,_xlfn.XLOOKUP(E143&amp;U143&amp;F143,tab_act&amp;tab_mod&amp;tab_act1,tab_mc)*V143*T143/MGMT)</f>
        <v>0</v>
      </c>
      <c r="Y143" s="43" cm="1">
        <f t="array" ref="Y143">IF(U143="",0,_xlfn.XLOOKUP(E143&amp;U143&amp;F143,tab_act&amp;tab_mod&amp;tab_act1,tab_sor)*V143*T143/MGMT)</f>
        <v>0</v>
      </c>
      <c r="Z143" s="43" cm="1">
        <f t="array" ref="Z143">IF(U143="",0,_xlfn.XLOOKUP(E143&amp;U143&amp;F143,tab_act&amp;tab_mod&amp;tab_act1,tab_mg)*V143*T143/MGMT)</f>
        <v>0</v>
      </c>
      <c r="AA143" s="133" cm="1">
        <f t="array" ref="AA143">IF(U143="",0,IF(U143="hybrid-Sch",_xlfn.XLOOKUP(E143&amp;U143&amp;F143,tab_act&amp;tab_mod&amp;tab_act1,tab_ls)*SchLS*T143/MGMT,_xlfn.XLOOKUP(E143&amp;U143&amp;F143,tab_act&amp;tab_mod&amp;tab_act1,tab_ls)*V143*T143/MGMT))</f>
        <v>0</v>
      </c>
      <c r="AB143" s="133" cm="1">
        <f t="array" ref="AB143">IF(U143="",0,_xlfn.XLOOKUP(E143&amp;U143&amp;F143,tab_act&amp;tab_mod&amp;tab_act1,tab_hu)*V143*T143/MGMT)</f>
        <v>0</v>
      </c>
      <c r="AC143" s="133" cm="1">
        <f t="array" ref="AC143">IF(U143="",0,_xlfn.XLOOKUP(E143&amp;U143&amp;F143,tab_act&amp;tab_mod&amp;tab_act1,tab_mnp)*V143*T143/MGMT)</f>
        <v>0</v>
      </c>
      <c r="AD143" s="133" cm="1">
        <f t="array" ref="AD143">IF(U143="",0,_xlfn.XLOOKUP(E143&amp;U143&amp;F143,tab_act&amp;tab_mod&amp;tab_act1,tab_Psup)*V143*T143/MGMT)</f>
        <v>0</v>
      </c>
      <c r="AE143" s="133" cm="1">
        <f t="array" ref="AE143">IF(U143="",0,_xlfn.XLOOKUP(E143&amp;U143&amp;F143,tab_act&amp;tab_mod&amp;tab_act1,tab_csb1)*V143*T143/MGMT)</f>
        <v>0</v>
      </c>
      <c r="AF143" s="133" cm="1">
        <f t="array" ref="AF143">IF(U143="",0,_xlfn.XLOOKUP(E143&amp;U143&amp;F143,tab_act&amp;tab_mod&amp;tab_act1,tab_csb2)*V143*T143/MGMT)</f>
        <v>0</v>
      </c>
      <c r="AG143" s="133" cm="1">
        <f t="array" ref="AG143">IF(U143="",0,_xlfn.XLOOKUP(E143&amp;U143&amp;F143,tab_act&amp;tab_mod&amp;tab_act1,tab_pdoz)*V143*T143/MGMT)</f>
        <v>0.66600000000000004</v>
      </c>
      <c r="AH143" s="133" cm="1">
        <f t="array" ref="AH143">IF(U143="",0,_xlfn.XLOOKUP(E143&amp;U143&amp;F143,tab_act&amp;tab_mod&amp;tab_act1,tab_lns)*V143*T143/MGMT)</f>
        <v>0</v>
      </c>
      <c r="AI143" s="47">
        <f t="shared" si="18"/>
        <v>0.66600000000000004</v>
      </c>
      <c r="AJ143" s="48">
        <f t="shared" si="19"/>
        <v>0</v>
      </c>
      <c r="AK143" s="49" cm="1">
        <f t="array" ref="AK143">IF(U143="",0,_xlfn.XLOOKUP(E143&amp;U143&amp;F143,tab_act&amp;tab_mod&amp;tab_act1,tab_cash)*V143*T143)</f>
        <v>0</v>
      </c>
      <c r="AN143" s="140" t="str">
        <f t="shared" si="20"/>
        <v>A</v>
      </c>
    </row>
    <row r="144" spans="2:40" x14ac:dyDescent="0.35">
      <c r="B144" s="50" t="s">
        <v>129</v>
      </c>
      <c r="C144" s="44">
        <v>2023</v>
      </c>
      <c r="D144" s="44" t="s">
        <v>100</v>
      </c>
      <c r="E144" s="15" t="s">
        <v>39</v>
      </c>
      <c r="F144" s="108" t="s">
        <v>22</v>
      </c>
      <c r="G144" s="15" t="s">
        <v>159</v>
      </c>
      <c r="H144" s="44"/>
      <c r="I144" s="15" t="s">
        <v>213</v>
      </c>
      <c r="J144" s="15" t="s">
        <v>91</v>
      </c>
      <c r="K144" s="15" t="s">
        <v>97</v>
      </c>
      <c r="L144" s="15" t="s">
        <v>212</v>
      </c>
      <c r="M144" s="15" t="s">
        <v>158</v>
      </c>
      <c r="N144" s="15" t="s">
        <v>68</v>
      </c>
      <c r="O144" s="15" t="s">
        <v>102</v>
      </c>
      <c r="P144" s="15" t="s">
        <v>228</v>
      </c>
      <c r="Q144" s="135"/>
      <c r="R144" s="42"/>
      <c r="S144" s="42">
        <v>384</v>
      </c>
      <c r="T144" s="43">
        <f t="shared" si="17"/>
        <v>384</v>
      </c>
      <c r="U144" s="15" t="s">
        <v>41</v>
      </c>
      <c r="V144" s="150">
        <v>30</v>
      </c>
      <c r="W144" s="133" cm="1">
        <f t="array" ref="W144">IF(U144="",0,_xlfn.XLOOKUP(E144&amp;U144&amp;F144,tab_act&amp;tab_mod&amp;tab_act1,tab_riz)*V144*T144/MGMT)</f>
        <v>0</v>
      </c>
      <c r="X144" s="43" cm="1">
        <f t="array" ref="X144">IF(U144="",0,_xlfn.XLOOKUP(E144&amp;U144&amp;F144,tab_act&amp;tab_mod&amp;tab_act1,tab_mc)*V144*T144/MGMT)</f>
        <v>0</v>
      </c>
      <c r="Y144" s="43" cm="1">
        <f t="array" ref="Y144">IF(U144="",0,_xlfn.XLOOKUP(E144&amp;U144&amp;F144,tab_act&amp;tab_mod&amp;tab_act1,tab_sor)*V144*T144/MGMT)</f>
        <v>0</v>
      </c>
      <c r="Z144" s="43" cm="1">
        <f t="array" ref="Z144">IF(U144="",0,_xlfn.XLOOKUP(E144&amp;U144&amp;F144,tab_act&amp;tab_mod&amp;tab_act1,tab_mg)*V144*T144/MGMT)</f>
        <v>0</v>
      </c>
      <c r="AA144" s="133" cm="1">
        <f t="array" ref="AA144">IF(U144="",0,IF(U144="hybrid-Sch",_xlfn.XLOOKUP(E144&amp;U144&amp;F144,tab_act&amp;tab_mod&amp;tab_act1,tab_ls)*SchLS*T144/MGMT,_xlfn.XLOOKUP(E144&amp;U144&amp;F144,tab_act&amp;tab_mod&amp;tab_act1,tab_ls)*V144*T144/MGMT))</f>
        <v>0</v>
      </c>
      <c r="AB144" s="133" cm="1">
        <f t="array" ref="AB144">IF(U144="",0,_xlfn.XLOOKUP(E144&amp;U144&amp;F144,tab_act&amp;tab_mod&amp;tab_act1,tab_hu)*V144*T144/MGMT)</f>
        <v>0</v>
      </c>
      <c r="AC144" s="133" cm="1">
        <f t="array" ref="AC144">IF(U144="",0,_xlfn.XLOOKUP(E144&amp;U144&amp;F144,tab_act&amp;tab_mod&amp;tab_act1,tab_mnp)*V144*T144/MGMT)</f>
        <v>0</v>
      </c>
      <c r="AD144" s="133" cm="1">
        <f t="array" ref="AD144">IF(U144="",0,_xlfn.XLOOKUP(E144&amp;U144&amp;F144,tab_act&amp;tab_mod&amp;tab_act1,tab_Psup)*V144*T144/MGMT)</f>
        <v>0</v>
      </c>
      <c r="AE144" s="133" cm="1">
        <f t="array" ref="AE144">IF(U144="",0,_xlfn.XLOOKUP(E144&amp;U144&amp;F144,tab_act&amp;tab_mod&amp;tab_act1,tab_csb1)*V144*T144/MGMT)</f>
        <v>0</v>
      </c>
      <c r="AF144" s="133" cm="1">
        <f t="array" ref="AF144">IF(U144="",0,_xlfn.XLOOKUP(E144&amp;U144&amp;F144,tab_act&amp;tab_mod&amp;tab_act1,tab_csb2)*V144*T144/MGMT)</f>
        <v>0</v>
      </c>
      <c r="AG144" s="133" cm="1">
        <f t="array" ref="AG144">IF(U144="",0,_xlfn.XLOOKUP(E144&amp;U144&amp;F144,tab_act&amp;tab_mod&amp;tab_act1,tab_pdoz)*V144*T144/MGMT)</f>
        <v>0.57599999999999996</v>
      </c>
      <c r="AH144" s="133" cm="1">
        <f t="array" ref="AH144">IF(U144="",0,_xlfn.XLOOKUP(E144&amp;U144&amp;F144,tab_act&amp;tab_mod&amp;tab_act1,tab_lns)*V144*T144/MGMT)</f>
        <v>0</v>
      </c>
      <c r="AI144" s="47">
        <f t="shared" si="18"/>
        <v>0.57599999999999996</v>
      </c>
      <c r="AJ144" s="48">
        <f t="shared" si="19"/>
        <v>0</v>
      </c>
      <c r="AK144" s="49" cm="1">
        <f t="array" ref="AK144">IF(U144="",0,_xlfn.XLOOKUP(E144&amp;U144&amp;F144,tab_act&amp;tab_mod&amp;tab_act1,tab_cash)*V144*T144)</f>
        <v>0</v>
      </c>
      <c r="AN144" s="140" t="str">
        <f t="shared" si="20"/>
        <v>A</v>
      </c>
    </row>
    <row r="145" spans="1:40" x14ac:dyDescent="0.35">
      <c r="B145" s="50" t="s">
        <v>129</v>
      </c>
      <c r="C145" s="44">
        <v>2023</v>
      </c>
      <c r="D145" s="44" t="s">
        <v>100</v>
      </c>
      <c r="E145" s="15" t="s">
        <v>39</v>
      </c>
      <c r="F145" s="108" t="s">
        <v>22</v>
      </c>
      <c r="G145" s="15" t="s">
        <v>159</v>
      </c>
      <c r="H145" s="44"/>
      <c r="I145" s="15" t="s">
        <v>213</v>
      </c>
      <c r="J145" s="15" t="s">
        <v>91</v>
      </c>
      <c r="K145" s="15" t="s">
        <v>97</v>
      </c>
      <c r="L145" s="15" t="s">
        <v>212</v>
      </c>
      <c r="M145" s="15" t="s">
        <v>158</v>
      </c>
      <c r="N145" s="15" t="s">
        <v>68</v>
      </c>
      <c r="O145" s="15" t="s">
        <v>102</v>
      </c>
      <c r="P145" s="15" t="s">
        <v>229</v>
      </c>
      <c r="Q145" s="135"/>
      <c r="R145" s="42"/>
      <c r="S145" s="42">
        <v>102</v>
      </c>
      <c r="T145" s="43">
        <f t="shared" si="17"/>
        <v>102</v>
      </c>
      <c r="U145" s="15" t="s">
        <v>41</v>
      </c>
      <c r="V145" s="150">
        <v>30</v>
      </c>
      <c r="W145" s="133" cm="1">
        <f t="array" ref="W145">IF(U145="",0,_xlfn.XLOOKUP(E145&amp;U145&amp;F145,tab_act&amp;tab_mod&amp;tab_act1,tab_riz)*V145*T145/MGMT)</f>
        <v>0</v>
      </c>
      <c r="X145" s="43" cm="1">
        <f t="array" ref="X145">IF(U145="",0,_xlfn.XLOOKUP(E145&amp;U145&amp;F145,tab_act&amp;tab_mod&amp;tab_act1,tab_mc)*V145*T145/MGMT)</f>
        <v>0</v>
      </c>
      <c r="Y145" s="43" cm="1">
        <f t="array" ref="Y145">IF(U145="",0,_xlfn.XLOOKUP(E145&amp;U145&amp;F145,tab_act&amp;tab_mod&amp;tab_act1,tab_sor)*V145*T145/MGMT)</f>
        <v>0</v>
      </c>
      <c r="Z145" s="43" cm="1">
        <f t="array" ref="Z145">IF(U145="",0,_xlfn.XLOOKUP(E145&amp;U145&amp;F145,tab_act&amp;tab_mod&amp;tab_act1,tab_mg)*V145*T145/MGMT)</f>
        <v>0</v>
      </c>
      <c r="AA145" s="133" cm="1">
        <f t="array" ref="AA145">IF(U145="",0,IF(U145="hybrid-Sch",_xlfn.XLOOKUP(E145&amp;U145&amp;F145,tab_act&amp;tab_mod&amp;tab_act1,tab_ls)*SchLS*T145/MGMT,_xlfn.XLOOKUP(E145&amp;U145&amp;F145,tab_act&amp;tab_mod&amp;tab_act1,tab_ls)*V145*T145/MGMT))</f>
        <v>0</v>
      </c>
      <c r="AB145" s="133" cm="1">
        <f t="array" ref="AB145">IF(U145="",0,_xlfn.XLOOKUP(E145&amp;U145&amp;F145,tab_act&amp;tab_mod&amp;tab_act1,tab_hu)*V145*T145/MGMT)</f>
        <v>0</v>
      </c>
      <c r="AC145" s="133" cm="1">
        <f t="array" ref="AC145">IF(U145="",0,_xlfn.XLOOKUP(E145&amp;U145&amp;F145,tab_act&amp;tab_mod&amp;tab_act1,tab_mnp)*V145*T145/MGMT)</f>
        <v>0</v>
      </c>
      <c r="AD145" s="133" cm="1">
        <f t="array" ref="AD145">IF(U145="",0,_xlfn.XLOOKUP(E145&amp;U145&amp;F145,tab_act&amp;tab_mod&amp;tab_act1,tab_Psup)*V145*T145/MGMT)</f>
        <v>0</v>
      </c>
      <c r="AE145" s="133" cm="1">
        <f t="array" ref="AE145">IF(U145="",0,_xlfn.XLOOKUP(E145&amp;U145&amp;F145,tab_act&amp;tab_mod&amp;tab_act1,tab_csb1)*V145*T145/MGMT)</f>
        <v>0</v>
      </c>
      <c r="AF145" s="133" cm="1">
        <f t="array" ref="AF145">IF(U145="",0,_xlfn.XLOOKUP(E145&amp;U145&amp;F145,tab_act&amp;tab_mod&amp;tab_act1,tab_csb2)*V145*T145/MGMT)</f>
        <v>0</v>
      </c>
      <c r="AG145" s="133" cm="1">
        <f t="array" ref="AG145">IF(U145="",0,_xlfn.XLOOKUP(E145&amp;U145&amp;F145,tab_act&amp;tab_mod&amp;tab_act1,tab_pdoz)*V145*T145/MGMT)</f>
        <v>0.153</v>
      </c>
      <c r="AH145" s="133" cm="1">
        <f t="array" ref="AH145">IF(U145="",0,_xlfn.XLOOKUP(E145&amp;U145&amp;F145,tab_act&amp;tab_mod&amp;tab_act1,tab_lns)*V145*T145/MGMT)</f>
        <v>0</v>
      </c>
      <c r="AI145" s="47">
        <f t="shared" si="18"/>
        <v>0.153</v>
      </c>
      <c r="AJ145" s="48">
        <f t="shared" si="19"/>
        <v>0</v>
      </c>
      <c r="AK145" s="49" cm="1">
        <f t="array" ref="AK145">IF(U145="",0,_xlfn.XLOOKUP(E145&amp;U145&amp;F145,tab_act&amp;tab_mod&amp;tab_act1,tab_cash)*V145*T145)</f>
        <v>0</v>
      </c>
      <c r="AN145" s="140" t="str">
        <f t="shared" si="20"/>
        <v>A</v>
      </c>
    </row>
    <row r="146" spans="1:40" x14ac:dyDescent="0.35">
      <c r="B146" s="50" t="s">
        <v>129</v>
      </c>
      <c r="C146" s="44">
        <v>2023</v>
      </c>
      <c r="D146" s="44" t="s">
        <v>100</v>
      </c>
      <c r="E146" s="15" t="s">
        <v>39</v>
      </c>
      <c r="F146" s="108" t="s">
        <v>22</v>
      </c>
      <c r="G146" s="15" t="s">
        <v>159</v>
      </c>
      <c r="H146" s="44"/>
      <c r="I146" s="15" t="s">
        <v>213</v>
      </c>
      <c r="J146" s="15" t="s">
        <v>91</v>
      </c>
      <c r="K146" s="15" t="s">
        <v>97</v>
      </c>
      <c r="L146" s="15" t="s">
        <v>212</v>
      </c>
      <c r="M146" s="15" t="s">
        <v>158</v>
      </c>
      <c r="N146" s="15" t="s">
        <v>68</v>
      </c>
      <c r="O146" s="15" t="s">
        <v>102</v>
      </c>
      <c r="P146" s="15" t="s">
        <v>230</v>
      </c>
      <c r="Q146" s="135"/>
      <c r="R146" s="42"/>
      <c r="S146" s="42">
        <v>170</v>
      </c>
      <c r="T146" s="43">
        <f t="shared" si="17"/>
        <v>170</v>
      </c>
      <c r="U146" s="15" t="s">
        <v>41</v>
      </c>
      <c r="V146" s="150">
        <v>30</v>
      </c>
      <c r="W146" s="133" cm="1">
        <f t="array" ref="W146">IF(U146="",0,_xlfn.XLOOKUP(E146&amp;U146&amp;F146,tab_act&amp;tab_mod&amp;tab_act1,tab_riz)*V146*T146/MGMT)</f>
        <v>0</v>
      </c>
      <c r="X146" s="43" cm="1">
        <f t="array" ref="X146">IF(U146="",0,_xlfn.XLOOKUP(E146&amp;U146&amp;F146,tab_act&amp;tab_mod&amp;tab_act1,tab_mc)*V146*T146/MGMT)</f>
        <v>0</v>
      </c>
      <c r="Y146" s="43" cm="1">
        <f t="array" ref="Y146">IF(U146="",0,_xlfn.XLOOKUP(E146&amp;U146&amp;F146,tab_act&amp;tab_mod&amp;tab_act1,tab_sor)*V146*T146/MGMT)</f>
        <v>0</v>
      </c>
      <c r="Z146" s="43" cm="1">
        <f t="array" ref="Z146">IF(U146="",0,_xlfn.XLOOKUP(E146&amp;U146&amp;F146,tab_act&amp;tab_mod&amp;tab_act1,tab_mg)*V146*T146/MGMT)</f>
        <v>0</v>
      </c>
      <c r="AA146" s="133" cm="1">
        <f t="array" ref="AA146">IF(U146="",0,IF(U146="hybrid-Sch",_xlfn.XLOOKUP(E146&amp;U146&amp;F146,tab_act&amp;tab_mod&amp;tab_act1,tab_ls)*SchLS*T146/MGMT,_xlfn.XLOOKUP(E146&amp;U146&amp;F146,tab_act&amp;tab_mod&amp;tab_act1,tab_ls)*V146*T146/MGMT))</f>
        <v>0</v>
      </c>
      <c r="AB146" s="133" cm="1">
        <f t="array" ref="AB146">IF(U146="",0,_xlfn.XLOOKUP(E146&amp;U146&amp;F146,tab_act&amp;tab_mod&amp;tab_act1,tab_hu)*V146*T146/MGMT)</f>
        <v>0</v>
      </c>
      <c r="AC146" s="133" cm="1">
        <f t="array" ref="AC146">IF(U146="",0,_xlfn.XLOOKUP(E146&amp;U146&amp;F146,tab_act&amp;tab_mod&amp;tab_act1,tab_mnp)*V146*T146/MGMT)</f>
        <v>0</v>
      </c>
      <c r="AD146" s="133" cm="1">
        <f t="array" ref="AD146">IF(U146="",0,_xlfn.XLOOKUP(E146&amp;U146&amp;F146,tab_act&amp;tab_mod&amp;tab_act1,tab_Psup)*V146*T146/MGMT)</f>
        <v>0</v>
      </c>
      <c r="AE146" s="133" cm="1">
        <f t="array" ref="AE146">IF(U146="",0,_xlfn.XLOOKUP(E146&amp;U146&amp;F146,tab_act&amp;tab_mod&amp;tab_act1,tab_csb1)*V146*T146/MGMT)</f>
        <v>0</v>
      </c>
      <c r="AF146" s="133" cm="1">
        <f t="array" ref="AF146">IF(U146="",0,_xlfn.XLOOKUP(E146&amp;U146&amp;F146,tab_act&amp;tab_mod&amp;tab_act1,tab_csb2)*V146*T146/MGMT)</f>
        <v>0</v>
      </c>
      <c r="AG146" s="133" cm="1">
        <f t="array" ref="AG146">IF(U146="",0,_xlfn.XLOOKUP(E146&amp;U146&amp;F146,tab_act&amp;tab_mod&amp;tab_act1,tab_pdoz)*V146*T146/MGMT)</f>
        <v>0.255</v>
      </c>
      <c r="AH146" s="133" cm="1">
        <f t="array" ref="AH146">IF(U146="",0,_xlfn.XLOOKUP(E146&amp;U146&amp;F146,tab_act&amp;tab_mod&amp;tab_act1,tab_lns)*V146*T146/MGMT)</f>
        <v>0</v>
      </c>
      <c r="AI146" s="47">
        <f t="shared" si="18"/>
        <v>0.255</v>
      </c>
      <c r="AJ146" s="48">
        <f t="shared" si="19"/>
        <v>0</v>
      </c>
      <c r="AK146" s="49" cm="1">
        <f t="array" ref="AK146">IF(U146="",0,_xlfn.XLOOKUP(E146&amp;U146&amp;F146,tab_act&amp;tab_mod&amp;tab_act1,tab_cash)*V146*T146)</f>
        <v>0</v>
      </c>
      <c r="AN146" s="140" t="str">
        <f t="shared" si="20"/>
        <v>A</v>
      </c>
    </row>
    <row r="147" spans="1:40" x14ac:dyDescent="0.35">
      <c r="B147" s="50" t="s">
        <v>129</v>
      </c>
      <c r="C147" s="44">
        <v>2023</v>
      </c>
      <c r="D147" s="44" t="s">
        <v>100</v>
      </c>
      <c r="E147" s="15" t="s">
        <v>39</v>
      </c>
      <c r="F147" s="108" t="s">
        <v>22</v>
      </c>
      <c r="G147" s="15" t="s">
        <v>159</v>
      </c>
      <c r="H147" s="44"/>
      <c r="I147" s="15" t="s">
        <v>213</v>
      </c>
      <c r="J147" s="15" t="s">
        <v>91</v>
      </c>
      <c r="K147" s="15" t="s">
        <v>97</v>
      </c>
      <c r="L147" s="15" t="s">
        <v>212</v>
      </c>
      <c r="M147" s="15" t="s">
        <v>158</v>
      </c>
      <c r="N147" s="15" t="s">
        <v>68</v>
      </c>
      <c r="O147" s="15" t="s">
        <v>102</v>
      </c>
      <c r="P147" s="15" t="s">
        <v>231</v>
      </c>
      <c r="Q147" s="135"/>
      <c r="R147" s="42"/>
      <c r="S147" s="42">
        <v>698</v>
      </c>
      <c r="T147" s="43">
        <f t="shared" si="17"/>
        <v>698</v>
      </c>
      <c r="U147" s="15" t="s">
        <v>41</v>
      </c>
      <c r="V147" s="150">
        <v>30</v>
      </c>
      <c r="W147" s="133" cm="1">
        <f t="array" ref="W147">IF(U147="",0,_xlfn.XLOOKUP(E147&amp;U147&amp;F147,tab_act&amp;tab_mod&amp;tab_act1,tab_riz)*V147*T147/MGMT)</f>
        <v>0</v>
      </c>
      <c r="X147" s="43" cm="1">
        <f t="array" ref="X147">IF(U147="",0,_xlfn.XLOOKUP(E147&amp;U147&amp;F147,tab_act&amp;tab_mod&amp;tab_act1,tab_mc)*V147*T147/MGMT)</f>
        <v>0</v>
      </c>
      <c r="Y147" s="43" cm="1">
        <f t="array" ref="Y147">IF(U147="",0,_xlfn.XLOOKUP(E147&amp;U147&amp;F147,tab_act&amp;tab_mod&amp;tab_act1,tab_sor)*V147*T147/MGMT)</f>
        <v>0</v>
      </c>
      <c r="Z147" s="43" cm="1">
        <f t="array" ref="Z147">IF(U147="",0,_xlfn.XLOOKUP(E147&amp;U147&amp;F147,tab_act&amp;tab_mod&amp;tab_act1,tab_mg)*V147*T147/MGMT)</f>
        <v>0</v>
      </c>
      <c r="AA147" s="133" cm="1">
        <f t="array" ref="AA147">IF(U147="",0,IF(U147="hybrid-Sch",_xlfn.XLOOKUP(E147&amp;U147&amp;F147,tab_act&amp;tab_mod&amp;tab_act1,tab_ls)*SchLS*T147/MGMT,_xlfn.XLOOKUP(E147&amp;U147&amp;F147,tab_act&amp;tab_mod&amp;tab_act1,tab_ls)*V147*T147/MGMT))</f>
        <v>0</v>
      </c>
      <c r="AB147" s="133" cm="1">
        <f t="array" ref="AB147">IF(U147="",0,_xlfn.XLOOKUP(E147&amp;U147&amp;F147,tab_act&amp;tab_mod&amp;tab_act1,tab_hu)*V147*T147/MGMT)</f>
        <v>0</v>
      </c>
      <c r="AC147" s="133" cm="1">
        <f t="array" ref="AC147">IF(U147="",0,_xlfn.XLOOKUP(E147&amp;U147&amp;F147,tab_act&amp;tab_mod&amp;tab_act1,tab_mnp)*V147*T147/MGMT)</f>
        <v>0</v>
      </c>
      <c r="AD147" s="133" cm="1">
        <f t="array" ref="AD147">IF(U147="",0,_xlfn.XLOOKUP(E147&amp;U147&amp;F147,tab_act&amp;tab_mod&amp;tab_act1,tab_Psup)*V147*T147/MGMT)</f>
        <v>0</v>
      </c>
      <c r="AE147" s="133" cm="1">
        <f t="array" ref="AE147">IF(U147="",0,_xlfn.XLOOKUP(E147&amp;U147&amp;F147,tab_act&amp;tab_mod&amp;tab_act1,tab_csb1)*V147*T147/MGMT)</f>
        <v>0</v>
      </c>
      <c r="AF147" s="133" cm="1">
        <f t="array" ref="AF147">IF(U147="",0,_xlfn.XLOOKUP(E147&amp;U147&amp;F147,tab_act&amp;tab_mod&amp;tab_act1,tab_csb2)*V147*T147/MGMT)</f>
        <v>0</v>
      </c>
      <c r="AG147" s="133" cm="1">
        <f t="array" ref="AG147">IF(U147="",0,_xlfn.XLOOKUP(E147&amp;U147&amp;F147,tab_act&amp;tab_mod&amp;tab_act1,tab_pdoz)*V147*T147/MGMT)</f>
        <v>1.0469999999999999</v>
      </c>
      <c r="AH147" s="133" cm="1">
        <f t="array" ref="AH147">IF(U147="",0,_xlfn.XLOOKUP(E147&amp;U147&amp;F147,tab_act&amp;tab_mod&amp;tab_act1,tab_lns)*V147*T147/MGMT)</f>
        <v>0</v>
      </c>
      <c r="AI147" s="47">
        <f t="shared" si="18"/>
        <v>1.0469999999999999</v>
      </c>
      <c r="AJ147" s="48">
        <f t="shared" si="19"/>
        <v>0</v>
      </c>
      <c r="AK147" s="49" cm="1">
        <f t="array" ref="AK147">IF(U147="",0,_xlfn.XLOOKUP(E147&amp;U147&amp;F147,tab_act&amp;tab_mod&amp;tab_act1,tab_cash)*V147*T147)</f>
        <v>0</v>
      </c>
      <c r="AN147" s="140" t="str">
        <f t="shared" si="20"/>
        <v>A</v>
      </c>
    </row>
    <row r="148" spans="1:40" x14ac:dyDescent="0.35">
      <c r="B148" s="50" t="s">
        <v>129</v>
      </c>
      <c r="C148" s="44">
        <v>2023</v>
      </c>
      <c r="D148" s="44" t="s">
        <v>100</v>
      </c>
      <c r="E148" s="15" t="s">
        <v>39</v>
      </c>
      <c r="F148" s="108" t="s">
        <v>22</v>
      </c>
      <c r="G148" s="15" t="s">
        <v>159</v>
      </c>
      <c r="H148" s="44"/>
      <c r="I148" s="15" t="s">
        <v>213</v>
      </c>
      <c r="J148" s="15" t="s">
        <v>91</v>
      </c>
      <c r="K148" s="15" t="s">
        <v>97</v>
      </c>
      <c r="L148" s="15" t="s">
        <v>212</v>
      </c>
      <c r="M148" s="15" t="s">
        <v>158</v>
      </c>
      <c r="N148" s="15" t="s">
        <v>68</v>
      </c>
      <c r="O148" s="15" t="s">
        <v>102</v>
      </c>
      <c r="P148" s="15" t="s">
        <v>232</v>
      </c>
      <c r="Q148" s="135"/>
      <c r="R148" s="42"/>
      <c r="S148" s="42">
        <v>434</v>
      </c>
      <c r="T148" s="43">
        <f t="shared" si="17"/>
        <v>434</v>
      </c>
      <c r="U148" s="15" t="s">
        <v>41</v>
      </c>
      <c r="V148" s="150">
        <v>30</v>
      </c>
      <c r="W148" s="133" cm="1">
        <f t="array" ref="W148">IF(U148="",0,_xlfn.XLOOKUP(E148&amp;U148&amp;F148,tab_act&amp;tab_mod&amp;tab_act1,tab_riz)*V148*T148/MGMT)</f>
        <v>0</v>
      </c>
      <c r="X148" s="43" cm="1">
        <f t="array" ref="X148">IF(U148="",0,_xlfn.XLOOKUP(E148&amp;U148&amp;F148,tab_act&amp;tab_mod&amp;tab_act1,tab_mc)*V148*T148/MGMT)</f>
        <v>0</v>
      </c>
      <c r="Y148" s="43" cm="1">
        <f t="array" ref="Y148">IF(U148="",0,_xlfn.XLOOKUP(E148&amp;U148&amp;F148,tab_act&amp;tab_mod&amp;tab_act1,tab_sor)*V148*T148/MGMT)</f>
        <v>0</v>
      </c>
      <c r="Z148" s="43" cm="1">
        <f t="array" ref="Z148">IF(U148="",0,_xlfn.XLOOKUP(E148&amp;U148&amp;F148,tab_act&amp;tab_mod&amp;tab_act1,tab_mg)*V148*T148/MGMT)</f>
        <v>0</v>
      </c>
      <c r="AA148" s="133" cm="1">
        <f t="array" ref="AA148">IF(U148="",0,IF(U148="hybrid-Sch",_xlfn.XLOOKUP(E148&amp;U148&amp;F148,tab_act&amp;tab_mod&amp;tab_act1,tab_ls)*SchLS*T148/MGMT,_xlfn.XLOOKUP(E148&amp;U148&amp;F148,tab_act&amp;tab_mod&amp;tab_act1,tab_ls)*V148*T148/MGMT))</f>
        <v>0</v>
      </c>
      <c r="AB148" s="133" cm="1">
        <f t="array" ref="AB148">IF(U148="",0,_xlfn.XLOOKUP(E148&amp;U148&amp;F148,tab_act&amp;tab_mod&amp;tab_act1,tab_hu)*V148*T148/MGMT)</f>
        <v>0</v>
      </c>
      <c r="AC148" s="133" cm="1">
        <f t="array" ref="AC148">IF(U148="",0,_xlfn.XLOOKUP(E148&amp;U148&amp;F148,tab_act&amp;tab_mod&amp;tab_act1,tab_mnp)*V148*T148/MGMT)</f>
        <v>0</v>
      </c>
      <c r="AD148" s="133" cm="1">
        <f t="array" ref="AD148">IF(U148="",0,_xlfn.XLOOKUP(E148&amp;U148&amp;F148,tab_act&amp;tab_mod&amp;tab_act1,tab_Psup)*V148*T148/MGMT)</f>
        <v>0</v>
      </c>
      <c r="AE148" s="133" cm="1">
        <f t="array" ref="AE148">IF(U148="",0,_xlfn.XLOOKUP(E148&amp;U148&amp;F148,tab_act&amp;tab_mod&amp;tab_act1,tab_csb1)*V148*T148/MGMT)</f>
        <v>0</v>
      </c>
      <c r="AF148" s="133" cm="1">
        <f t="array" ref="AF148">IF(U148="",0,_xlfn.XLOOKUP(E148&amp;U148&amp;F148,tab_act&amp;tab_mod&amp;tab_act1,tab_csb2)*V148*T148/MGMT)</f>
        <v>0</v>
      </c>
      <c r="AG148" s="133" cm="1">
        <f t="array" ref="AG148">IF(U148="",0,_xlfn.XLOOKUP(E148&amp;U148&amp;F148,tab_act&amp;tab_mod&amp;tab_act1,tab_pdoz)*V148*T148/MGMT)</f>
        <v>0.65100000000000002</v>
      </c>
      <c r="AH148" s="133" cm="1">
        <f t="array" ref="AH148">IF(U148="",0,_xlfn.XLOOKUP(E148&amp;U148&amp;F148,tab_act&amp;tab_mod&amp;tab_act1,tab_lns)*V148*T148/MGMT)</f>
        <v>0</v>
      </c>
      <c r="AI148" s="47">
        <f t="shared" si="18"/>
        <v>0.65100000000000002</v>
      </c>
      <c r="AJ148" s="48">
        <f t="shared" si="19"/>
        <v>0</v>
      </c>
      <c r="AK148" s="49" cm="1">
        <f t="array" ref="AK148">IF(U148="",0,_xlfn.XLOOKUP(E148&amp;U148&amp;F148,tab_act&amp;tab_mod&amp;tab_act1,tab_cash)*V148*T148)</f>
        <v>0</v>
      </c>
      <c r="AN148" s="140" t="str">
        <f t="shared" si="20"/>
        <v>A</v>
      </c>
    </row>
    <row r="149" spans="1:40" x14ac:dyDescent="0.35">
      <c r="B149" s="50" t="s">
        <v>129</v>
      </c>
      <c r="C149" s="44">
        <v>2023</v>
      </c>
      <c r="D149" s="44" t="s">
        <v>100</v>
      </c>
      <c r="E149" s="15" t="s">
        <v>39</v>
      </c>
      <c r="F149" s="108" t="s">
        <v>22</v>
      </c>
      <c r="G149" s="15" t="s">
        <v>159</v>
      </c>
      <c r="H149" s="44"/>
      <c r="I149" s="15" t="s">
        <v>213</v>
      </c>
      <c r="J149" s="15" t="s">
        <v>91</v>
      </c>
      <c r="K149" s="15" t="s">
        <v>97</v>
      </c>
      <c r="L149" s="15" t="s">
        <v>212</v>
      </c>
      <c r="M149" s="15" t="s">
        <v>158</v>
      </c>
      <c r="N149" s="15" t="s">
        <v>68</v>
      </c>
      <c r="O149" s="15" t="s">
        <v>104</v>
      </c>
      <c r="P149" s="15" t="s">
        <v>233</v>
      </c>
      <c r="Q149" s="135"/>
      <c r="R149" s="42"/>
      <c r="S149" s="42">
        <v>509</v>
      </c>
      <c r="T149" s="43">
        <f t="shared" si="17"/>
        <v>509</v>
      </c>
      <c r="U149" s="15" t="s">
        <v>41</v>
      </c>
      <c r="V149" s="150">
        <v>30</v>
      </c>
      <c r="W149" s="133" cm="1">
        <f t="array" ref="W149">IF(U149="",0,_xlfn.XLOOKUP(E149&amp;U149&amp;F149,tab_act&amp;tab_mod&amp;tab_act1,tab_riz)*V149*T149/MGMT)</f>
        <v>0</v>
      </c>
      <c r="X149" s="43" cm="1">
        <f t="array" ref="X149">IF(U149="",0,_xlfn.XLOOKUP(E149&amp;U149&amp;F149,tab_act&amp;tab_mod&amp;tab_act1,tab_mc)*V149*T149/MGMT)</f>
        <v>0</v>
      </c>
      <c r="Y149" s="43" cm="1">
        <f t="array" ref="Y149">IF(U149="",0,_xlfn.XLOOKUP(E149&amp;U149&amp;F149,tab_act&amp;tab_mod&amp;tab_act1,tab_sor)*V149*T149/MGMT)</f>
        <v>0</v>
      </c>
      <c r="Z149" s="43" cm="1">
        <f t="array" ref="Z149">IF(U149="",0,_xlfn.XLOOKUP(E149&amp;U149&amp;F149,tab_act&amp;tab_mod&amp;tab_act1,tab_mg)*V149*T149/MGMT)</f>
        <v>0</v>
      </c>
      <c r="AA149" s="133" cm="1">
        <f t="array" ref="AA149">IF(U149="",0,IF(U149="hybrid-Sch",_xlfn.XLOOKUP(E149&amp;U149&amp;F149,tab_act&amp;tab_mod&amp;tab_act1,tab_ls)*SchLS*T149/MGMT,_xlfn.XLOOKUP(E149&amp;U149&amp;F149,tab_act&amp;tab_mod&amp;tab_act1,tab_ls)*V149*T149/MGMT))</f>
        <v>0</v>
      </c>
      <c r="AB149" s="133" cm="1">
        <f t="array" ref="AB149">IF(U149="",0,_xlfn.XLOOKUP(E149&amp;U149&amp;F149,tab_act&amp;tab_mod&amp;tab_act1,tab_hu)*V149*T149/MGMT)</f>
        <v>0</v>
      </c>
      <c r="AC149" s="133" cm="1">
        <f t="array" ref="AC149">IF(U149="",0,_xlfn.XLOOKUP(E149&amp;U149&amp;F149,tab_act&amp;tab_mod&amp;tab_act1,tab_mnp)*V149*T149/MGMT)</f>
        <v>0</v>
      </c>
      <c r="AD149" s="133" cm="1">
        <f t="array" ref="AD149">IF(U149="",0,_xlfn.XLOOKUP(E149&amp;U149&amp;F149,tab_act&amp;tab_mod&amp;tab_act1,tab_Psup)*V149*T149/MGMT)</f>
        <v>0</v>
      </c>
      <c r="AE149" s="133" cm="1">
        <f t="array" ref="AE149">IF(U149="",0,_xlfn.XLOOKUP(E149&amp;U149&amp;F149,tab_act&amp;tab_mod&amp;tab_act1,tab_csb1)*V149*T149/MGMT)</f>
        <v>0</v>
      </c>
      <c r="AF149" s="133" cm="1">
        <f t="array" ref="AF149">IF(U149="",0,_xlfn.XLOOKUP(E149&amp;U149&amp;F149,tab_act&amp;tab_mod&amp;tab_act1,tab_csb2)*V149*T149/MGMT)</f>
        <v>0</v>
      </c>
      <c r="AG149" s="133" cm="1">
        <f t="array" ref="AG149">IF(U149="",0,_xlfn.XLOOKUP(E149&amp;U149&amp;F149,tab_act&amp;tab_mod&amp;tab_act1,tab_pdoz)*V149*T149/MGMT)</f>
        <v>0.76349999999999996</v>
      </c>
      <c r="AH149" s="133" cm="1">
        <f t="array" ref="AH149">IF(U149="",0,_xlfn.XLOOKUP(E149&amp;U149&amp;F149,tab_act&amp;tab_mod&amp;tab_act1,tab_lns)*V149*T149/MGMT)</f>
        <v>0</v>
      </c>
      <c r="AI149" s="47">
        <f t="shared" si="18"/>
        <v>0.76349999999999996</v>
      </c>
      <c r="AJ149" s="48">
        <f t="shared" si="19"/>
        <v>0</v>
      </c>
      <c r="AK149" s="49" cm="1">
        <f t="array" ref="AK149">IF(U149="",0,_xlfn.XLOOKUP(E149&amp;U149&amp;F149,tab_act&amp;tab_mod&amp;tab_act1,tab_cash)*V149*T149)</f>
        <v>0</v>
      </c>
      <c r="AN149" s="140" t="str">
        <f t="shared" si="20"/>
        <v>A</v>
      </c>
    </row>
    <row r="150" spans="1:40" x14ac:dyDescent="0.35">
      <c r="B150" s="50" t="s">
        <v>129</v>
      </c>
      <c r="C150" s="44">
        <v>2023</v>
      </c>
      <c r="D150" s="44" t="s">
        <v>100</v>
      </c>
      <c r="E150" s="15" t="s">
        <v>39</v>
      </c>
      <c r="F150" s="108" t="s">
        <v>22</v>
      </c>
      <c r="G150" s="15" t="s">
        <v>159</v>
      </c>
      <c r="H150" s="44"/>
      <c r="I150" s="15" t="s">
        <v>213</v>
      </c>
      <c r="J150" s="15" t="s">
        <v>91</v>
      </c>
      <c r="K150" s="15" t="s">
        <v>97</v>
      </c>
      <c r="L150" s="15" t="s">
        <v>212</v>
      </c>
      <c r="M150" s="15" t="s">
        <v>158</v>
      </c>
      <c r="N150" s="15" t="s">
        <v>68</v>
      </c>
      <c r="O150" s="15" t="s">
        <v>104</v>
      </c>
      <c r="P150" s="15" t="s">
        <v>234</v>
      </c>
      <c r="Q150" s="135"/>
      <c r="R150" s="42"/>
      <c r="S150" s="42">
        <v>188</v>
      </c>
      <c r="T150" s="43">
        <f t="shared" si="17"/>
        <v>188</v>
      </c>
      <c r="U150" s="15" t="s">
        <v>41</v>
      </c>
      <c r="V150" s="150">
        <v>30</v>
      </c>
      <c r="W150" s="133" cm="1">
        <f t="array" ref="W150">IF(U150="",0,_xlfn.XLOOKUP(E150&amp;U150&amp;F150,tab_act&amp;tab_mod&amp;tab_act1,tab_riz)*V150*T150/MGMT)</f>
        <v>0</v>
      </c>
      <c r="X150" s="43" cm="1">
        <f t="array" ref="X150">IF(U150="",0,_xlfn.XLOOKUP(E150&amp;U150&amp;F150,tab_act&amp;tab_mod&amp;tab_act1,tab_mc)*V150*T150/MGMT)</f>
        <v>0</v>
      </c>
      <c r="Y150" s="43" cm="1">
        <f t="array" ref="Y150">IF(U150="",0,_xlfn.XLOOKUP(E150&amp;U150&amp;F150,tab_act&amp;tab_mod&amp;tab_act1,tab_sor)*V150*T150/MGMT)</f>
        <v>0</v>
      </c>
      <c r="Z150" s="43" cm="1">
        <f t="array" ref="Z150">IF(U150="",0,_xlfn.XLOOKUP(E150&amp;U150&amp;F150,tab_act&amp;tab_mod&amp;tab_act1,tab_mg)*V150*T150/MGMT)</f>
        <v>0</v>
      </c>
      <c r="AA150" s="133" cm="1">
        <f t="array" ref="AA150">IF(U150="",0,IF(U150="hybrid-Sch",_xlfn.XLOOKUP(E150&amp;U150&amp;F150,tab_act&amp;tab_mod&amp;tab_act1,tab_ls)*SchLS*T150/MGMT,_xlfn.XLOOKUP(E150&amp;U150&amp;F150,tab_act&amp;tab_mod&amp;tab_act1,tab_ls)*V150*T150/MGMT))</f>
        <v>0</v>
      </c>
      <c r="AB150" s="133" cm="1">
        <f t="array" ref="AB150">IF(U150="",0,_xlfn.XLOOKUP(E150&amp;U150&amp;F150,tab_act&amp;tab_mod&amp;tab_act1,tab_hu)*V150*T150/MGMT)</f>
        <v>0</v>
      </c>
      <c r="AC150" s="133" cm="1">
        <f t="array" ref="AC150">IF(U150="",0,_xlfn.XLOOKUP(E150&amp;U150&amp;F150,tab_act&amp;tab_mod&amp;tab_act1,tab_mnp)*V150*T150/MGMT)</f>
        <v>0</v>
      </c>
      <c r="AD150" s="133" cm="1">
        <f t="array" ref="AD150">IF(U150="",0,_xlfn.XLOOKUP(E150&amp;U150&amp;F150,tab_act&amp;tab_mod&amp;tab_act1,tab_Psup)*V150*T150/MGMT)</f>
        <v>0</v>
      </c>
      <c r="AE150" s="133" cm="1">
        <f t="array" ref="AE150">IF(U150="",0,_xlfn.XLOOKUP(E150&amp;U150&amp;F150,tab_act&amp;tab_mod&amp;tab_act1,tab_csb1)*V150*T150/MGMT)</f>
        <v>0</v>
      </c>
      <c r="AF150" s="133" cm="1">
        <f t="array" ref="AF150">IF(U150="",0,_xlfn.XLOOKUP(E150&amp;U150&amp;F150,tab_act&amp;tab_mod&amp;tab_act1,tab_csb2)*V150*T150/MGMT)</f>
        <v>0</v>
      </c>
      <c r="AG150" s="133" cm="1">
        <f t="array" ref="AG150">IF(U150="",0,_xlfn.XLOOKUP(E150&amp;U150&amp;F150,tab_act&amp;tab_mod&amp;tab_act1,tab_pdoz)*V150*T150/MGMT)</f>
        <v>0.28199999999999997</v>
      </c>
      <c r="AH150" s="133" cm="1">
        <f t="array" ref="AH150">IF(U150="",0,_xlfn.XLOOKUP(E150&amp;U150&amp;F150,tab_act&amp;tab_mod&amp;tab_act1,tab_lns)*V150*T150/MGMT)</f>
        <v>0</v>
      </c>
      <c r="AI150" s="47">
        <f t="shared" si="18"/>
        <v>0.28199999999999997</v>
      </c>
      <c r="AJ150" s="48">
        <f t="shared" si="19"/>
        <v>0</v>
      </c>
      <c r="AK150" s="49" cm="1">
        <f t="array" ref="AK150">IF(U150="",0,_xlfn.XLOOKUP(E150&amp;U150&amp;F150,tab_act&amp;tab_mod&amp;tab_act1,tab_cash)*V150*T150)</f>
        <v>0</v>
      </c>
      <c r="AN150" s="140" t="str">
        <f t="shared" si="20"/>
        <v>A</v>
      </c>
    </row>
    <row r="151" spans="1:40" x14ac:dyDescent="0.35">
      <c r="B151" s="50" t="s">
        <v>129</v>
      </c>
      <c r="C151" s="44">
        <v>2023</v>
      </c>
      <c r="D151" s="44" t="s">
        <v>100</v>
      </c>
      <c r="E151" s="15" t="s">
        <v>39</v>
      </c>
      <c r="F151" s="108" t="s">
        <v>22</v>
      </c>
      <c r="G151" s="15" t="s">
        <v>159</v>
      </c>
      <c r="H151" s="44"/>
      <c r="I151" s="15" t="s">
        <v>213</v>
      </c>
      <c r="J151" s="15" t="s">
        <v>91</v>
      </c>
      <c r="K151" s="15" t="s">
        <v>97</v>
      </c>
      <c r="L151" s="15" t="s">
        <v>212</v>
      </c>
      <c r="M151" s="15" t="s">
        <v>158</v>
      </c>
      <c r="N151" s="15" t="s">
        <v>68</v>
      </c>
      <c r="O151" s="15" t="s">
        <v>104</v>
      </c>
      <c r="P151" s="15" t="s">
        <v>235</v>
      </c>
      <c r="Q151" s="135"/>
      <c r="R151" s="42"/>
      <c r="S151" s="42">
        <v>244</v>
      </c>
      <c r="T151" s="43">
        <f t="shared" si="17"/>
        <v>244</v>
      </c>
      <c r="U151" s="15" t="s">
        <v>41</v>
      </c>
      <c r="V151" s="150">
        <v>30</v>
      </c>
      <c r="W151" s="133" cm="1">
        <f t="array" ref="W151">IF(U151="",0,_xlfn.XLOOKUP(E151&amp;U151&amp;F151,tab_act&amp;tab_mod&amp;tab_act1,tab_riz)*V151*T151/MGMT)</f>
        <v>0</v>
      </c>
      <c r="X151" s="43" cm="1">
        <f t="array" ref="X151">IF(U151="",0,_xlfn.XLOOKUP(E151&amp;U151&amp;F151,tab_act&amp;tab_mod&amp;tab_act1,tab_mc)*V151*T151/MGMT)</f>
        <v>0</v>
      </c>
      <c r="Y151" s="43" cm="1">
        <f t="array" ref="Y151">IF(U151="",0,_xlfn.XLOOKUP(E151&amp;U151&amp;F151,tab_act&amp;tab_mod&amp;tab_act1,tab_sor)*V151*T151/MGMT)</f>
        <v>0</v>
      </c>
      <c r="Z151" s="43" cm="1">
        <f t="array" ref="Z151">IF(U151="",0,_xlfn.XLOOKUP(E151&amp;U151&amp;F151,tab_act&amp;tab_mod&amp;tab_act1,tab_mg)*V151*T151/MGMT)</f>
        <v>0</v>
      </c>
      <c r="AA151" s="133" cm="1">
        <f t="array" ref="AA151">IF(U151="",0,IF(U151="hybrid-Sch",_xlfn.XLOOKUP(E151&amp;U151&amp;F151,tab_act&amp;tab_mod&amp;tab_act1,tab_ls)*SchLS*T151/MGMT,_xlfn.XLOOKUP(E151&amp;U151&amp;F151,tab_act&amp;tab_mod&amp;tab_act1,tab_ls)*V151*T151/MGMT))</f>
        <v>0</v>
      </c>
      <c r="AB151" s="133" cm="1">
        <f t="array" ref="AB151">IF(U151="",0,_xlfn.XLOOKUP(E151&amp;U151&amp;F151,tab_act&amp;tab_mod&amp;tab_act1,tab_hu)*V151*T151/MGMT)</f>
        <v>0</v>
      </c>
      <c r="AC151" s="133" cm="1">
        <f t="array" ref="AC151">IF(U151="",0,_xlfn.XLOOKUP(E151&amp;U151&amp;F151,tab_act&amp;tab_mod&amp;tab_act1,tab_mnp)*V151*T151/MGMT)</f>
        <v>0</v>
      </c>
      <c r="AD151" s="133" cm="1">
        <f t="array" ref="AD151">IF(U151="",0,_xlfn.XLOOKUP(E151&amp;U151&amp;F151,tab_act&amp;tab_mod&amp;tab_act1,tab_Psup)*V151*T151/MGMT)</f>
        <v>0</v>
      </c>
      <c r="AE151" s="133" cm="1">
        <f t="array" ref="AE151">IF(U151="",0,_xlfn.XLOOKUP(E151&amp;U151&amp;F151,tab_act&amp;tab_mod&amp;tab_act1,tab_csb1)*V151*T151/MGMT)</f>
        <v>0</v>
      </c>
      <c r="AF151" s="133" cm="1">
        <f t="array" ref="AF151">IF(U151="",0,_xlfn.XLOOKUP(E151&amp;U151&amp;F151,tab_act&amp;tab_mod&amp;tab_act1,tab_csb2)*V151*T151/MGMT)</f>
        <v>0</v>
      </c>
      <c r="AG151" s="133" cm="1">
        <f t="array" ref="AG151">IF(U151="",0,_xlfn.XLOOKUP(E151&amp;U151&amp;F151,tab_act&amp;tab_mod&amp;tab_act1,tab_pdoz)*V151*T151/MGMT)</f>
        <v>0.36599999999999999</v>
      </c>
      <c r="AH151" s="133" cm="1">
        <f t="array" ref="AH151">IF(U151="",0,_xlfn.XLOOKUP(E151&amp;U151&amp;F151,tab_act&amp;tab_mod&amp;tab_act1,tab_lns)*V151*T151/MGMT)</f>
        <v>0</v>
      </c>
      <c r="AI151" s="47">
        <f t="shared" si="18"/>
        <v>0.36599999999999999</v>
      </c>
      <c r="AJ151" s="48">
        <f t="shared" si="19"/>
        <v>0</v>
      </c>
      <c r="AK151" s="49" cm="1">
        <f t="array" ref="AK151">IF(U151="",0,_xlfn.XLOOKUP(E151&amp;U151&amp;F151,tab_act&amp;tab_mod&amp;tab_act1,tab_cash)*V151*T151)</f>
        <v>0</v>
      </c>
      <c r="AN151" s="140" t="str">
        <f t="shared" si="20"/>
        <v>A</v>
      </c>
    </row>
    <row r="152" spans="1:40" x14ac:dyDescent="0.35">
      <c r="B152" s="50" t="s">
        <v>129</v>
      </c>
      <c r="C152" s="44">
        <v>2023</v>
      </c>
      <c r="D152" s="44" t="s">
        <v>100</v>
      </c>
      <c r="E152" s="15" t="s">
        <v>39</v>
      </c>
      <c r="F152" s="108" t="s">
        <v>22</v>
      </c>
      <c r="G152" s="15" t="s">
        <v>159</v>
      </c>
      <c r="H152" s="44"/>
      <c r="I152" s="15" t="s">
        <v>213</v>
      </c>
      <c r="J152" s="15" t="s">
        <v>91</v>
      </c>
      <c r="K152" s="15" t="s">
        <v>97</v>
      </c>
      <c r="L152" s="15" t="s">
        <v>212</v>
      </c>
      <c r="M152" s="15" t="s">
        <v>158</v>
      </c>
      <c r="N152" s="15" t="s">
        <v>68</v>
      </c>
      <c r="O152" s="15" t="s">
        <v>104</v>
      </c>
      <c r="P152" s="15" t="s">
        <v>236</v>
      </c>
      <c r="Q152" s="135"/>
      <c r="R152" s="42"/>
      <c r="S152" s="42">
        <v>579</v>
      </c>
      <c r="T152" s="43">
        <f t="shared" si="17"/>
        <v>579</v>
      </c>
      <c r="U152" s="15" t="s">
        <v>41</v>
      </c>
      <c r="V152" s="150">
        <v>30</v>
      </c>
      <c r="W152" s="133" cm="1">
        <f t="array" ref="W152">IF(U152="",0,_xlfn.XLOOKUP(E152&amp;U152&amp;F152,tab_act&amp;tab_mod&amp;tab_act1,tab_riz)*V152*T152/MGMT)</f>
        <v>0</v>
      </c>
      <c r="X152" s="43" cm="1">
        <f t="array" ref="X152">IF(U152="",0,_xlfn.XLOOKUP(E152&amp;U152&amp;F152,tab_act&amp;tab_mod&amp;tab_act1,tab_mc)*V152*T152/MGMT)</f>
        <v>0</v>
      </c>
      <c r="Y152" s="43" cm="1">
        <f t="array" ref="Y152">IF(U152="",0,_xlfn.XLOOKUP(E152&amp;U152&amp;F152,tab_act&amp;tab_mod&amp;tab_act1,tab_sor)*V152*T152/MGMT)</f>
        <v>0</v>
      </c>
      <c r="Z152" s="43" cm="1">
        <f t="array" ref="Z152">IF(U152="",0,_xlfn.XLOOKUP(E152&amp;U152&amp;F152,tab_act&amp;tab_mod&amp;tab_act1,tab_mg)*V152*T152/MGMT)</f>
        <v>0</v>
      </c>
      <c r="AA152" s="133" cm="1">
        <f t="array" ref="AA152">IF(U152="",0,IF(U152="hybrid-Sch",_xlfn.XLOOKUP(E152&amp;U152&amp;F152,tab_act&amp;tab_mod&amp;tab_act1,tab_ls)*SchLS*T152/MGMT,_xlfn.XLOOKUP(E152&amp;U152&amp;F152,tab_act&amp;tab_mod&amp;tab_act1,tab_ls)*V152*T152/MGMT))</f>
        <v>0</v>
      </c>
      <c r="AB152" s="133" cm="1">
        <f t="array" ref="AB152">IF(U152="",0,_xlfn.XLOOKUP(E152&amp;U152&amp;F152,tab_act&amp;tab_mod&amp;tab_act1,tab_hu)*V152*T152/MGMT)</f>
        <v>0</v>
      </c>
      <c r="AC152" s="133" cm="1">
        <f t="array" ref="AC152">IF(U152="",0,_xlfn.XLOOKUP(E152&amp;U152&amp;F152,tab_act&amp;tab_mod&amp;tab_act1,tab_mnp)*V152*T152/MGMT)</f>
        <v>0</v>
      </c>
      <c r="AD152" s="133" cm="1">
        <f t="array" ref="AD152">IF(U152="",0,_xlfn.XLOOKUP(E152&amp;U152&amp;F152,tab_act&amp;tab_mod&amp;tab_act1,tab_Psup)*V152*T152/MGMT)</f>
        <v>0</v>
      </c>
      <c r="AE152" s="133" cm="1">
        <f t="array" ref="AE152">IF(U152="",0,_xlfn.XLOOKUP(E152&amp;U152&amp;F152,tab_act&amp;tab_mod&amp;tab_act1,tab_csb1)*V152*T152/MGMT)</f>
        <v>0</v>
      </c>
      <c r="AF152" s="133" cm="1">
        <f t="array" ref="AF152">IF(U152="",0,_xlfn.XLOOKUP(E152&amp;U152&amp;F152,tab_act&amp;tab_mod&amp;tab_act1,tab_csb2)*V152*T152/MGMT)</f>
        <v>0</v>
      </c>
      <c r="AG152" s="133" cm="1">
        <f t="array" ref="AG152">IF(U152="",0,_xlfn.XLOOKUP(E152&amp;U152&amp;F152,tab_act&amp;tab_mod&amp;tab_act1,tab_pdoz)*V152*T152/MGMT)</f>
        <v>0.86850000000000005</v>
      </c>
      <c r="AH152" s="133" cm="1">
        <f t="array" ref="AH152">IF(U152="",0,_xlfn.XLOOKUP(E152&amp;U152&amp;F152,tab_act&amp;tab_mod&amp;tab_act1,tab_lns)*V152*T152/MGMT)</f>
        <v>0</v>
      </c>
      <c r="AI152" s="47">
        <f t="shared" si="18"/>
        <v>0.86850000000000005</v>
      </c>
      <c r="AJ152" s="48">
        <f t="shared" si="19"/>
        <v>0</v>
      </c>
      <c r="AK152" s="49" cm="1">
        <f t="array" ref="AK152">IF(U152="",0,_xlfn.XLOOKUP(E152&amp;U152&amp;F152,tab_act&amp;tab_mod&amp;tab_act1,tab_cash)*V152*T152)</f>
        <v>0</v>
      </c>
      <c r="AN152" s="140" t="str">
        <f t="shared" si="20"/>
        <v>A</v>
      </c>
    </row>
    <row r="153" spans="1:40" x14ac:dyDescent="0.35">
      <c r="B153" s="50" t="s">
        <v>129</v>
      </c>
      <c r="C153" s="44">
        <v>2023</v>
      </c>
      <c r="D153" s="44" t="s">
        <v>100</v>
      </c>
      <c r="E153" s="15" t="s">
        <v>39</v>
      </c>
      <c r="F153" s="108" t="s">
        <v>22</v>
      </c>
      <c r="G153" s="15" t="s">
        <v>159</v>
      </c>
      <c r="H153" s="44"/>
      <c r="I153" s="15" t="s">
        <v>213</v>
      </c>
      <c r="J153" s="15" t="s">
        <v>91</v>
      </c>
      <c r="K153" s="15" t="s">
        <v>97</v>
      </c>
      <c r="L153" s="15" t="s">
        <v>212</v>
      </c>
      <c r="M153" s="15" t="s">
        <v>158</v>
      </c>
      <c r="N153" s="15" t="s">
        <v>68</v>
      </c>
      <c r="O153" s="15" t="s">
        <v>103</v>
      </c>
      <c r="P153" s="15" t="s">
        <v>237</v>
      </c>
      <c r="Q153" s="135"/>
      <c r="R153" s="42"/>
      <c r="S153" s="42">
        <v>118</v>
      </c>
      <c r="T153" s="43">
        <f t="shared" si="17"/>
        <v>118</v>
      </c>
      <c r="U153" s="15" t="s">
        <v>41</v>
      </c>
      <c r="V153" s="150">
        <v>30</v>
      </c>
      <c r="W153" s="133" cm="1">
        <f t="array" ref="W153">IF(U153="",0,_xlfn.XLOOKUP(E153&amp;U153&amp;F153,tab_act&amp;tab_mod&amp;tab_act1,tab_riz)*V153*T153/MGMT)</f>
        <v>0</v>
      </c>
      <c r="X153" s="43" cm="1">
        <f t="array" ref="X153">IF(U153="",0,_xlfn.XLOOKUP(E153&amp;U153&amp;F153,tab_act&amp;tab_mod&amp;tab_act1,tab_mc)*V153*T153/MGMT)</f>
        <v>0</v>
      </c>
      <c r="Y153" s="43" cm="1">
        <f t="array" ref="Y153">IF(U153="",0,_xlfn.XLOOKUP(E153&amp;U153&amp;F153,tab_act&amp;tab_mod&amp;tab_act1,tab_sor)*V153*T153/MGMT)</f>
        <v>0</v>
      </c>
      <c r="Z153" s="43" cm="1">
        <f t="array" ref="Z153">IF(U153="",0,_xlfn.XLOOKUP(E153&amp;U153&amp;F153,tab_act&amp;tab_mod&amp;tab_act1,tab_mg)*V153*T153/MGMT)</f>
        <v>0</v>
      </c>
      <c r="AA153" s="133" cm="1">
        <f t="array" ref="AA153">IF(U153="",0,IF(U153="hybrid-Sch",_xlfn.XLOOKUP(E153&amp;U153&amp;F153,tab_act&amp;tab_mod&amp;tab_act1,tab_ls)*SchLS*T153/MGMT,_xlfn.XLOOKUP(E153&amp;U153&amp;F153,tab_act&amp;tab_mod&amp;tab_act1,tab_ls)*V153*T153/MGMT))</f>
        <v>0</v>
      </c>
      <c r="AB153" s="133" cm="1">
        <f t="array" ref="AB153">IF(U153="",0,_xlfn.XLOOKUP(E153&amp;U153&amp;F153,tab_act&amp;tab_mod&amp;tab_act1,tab_hu)*V153*T153/MGMT)</f>
        <v>0</v>
      </c>
      <c r="AC153" s="133" cm="1">
        <f t="array" ref="AC153">IF(U153="",0,_xlfn.XLOOKUP(E153&amp;U153&amp;F153,tab_act&amp;tab_mod&amp;tab_act1,tab_mnp)*V153*T153/MGMT)</f>
        <v>0</v>
      </c>
      <c r="AD153" s="133" cm="1">
        <f t="array" ref="AD153">IF(U153="",0,_xlfn.XLOOKUP(E153&amp;U153&amp;F153,tab_act&amp;tab_mod&amp;tab_act1,tab_Psup)*V153*T153/MGMT)</f>
        <v>0</v>
      </c>
      <c r="AE153" s="133" cm="1">
        <f t="array" ref="AE153">IF(U153="",0,_xlfn.XLOOKUP(E153&amp;U153&amp;F153,tab_act&amp;tab_mod&amp;tab_act1,tab_csb1)*V153*T153/MGMT)</f>
        <v>0</v>
      </c>
      <c r="AF153" s="133" cm="1">
        <f t="array" ref="AF153">IF(U153="",0,_xlfn.XLOOKUP(E153&amp;U153&amp;F153,tab_act&amp;tab_mod&amp;tab_act1,tab_csb2)*V153*T153/MGMT)</f>
        <v>0</v>
      </c>
      <c r="AG153" s="133" cm="1">
        <f t="array" ref="AG153">IF(U153="",0,_xlfn.XLOOKUP(E153&amp;U153&amp;F153,tab_act&amp;tab_mod&amp;tab_act1,tab_pdoz)*V153*T153/MGMT)</f>
        <v>0.17699999999999999</v>
      </c>
      <c r="AH153" s="133" cm="1">
        <f t="array" ref="AH153">IF(U153="",0,_xlfn.XLOOKUP(E153&amp;U153&amp;F153,tab_act&amp;tab_mod&amp;tab_act1,tab_lns)*V153*T153/MGMT)</f>
        <v>0</v>
      </c>
      <c r="AI153" s="47">
        <f t="shared" si="18"/>
        <v>0.17699999999999999</v>
      </c>
      <c r="AJ153" s="48">
        <f t="shared" si="19"/>
        <v>0</v>
      </c>
      <c r="AK153" s="49" cm="1">
        <f t="array" ref="AK153">IF(U153="",0,_xlfn.XLOOKUP(E153&amp;U153&amp;F153,tab_act&amp;tab_mod&amp;tab_act1,tab_cash)*V153*T153)</f>
        <v>0</v>
      </c>
      <c r="AN153" s="140" t="str">
        <f t="shared" si="20"/>
        <v>A</v>
      </c>
    </row>
    <row r="154" spans="1:40" x14ac:dyDescent="0.35">
      <c r="B154" s="50" t="s">
        <v>129</v>
      </c>
      <c r="C154" s="44">
        <v>2023</v>
      </c>
      <c r="D154" s="44" t="s">
        <v>100</v>
      </c>
      <c r="E154" s="15" t="s">
        <v>39</v>
      </c>
      <c r="F154" s="108" t="s">
        <v>22</v>
      </c>
      <c r="G154" s="15" t="s">
        <v>159</v>
      </c>
      <c r="H154" s="44"/>
      <c r="I154" s="15" t="s">
        <v>213</v>
      </c>
      <c r="J154" s="15" t="s">
        <v>91</v>
      </c>
      <c r="K154" s="15" t="s">
        <v>97</v>
      </c>
      <c r="L154" s="15" t="s">
        <v>212</v>
      </c>
      <c r="M154" s="15" t="s">
        <v>158</v>
      </c>
      <c r="N154" s="15" t="s">
        <v>68</v>
      </c>
      <c r="O154" s="15" t="s">
        <v>103</v>
      </c>
      <c r="P154" s="15" t="s">
        <v>238</v>
      </c>
      <c r="Q154" s="135"/>
      <c r="R154" s="42"/>
      <c r="S154" s="42">
        <v>244</v>
      </c>
      <c r="T154" s="43">
        <f t="shared" si="17"/>
        <v>244</v>
      </c>
      <c r="U154" s="15" t="s">
        <v>41</v>
      </c>
      <c r="V154" s="150">
        <v>30</v>
      </c>
      <c r="W154" s="133" cm="1">
        <f t="array" ref="W154">IF(U154="",0,_xlfn.XLOOKUP(E154&amp;U154&amp;F154,tab_act&amp;tab_mod&amp;tab_act1,tab_riz)*V154*T154/MGMT)</f>
        <v>0</v>
      </c>
      <c r="X154" s="43" cm="1">
        <f t="array" ref="X154">IF(U154="",0,_xlfn.XLOOKUP(E154&amp;U154&amp;F154,tab_act&amp;tab_mod&amp;tab_act1,tab_mc)*V154*T154/MGMT)</f>
        <v>0</v>
      </c>
      <c r="Y154" s="43" cm="1">
        <f t="array" ref="Y154">IF(U154="",0,_xlfn.XLOOKUP(E154&amp;U154&amp;F154,tab_act&amp;tab_mod&amp;tab_act1,tab_sor)*V154*T154/MGMT)</f>
        <v>0</v>
      </c>
      <c r="Z154" s="43" cm="1">
        <f t="array" ref="Z154">IF(U154="",0,_xlfn.XLOOKUP(E154&amp;U154&amp;F154,tab_act&amp;tab_mod&amp;tab_act1,tab_mg)*V154*T154/MGMT)</f>
        <v>0</v>
      </c>
      <c r="AA154" s="133" cm="1">
        <f t="array" ref="AA154">IF(U154="",0,IF(U154="hybrid-Sch",_xlfn.XLOOKUP(E154&amp;U154&amp;F154,tab_act&amp;tab_mod&amp;tab_act1,tab_ls)*SchLS*T154/MGMT,_xlfn.XLOOKUP(E154&amp;U154&amp;F154,tab_act&amp;tab_mod&amp;tab_act1,tab_ls)*V154*T154/MGMT))</f>
        <v>0</v>
      </c>
      <c r="AB154" s="133" cm="1">
        <f t="array" ref="AB154">IF(U154="",0,_xlfn.XLOOKUP(E154&amp;U154&amp;F154,tab_act&amp;tab_mod&amp;tab_act1,tab_hu)*V154*T154/MGMT)</f>
        <v>0</v>
      </c>
      <c r="AC154" s="133" cm="1">
        <f t="array" ref="AC154">IF(U154="",0,_xlfn.XLOOKUP(E154&amp;U154&amp;F154,tab_act&amp;tab_mod&amp;tab_act1,tab_mnp)*V154*T154/MGMT)</f>
        <v>0</v>
      </c>
      <c r="AD154" s="133" cm="1">
        <f t="array" ref="AD154">IF(U154="",0,_xlfn.XLOOKUP(E154&amp;U154&amp;F154,tab_act&amp;tab_mod&amp;tab_act1,tab_Psup)*V154*T154/MGMT)</f>
        <v>0</v>
      </c>
      <c r="AE154" s="133" cm="1">
        <f t="array" ref="AE154">IF(U154="",0,_xlfn.XLOOKUP(E154&amp;U154&amp;F154,tab_act&amp;tab_mod&amp;tab_act1,tab_csb1)*V154*T154/MGMT)</f>
        <v>0</v>
      </c>
      <c r="AF154" s="133" cm="1">
        <f t="array" ref="AF154">IF(U154="",0,_xlfn.XLOOKUP(E154&amp;U154&amp;F154,tab_act&amp;tab_mod&amp;tab_act1,tab_csb2)*V154*T154/MGMT)</f>
        <v>0</v>
      </c>
      <c r="AG154" s="133" cm="1">
        <f t="array" ref="AG154">IF(U154="",0,_xlfn.XLOOKUP(E154&amp;U154&amp;F154,tab_act&amp;tab_mod&amp;tab_act1,tab_pdoz)*V154*T154/MGMT)</f>
        <v>0.36599999999999999</v>
      </c>
      <c r="AH154" s="133" cm="1">
        <f t="array" ref="AH154">IF(U154="",0,_xlfn.XLOOKUP(E154&amp;U154&amp;F154,tab_act&amp;tab_mod&amp;tab_act1,tab_lns)*V154*T154/MGMT)</f>
        <v>0</v>
      </c>
      <c r="AI154" s="47">
        <f t="shared" si="18"/>
        <v>0.36599999999999999</v>
      </c>
      <c r="AJ154" s="48">
        <f t="shared" si="19"/>
        <v>0</v>
      </c>
      <c r="AK154" s="49" cm="1">
        <f t="array" ref="AK154">IF(U154="",0,_xlfn.XLOOKUP(E154&amp;U154&amp;F154,tab_act&amp;tab_mod&amp;tab_act1,tab_cash)*V154*T154)</f>
        <v>0</v>
      </c>
      <c r="AN154" s="140" t="str">
        <f t="shared" si="20"/>
        <v>A</v>
      </c>
    </row>
    <row r="155" spans="1:40" x14ac:dyDescent="0.35">
      <c r="B155" s="50" t="s">
        <v>129</v>
      </c>
      <c r="C155" s="44">
        <v>2023</v>
      </c>
      <c r="D155" s="44" t="s">
        <v>100</v>
      </c>
      <c r="E155" s="15" t="s">
        <v>39</v>
      </c>
      <c r="F155" s="108" t="s">
        <v>22</v>
      </c>
      <c r="G155" s="15" t="s">
        <v>159</v>
      </c>
      <c r="H155" s="44"/>
      <c r="I155" s="15" t="s">
        <v>213</v>
      </c>
      <c r="J155" s="15" t="s">
        <v>91</v>
      </c>
      <c r="K155" s="15" t="s">
        <v>97</v>
      </c>
      <c r="L155" s="15" t="s">
        <v>212</v>
      </c>
      <c r="M155" s="15" t="s">
        <v>158</v>
      </c>
      <c r="N155" s="15" t="s">
        <v>68</v>
      </c>
      <c r="O155" s="15" t="s">
        <v>103</v>
      </c>
      <c r="P155" s="15" t="s">
        <v>239</v>
      </c>
      <c r="Q155" s="135"/>
      <c r="R155" s="42"/>
      <c r="S155" s="42">
        <v>140</v>
      </c>
      <c r="T155" s="43">
        <f t="shared" si="17"/>
        <v>140</v>
      </c>
      <c r="U155" s="15" t="s">
        <v>41</v>
      </c>
      <c r="V155" s="150">
        <v>30</v>
      </c>
      <c r="W155" s="133" cm="1">
        <f t="array" ref="W155">IF(U155="",0,_xlfn.XLOOKUP(E155&amp;U155&amp;F155,tab_act&amp;tab_mod&amp;tab_act1,tab_riz)*V155*T155/MGMT)</f>
        <v>0</v>
      </c>
      <c r="X155" s="43" cm="1">
        <f t="array" ref="X155">IF(U155="",0,_xlfn.XLOOKUP(E155&amp;U155&amp;F155,tab_act&amp;tab_mod&amp;tab_act1,tab_mc)*V155*T155/MGMT)</f>
        <v>0</v>
      </c>
      <c r="Y155" s="43" cm="1">
        <f t="array" ref="Y155">IF(U155="",0,_xlfn.XLOOKUP(E155&amp;U155&amp;F155,tab_act&amp;tab_mod&amp;tab_act1,tab_sor)*V155*T155/MGMT)</f>
        <v>0</v>
      </c>
      <c r="Z155" s="43" cm="1">
        <f t="array" ref="Z155">IF(U155="",0,_xlfn.XLOOKUP(E155&amp;U155&amp;F155,tab_act&amp;tab_mod&amp;tab_act1,tab_mg)*V155*T155/MGMT)</f>
        <v>0</v>
      </c>
      <c r="AA155" s="133" cm="1">
        <f t="array" ref="AA155">IF(U155="",0,IF(U155="hybrid-Sch",_xlfn.XLOOKUP(E155&amp;U155&amp;F155,tab_act&amp;tab_mod&amp;tab_act1,tab_ls)*SchLS*T155/MGMT,_xlfn.XLOOKUP(E155&amp;U155&amp;F155,tab_act&amp;tab_mod&amp;tab_act1,tab_ls)*V155*T155/MGMT))</f>
        <v>0</v>
      </c>
      <c r="AB155" s="133" cm="1">
        <f t="array" ref="AB155">IF(U155="",0,_xlfn.XLOOKUP(E155&amp;U155&amp;F155,tab_act&amp;tab_mod&amp;tab_act1,tab_hu)*V155*T155/MGMT)</f>
        <v>0</v>
      </c>
      <c r="AC155" s="133" cm="1">
        <f t="array" ref="AC155">IF(U155="",0,_xlfn.XLOOKUP(E155&amp;U155&amp;F155,tab_act&amp;tab_mod&amp;tab_act1,tab_mnp)*V155*T155/MGMT)</f>
        <v>0</v>
      </c>
      <c r="AD155" s="133" cm="1">
        <f t="array" ref="AD155">IF(U155="",0,_xlfn.XLOOKUP(E155&amp;U155&amp;F155,tab_act&amp;tab_mod&amp;tab_act1,tab_Psup)*V155*T155/MGMT)</f>
        <v>0</v>
      </c>
      <c r="AE155" s="133" cm="1">
        <f t="array" ref="AE155">IF(U155="",0,_xlfn.XLOOKUP(E155&amp;U155&amp;F155,tab_act&amp;tab_mod&amp;tab_act1,tab_csb1)*V155*T155/MGMT)</f>
        <v>0</v>
      </c>
      <c r="AF155" s="133" cm="1">
        <f t="array" ref="AF155">IF(U155="",0,_xlfn.XLOOKUP(E155&amp;U155&amp;F155,tab_act&amp;tab_mod&amp;tab_act1,tab_csb2)*V155*T155/MGMT)</f>
        <v>0</v>
      </c>
      <c r="AG155" s="133" cm="1">
        <f t="array" ref="AG155">IF(U155="",0,_xlfn.XLOOKUP(E155&amp;U155&amp;F155,tab_act&amp;tab_mod&amp;tab_act1,tab_pdoz)*V155*T155/MGMT)</f>
        <v>0.21</v>
      </c>
      <c r="AH155" s="133" cm="1">
        <f t="array" ref="AH155">IF(U155="",0,_xlfn.XLOOKUP(E155&amp;U155&amp;F155,tab_act&amp;tab_mod&amp;tab_act1,tab_lns)*V155*T155/MGMT)</f>
        <v>0</v>
      </c>
      <c r="AI155" s="47">
        <f t="shared" si="18"/>
        <v>0.21</v>
      </c>
      <c r="AJ155" s="48">
        <f t="shared" si="19"/>
        <v>0</v>
      </c>
      <c r="AK155" s="49" cm="1">
        <f t="array" ref="AK155">IF(U155="",0,_xlfn.XLOOKUP(E155&amp;U155&amp;F155,tab_act&amp;tab_mod&amp;tab_act1,tab_cash)*V155*T155)</f>
        <v>0</v>
      </c>
      <c r="AN155" s="140" t="str">
        <f t="shared" si="20"/>
        <v>A</v>
      </c>
    </row>
    <row r="156" spans="1:40" x14ac:dyDescent="0.35">
      <c r="B156" s="50" t="s">
        <v>129</v>
      </c>
      <c r="C156" s="44">
        <v>2023</v>
      </c>
      <c r="D156" s="44" t="s">
        <v>100</v>
      </c>
      <c r="E156" s="15" t="s">
        <v>39</v>
      </c>
      <c r="F156" s="108" t="s">
        <v>22</v>
      </c>
      <c r="G156" s="15" t="s">
        <v>159</v>
      </c>
      <c r="H156" s="44"/>
      <c r="I156" s="15" t="s">
        <v>213</v>
      </c>
      <c r="J156" s="15" t="s">
        <v>91</v>
      </c>
      <c r="K156" s="15" t="s">
        <v>97</v>
      </c>
      <c r="L156" s="15" t="s">
        <v>212</v>
      </c>
      <c r="M156" s="15" t="s">
        <v>158</v>
      </c>
      <c r="N156" s="15" t="s">
        <v>68</v>
      </c>
      <c r="O156" s="15" t="s">
        <v>103</v>
      </c>
      <c r="P156" s="15" t="s">
        <v>240</v>
      </c>
      <c r="Q156" s="135"/>
      <c r="R156" s="42"/>
      <c r="S156" s="42">
        <v>200</v>
      </c>
      <c r="T156" s="43">
        <f t="shared" si="17"/>
        <v>200</v>
      </c>
      <c r="U156" s="15" t="s">
        <v>41</v>
      </c>
      <c r="V156" s="150">
        <v>30</v>
      </c>
      <c r="W156" s="133" cm="1">
        <f t="array" ref="W156">IF(U156="",0,_xlfn.XLOOKUP(E156&amp;U156&amp;F156,tab_act&amp;tab_mod&amp;tab_act1,tab_riz)*V156*T156/MGMT)</f>
        <v>0</v>
      </c>
      <c r="X156" s="43" cm="1">
        <f t="array" ref="X156">IF(U156="",0,_xlfn.XLOOKUP(E156&amp;U156&amp;F156,tab_act&amp;tab_mod&amp;tab_act1,tab_mc)*V156*T156/MGMT)</f>
        <v>0</v>
      </c>
      <c r="Y156" s="43" cm="1">
        <f t="array" ref="Y156">IF(U156="",0,_xlfn.XLOOKUP(E156&amp;U156&amp;F156,tab_act&amp;tab_mod&amp;tab_act1,tab_sor)*V156*T156/MGMT)</f>
        <v>0</v>
      </c>
      <c r="Z156" s="43" cm="1">
        <f t="array" ref="Z156">IF(U156="",0,_xlfn.XLOOKUP(E156&amp;U156&amp;F156,tab_act&amp;tab_mod&amp;tab_act1,tab_mg)*V156*T156/MGMT)</f>
        <v>0</v>
      </c>
      <c r="AA156" s="133" cm="1">
        <f t="array" ref="AA156">IF(U156="",0,IF(U156="hybrid-Sch",_xlfn.XLOOKUP(E156&amp;U156&amp;F156,tab_act&amp;tab_mod&amp;tab_act1,tab_ls)*SchLS*T156/MGMT,_xlfn.XLOOKUP(E156&amp;U156&amp;F156,tab_act&amp;tab_mod&amp;tab_act1,tab_ls)*V156*T156/MGMT))</f>
        <v>0</v>
      </c>
      <c r="AB156" s="133" cm="1">
        <f t="array" ref="AB156">IF(U156="",0,_xlfn.XLOOKUP(E156&amp;U156&amp;F156,tab_act&amp;tab_mod&amp;tab_act1,tab_hu)*V156*T156/MGMT)</f>
        <v>0</v>
      </c>
      <c r="AC156" s="133" cm="1">
        <f t="array" ref="AC156">IF(U156="",0,_xlfn.XLOOKUP(E156&amp;U156&amp;F156,tab_act&amp;tab_mod&amp;tab_act1,tab_mnp)*V156*T156/MGMT)</f>
        <v>0</v>
      </c>
      <c r="AD156" s="133" cm="1">
        <f t="array" ref="AD156">IF(U156="",0,_xlfn.XLOOKUP(E156&amp;U156&amp;F156,tab_act&amp;tab_mod&amp;tab_act1,tab_Psup)*V156*T156/MGMT)</f>
        <v>0</v>
      </c>
      <c r="AE156" s="133" cm="1">
        <f t="array" ref="AE156">IF(U156="",0,_xlfn.XLOOKUP(E156&amp;U156&amp;F156,tab_act&amp;tab_mod&amp;tab_act1,tab_csb1)*V156*T156/MGMT)</f>
        <v>0</v>
      </c>
      <c r="AF156" s="133" cm="1">
        <f t="array" ref="AF156">IF(U156="",0,_xlfn.XLOOKUP(E156&amp;U156&amp;F156,tab_act&amp;tab_mod&amp;tab_act1,tab_csb2)*V156*T156/MGMT)</f>
        <v>0</v>
      </c>
      <c r="AG156" s="133" cm="1">
        <f t="array" ref="AG156">IF(U156="",0,_xlfn.XLOOKUP(E156&amp;U156&amp;F156,tab_act&amp;tab_mod&amp;tab_act1,tab_pdoz)*V156*T156/MGMT)</f>
        <v>0.3</v>
      </c>
      <c r="AH156" s="133" cm="1">
        <f t="array" ref="AH156">IF(U156="",0,_xlfn.XLOOKUP(E156&amp;U156&amp;F156,tab_act&amp;tab_mod&amp;tab_act1,tab_lns)*V156*T156/MGMT)</f>
        <v>0</v>
      </c>
      <c r="AI156" s="47">
        <f t="shared" si="18"/>
        <v>0.3</v>
      </c>
      <c r="AJ156" s="48">
        <f t="shared" si="19"/>
        <v>0</v>
      </c>
      <c r="AK156" s="49" cm="1">
        <f t="array" ref="AK156">IF(U156="",0,_xlfn.XLOOKUP(E156&amp;U156&amp;F156,tab_act&amp;tab_mod&amp;tab_act1,tab_cash)*V156*T156)</f>
        <v>0</v>
      </c>
      <c r="AN156" s="140" t="str">
        <f t="shared" si="20"/>
        <v>A</v>
      </c>
    </row>
    <row r="157" spans="1:40" x14ac:dyDescent="0.35">
      <c r="B157" s="50" t="s">
        <v>129</v>
      </c>
      <c r="C157" s="44">
        <v>2023</v>
      </c>
      <c r="D157" s="44" t="s">
        <v>100</v>
      </c>
      <c r="E157" s="15" t="s">
        <v>39</v>
      </c>
      <c r="F157" s="108" t="s">
        <v>22</v>
      </c>
      <c r="G157" s="15" t="s">
        <v>159</v>
      </c>
      <c r="H157" s="44"/>
      <c r="I157" s="15" t="s">
        <v>213</v>
      </c>
      <c r="J157" s="15" t="s">
        <v>91</v>
      </c>
      <c r="K157" s="15" t="s">
        <v>97</v>
      </c>
      <c r="L157" s="15" t="s">
        <v>212</v>
      </c>
      <c r="M157" s="15" t="s">
        <v>158</v>
      </c>
      <c r="N157" s="15" t="s">
        <v>68</v>
      </c>
      <c r="O157" s="15" t="s">
        <v>103</v>
      </c>
      <c r="P157" s="15" t="s">
        <v>241</v>
      </c>
      <c r="Q157" s="135"/>
      <c r="R157" s="42"/>
      <c r="S157" s="42">
        <v>160</v>
      </c>
      <c r="T157" s="43">
        <f t="shared" si="17"/>
        <v>160</v>
      </c>
      <c r="U157" s="15" t="s">
        <v>41</v>
      </c>
      <c r="V157" s="150">
        <v>30</v>
      </c>
      <c r="W157" s="133" cm="1">
        <f t="array" ref="W157">IF(U157="",0,_xlfn.XLOOKUP(E157&amp;U157&amp;F157,tab_act&amp;tab_mod&amp;tab_act1,tab_riz)*V157*T157/MGMT)</f>
        <v>0</v>
      </c>
      <c r="X157" s="43" cm="1">
        <f t="array" ref="X157">IF(U157="",0,_xlfn.XLOOKUP(E157&amp;U157&amp;F157,tab_act&amp;tab_mod&amp;tab_act1,tab_mc)*V157*T157/MGMT)</f>
        <v>0</v>
      </c>
      <c r="Y157" s="43" cm="1">
        <f t="array" ref="Y157">IF(U157="",0,_xlfn.XLOOKUP(E157&amp;U157&amp;F157,tab_act&amp;tab_mod&amp;tab_act1,tab_sor)*V157*T157/MGMT)</f>
        <v>0</v>
      </c>
      <c r="Z157" s="43" cm="1">
        <f t="array" ref="Z157">IF(U157="",0,_xlfn.XLOOKUP(E157&amp;U157&amp;F157,tab_act&amp;tab_mod&amp;tab_act1,tab_mg)*V157*T157/MGMT)</f>
        <v>0</v>
      </c>
      <c r="AA157" s="133" cm="1">
        <f t="array" ref="AA157">IF(U157="",0,IF(U157="hybrid-Sch",_xlfn.XLOOKUP(E157&amp;U157&amp;F157,tab_act&amp;tab_mod&amp;tab_act1,tab_ls)*SchLS*T157/MGMT,_xlfn.XLOOKUP(E157&amp;U157&amp;F157,tab_act&amp;tab_mod&amp;tab_act1,tab_ls)*V157*T157/MGMT))</f>
        <v>0</v>
      </c>
      <c r="AB157" s="133" cm="1">
        <f t="array" ref="AB157">IF(U157="",0,_xlfn.XLOOKUP(E157&amp;U157&amp;F157,tab_act&amp;tab_mod&amp;tab_act1,tab_hu)*V157*T157/MGMT)</f>
        <v>0</v>
      </c>
      <c r="AC157" s="133" cm="1">
        <f t="array" ref="AC157">IF(U157="",0,_xlfn.XLOOKUP(E157&amp;U157&amp;F157,tab_act&amp;tab_mod&amp;tab_act1,tab_mnp)*V157*T157/MGMT)</f>
        <v>0</v>
      </c>
      <c r="AD157" s="133" cm="1">
        <f t="array" ref="AD157">IF(U157="",0,_xlfn.XLOOKUP(E157&amp;U157&amp;F157,tab_act&amp;tab_mod&amp;tab_act1,tab_Psup)*V157*T157/MGMT)</f>
        <v>0</v>
      </c>
      <c r="AE157" s="133" cm="1">
        <f t="array" ref="AE157">IF(U157="",0,_xlfn.XLOOKUP(E157&amp;U157&amp;F157,tab_act&amp;tab_mod&amp;tab_act1,tab_csb1)*V157*T157/MGMT)</f>
        <v>0</v>
      </c>
      <c r="AF157" s="133" cm="1">
        <f t="array" ref="AF157">IF(U157="",0,_xlfn.XLOOKUP(E157&amp;U157&amp;F157,tab_act&amp;tab_mod&amp;tab_act1,tab_csb2)*V157*T157/MGMT)</f>
        <v>0</v>
      </c>
      <c r="AG157" s="133" cm="1">
        <f t="array" ref="AG157">IF(U157="",0,_xlfn.XLOOKUP(E157&amp;U157&amp;F157,tab_act&amp;tab_mod&amp;tab_act1,tab_pdoz)*V157*T157/MGMT)</f>
        <v>0.24</v>
      </c>
      <c r="AH157" s="133" cm="1">
        <f t="array" ref="AH157">IF(U157="",0,_xlfn.XLOOKUP(E157&amp;U157&amp;F157,tab_act&amp;tab_mod&amp;tab_act1,tab_lns)*V157*T157/MGMT)</f>
        <v>0</v>
      </c>
      <c r="AI157" s="47">
        <f t="shared" si="18"/>
        <v>0.24</v>
      </c>
      <c r="AJ157" s="48">
        <f t="shared" si="19"/>
        <v>0</v>
      </c>
      <c r="AK157" s="49" cm="1">
        <f t="array" ref="AK157">IF(U157="",0,_xlfn.XLOOKUP(E157&amp;U157&amp;F157,tab_act&amp;tab_mod&amp;tab_act1,tab_cash)*V157*T157)</f>
        <v>0</v>
      </c>
      <c r="AN157" s="140" t="str">
        <f t="shared" si="20"/>
        <v>A</v>
      </c>
    </row>
    <row r="158" spans="1:40" s="90" customFormat="1" x14ac:dyDescent="0.35">
      <c r="A158"/>
      <c r="B158" s="50" t="s">
        <v>129</v>
      </c>
      <c r="C158" s="44">
        <v>2023</v>
      </c>
      <c r="D158" s="44" t="s">
        <v>100</v>
      </c>
      <c r="E158" s="15" t="s">
        <v>39</v>
      </c>
      <c r="F158" s="108" t="s">
        <v>22</v>
      </c>
      <c r="G158" s="15" t="s">
        <v>159</v>
      </c>
      <c r="H158" s="44"/>
      <c r="I158" s="15" t="s">
        <v>213</v>
      </c>
      <c r="J158" s="15" t="s">
        <v>91</v>
      </c>
      <c r="K158" s="15" t="s">
        <v>97</v>
      </c>
      <c r="L158" s="15" t="s">
        <v>212</v>
      </c>
      <c r="M158" s="15" t="s">
        <v>158</v>
      </c>
      <c r="N158" s="15" t="s">
        <v>68</v>
      </c>
      <c r="O158" s="15" t="s">
        <v>103</v>
      </c>
      <c r="P158" s="15" t="s">
        <v>242</v>
      </c>
      <c r="Q158" s="135"/>
      <c r="R158" s="42"/>
      <c r="S158" s="42">
        <v>162</v>
      </c>
      <c r="T158" s="43">
        <f t="shared" si="17"/>
        <v>162</v>
      </c>
      <c r="U158" s="15" t="s">
        <v>41</v>
      </c>
      <c r="V158" s="150">
        <v>30</v>
      </c>
      <c r="W158" s="133" cm="1">
        <f t="array" ref="W158">IF(U158="",0,_xlfn.XLOOKUP(E158&amp;U158&amp;F158,tab_act&amp;tab_mod&amp;tab_act1,tab_riz)*V158*T158/MGMT)</f>
        <v>0</v>
      </c>
      <c r="X158" s="43" cm="1">
        <f t="array" ref="X158">IF(U158="",0,_xlfn.XLOOKUP(E158&amp;U158&amp;F158,tab_act&amp;tab_mod&amp;tab_act1,tab_mc)*V158*T158/MGMT)</f>
        <v>0</v>
      </c>
      <c r="Y158" s="43" cm="1">
        <f t="array" ref="Y158">IF(U158="",0,_xlfn.XLOOKUP(E158&amp;U158&amp;F158,tab_act&amp;tab_mod&amp;tab_act1,tab_sor)*V158*T158/MGMT)</f>
        <v>0</v>
      </c>
      <c r="Z158" s="43" cm="1">
        <f t="array" ref="Z158">IF(U158="",0,_xlfn.XLOOKUP(E158&amp;U158&amp;F158,tab_act&amp;tab_mod&amp;tab_act1,tab_mg)*V158*T158/MGMT)</f>
        <v>0</v>
      </c>
      <c r="AA158" s="133" cm="1">
        <f t="array" ref="AA158">IF(U158="",0,IF(U158="hybrid-Sch",_xlfn.XLOOKUP(E158&amp;U158&amp;F158,tab_act&amp;tab_mod&amp;tab_act1,tab_ls)*SchLS*T158/MGMT,_xlfn.XLOOKUP(E158&amp;U158&amp;F158,tab_act&amp;tab_mod&amp;tab_act1,tab_ls)*V158*T158/MGMT))</f>
        <v>0</v>
      </c>
      <c r="AB158" s="133" cm="1">
        <f t="array" ref="AB158">IF(U158="",0,_xlfn.XLOOKUP(E158&amp;U158&amp;F158,tab_act&amp;tab_mod&amp;tab_act1,tab_hu)*V158*T158/MGMT)</f>
        <v>0</v>
      </c>
      <c r="AC158" s="133" cm="1">
        <f t="array" ref="AC158">IF(U158="",0,_xlfn.XLOOKUP(E158&amp;U158&amp;F158,tab_act&amp;tab_mod&amp;tab_act1,tab_mnp)*V158*T158/MGMT)</f>
        <v>0</v>
      </c>
      <c r="AD158" s="133" cm="1">
        <f t="array" ref="AD158">IF(U158="",0,_xlfn.XLOOKUP(E158&amp;U158&amp;F158,tab_act&amp;tab_mod&amp;tab_act1,tab_Psup)*V158*T158/MGMT)</f>
        <v>0</v>
      </c>
      <c r="AE158" s="133" cm="1">
        <f t="array" ref="AE158">IF(U158="",0,_xlfn.XLOOKUP(E158&amp;U158&amp;F158,tab_act&amp;tab_mod&amp;tab_act1,tab_csb1)*V158*T158/MGMT)</f>
        <v>0</v>
      </c>
      <c r="AF158" s="133" cm="1">
        <f t="array" ref="AF158">IF(U158="",0,_xlfn.XLOOKUP(E158&amp;U158&amp;F158,tab_act&amp;tab_mod&amp;tab_act1,tab_csb2)*V158*T158/MGMT)</f>
        <v>0</v>
      </c>
      <c r="AG158" s="133" cm="1">
        <f t="array" ref="AG158">IF(U158="",0,_xlfn.XLOOKUP(E158&amp;U158&amp;F158,tab_act&amp;tab_mod&amp;tab_act1,tab_pdoz)*V158*T158/MGMT)</f>
        <v>0.24299999999999999</v>
      </c>
      <c r="AH158" s="133" cm="1">
        <f t="array" ref="AH158">IF(U158="",0,_xlfn.XLOOKUP(E158&amp;U158&amp;F158,tab_act&amp;tab_mod&amp;tab_act1,tab_lns)*V158*T158/MGMT)</f>
        <v>0</v>
      </c>
      <c r="AI158" s="47">
        <f t="shared" si="18"/>
        <v>0.24299999999999999</v>
      </c>
      <c r="AJ158" s="48">
        <f t="shared" si="19"/>
        <v>0</v>
      </c>
      <c r="AK158" s="49" cm="1">
        <f t="array" ref="AK158">IF(U158="",0,_xlfn.XLOOKUP(E158&amp;U158&amp;F158,tab_act&amp;tab_mod&amp;tab_act1,tab_cash)*V158*T158)</f>
        <v>0</v>
      </c>
      <c r="AL158"/>
      <c r="AM158"/>
      <c r="AN158" s="140" t="str">
        <f t="shared" si="20"/>
        <v>A</v>
      </c>
    </row>
    <row r="159" spans="1:40" s="90" customFormat="1" x14ac:dyDescent="0.35">
      <c r="A159"/>
      <c r="B159" s="50" t="s">
        <v>129</v>
      </c>
      <c r="C159" s="44">
        <v>2023</v>
      </c>
      <c r="D159" s="44" t="s">
        <v>100</v>
      </c>
      <c r="E159" s="15" t="s">
        <v>39</v>
      </c>
      <c r="F159" s="108" t="s">
        <v>22</v>
      </c>
      <c r="G159" s="15" t="s">
        <v>159</v>
      </c>
      <c r="H159" s="44"/>
      <c r="I159" s="15" t="s">
        <v>213</v>
      </c>
      <c r="J159" s="15" t="s">
        <v>91</v>
      </c>
      <c r="K159" s="15" t="s">
        <v>97</v>
      </c>
      <c r="L159" s="15" t="s">
        <v>212</v>
      </c>
      <c r="M159" s="15" t="s">
        <v>158</v>
      </c>
      <c r="N159" s="15" t="s">
        <v>68</v>
      </c>
      <c r="O159" s="15" t="s">
        <v>103</v>
      </c>
      <c r="P159" s="15" t="s">
        <v>243</v>
      </c>
      <c r="Q159" s="135"/>
      <c r="R159" s="42"/>
      <c r="S159" s="42">
        <v>274</v>
      </c>
      <c r="T159" s="43">
        <f t="shared" si="17"/>
        <v>274</v>
      </c>
      <c r="U159" s="15" t="s">
        <v>41</v>
      </c>
      <c r="V159" s="150">
        <v>30</v>
      </c>
      <c r="W159" s="133" cm="1">
        <f t="array" ref="W159">IF(U159="",0,_xlfn.XLOOKUP(E159&amp;U159&amp;F159,tab_act&amp;tab_mod&amp;tab_act1,tab_riz)*V159*T159/MGMT)</f>
        <v>0</v>
      </c>
      <c r="X159" s="43" cm="1">
        <f t="array" ref="X159">IF(U159="",0,_xlfn.XLOOKUP(E159&amp;U159&amp;F159,tab_act&amp;tab_mod&amp;tab_act1,tab_mc)*V159*T159/MGMT)</f>
        <v>0</v>
      </c>
      <c r="Y159" s="43" cm="1">
        <f t="array" ref="Y159">IF(U159="",0,_xlfn.XLOOKUP(E159&amp;U159&amp;F159,tab_act&amp;tab_mod&amp;tab_act1,tab_sor)*V159*T159/MGMT)</f>
        <v>0</v>
      </c>
      <c r="Z159" s="43" cm="1">
        <f t="array" ref="Z159">IF(U159="",0,_xlfn.XLOOKUP(E159&amp;U159&amp;F159,tab_act&amp;tab_mod&amp;tab_act1,tab_mg)*V159*T159/MGMT)</f>
        <v>0</v>
      </c>
      <c r="AA159" s="133" cm="1">
        <f t="array" ref="AA159">IF(U159="",0,IF(U159="hybrid-Sch",_xlfn.XLOOKUP(E159&amp;U159&amp;F159,tab_act&amp;tab_mod&amp;tab_act1,tab_ls)*SchLS*T159/MGMT,_xlfn.XLOOKUP(E159&amp;U159&amp;F159,tab_act&amp;tab_mod&amp;tab_act1,tab_ls)*V159*T159/MGMT))</f>
        <v>0</v>
      </c>
      <c r="AB159" s="133" cm="1">
        <f t="array" ref="AB159">IF(U159="",0,_xlfn.XLOOKUP(E159&amp;U159&amp;F159,tab_act&amp;tab_mod&amp;tab_act1,tab_hu)*V159*T159/MGMT)</f>
        <v>0</v>
      </c>
      <c r="AC159" s="133" cm="1">
        <f t="array" ref="AC159">IF(U159="",0,_xlfn.XLOOKUP(E159&amp;U159&amp;F159,tab_act&amp;tab_mod&amp;tab_act1,tab_mnp)*V159*T159/MGMT)</f>
        <v>0</v>
      </c>
      <c r="AD159" s="133" cm="1">
        <f t="array" ref="AD159">IF(U159="",0,_xlfn.XLOOKUP(E159&amp;U159&amp;F159,tab_act&amp;tab_mod&amp;tab_act1,tab_Psup)*V159*T159/MGMT)</f>
        <v>0</v>
      </c>
      <c r="AE159" s="133" cm="1">
        <f t="array" ref="AE159">IF(U159="",0,_xlfn.XLOOKUP(E159&amp;U159&amp;F159,tab_act&amp;tab_mod&amp;tab_act1,tab_csb1)*V159*T159/MGMT)</f>
        <v>0</v>
      </c>
      <c r="AF159" s="133" cm="1">
        <f t="array" ref="AF159">IF(U159="",0,_xlfn.XLOOKUP(E159&amp;U159&amp;F159,tab_act&amp;tab_mod&amp;tab_act1,tab_csb2)*V159*T159/MGMT)</f>
        <v>0</v>
      </c>
      <c r="AG159" s="133" cm="1">
        <f t="array" ref="AG159">IF(U159="",0,_xlfn.XLOOKUP(E159&amp;U159&amp;F159,tab_act&amp;tab_mod&amp;tab_act1,tab_pdoz)*V159*T159/MGMT)</f>
        <v>0.41099999999999998</v>
      </c>
      <c r="AH159" s="133" cm="1">
        <f t="array" ref="AH159">IF(U159="",0,_xlfn.XLOOKUP(E159&amp;U159&amp;F159,tab_act&amp;tab_mod&amp;tab_act1,tab_lns)*V159*T159/MGMT)</f>
        <v>0</v>
      </c>
      <c r="AI159" s="47">
        <f t="shared" si="18"/>
        <v>0.41099999999999998</v>
      </c>
      <c r="AJ159" s="48">
        <f t="shared" si="19"/>
        <v>0</v>
      </c>
      <c r="AK159" s="49" cm="1">
        <f t="array" ref="AK159">IF(U159="",0,_xlfn.XLOOKUP(E159&amp;U159&amp;F159,tab_act&amp;tab_mod&amp;tab_act1,tab_cash)*V159*T159)</f>
        <v>0</v>
      </c>
      <c r="AL159"/>
      <c r="AM159"/>
      <c r="AN159" s="140" t="str">
        <f t="shared" si="20"/>
        <v>A</v>
      </c>
    </row>
    <row r="160" spans="1:40" s="90" customFormat="1" x14ac:dyDescent="0.35">
      <c r="A160"/>
      <c r="B160" s="116" t="s">
        <v>129</v>
      </c>
      <c r="C160" s="117">
        <v>2023</v>
      </c>
      <c r="D160" s="117" t="s">
        <v>100</v>
      </c>
      <c r="E160" s="118" t="s">
        <v>39</v>
      </c>
      <c r="F160" s="118" t="s">
        <v>22</v>
      </c>
      <c r="G160" s="118" t="s">
        <v>159</v>
      </c>
      <c r="H160" s="117"/>
      <c r="I160" s="118" t="s">
        <v>91</v>
      </c>
      <c r="J160" s="118" t="s">
        <v>91</v>
      </c>
      <c r="K160" s="118" t="s">
        <v>97</v>
      </c>
      <c r="L160" s="118" t="s">
        <v>246</v>
      </c>
      <c r="M160" s="118" t="s">
        <v>91</v>
      </c>
      <c r="N160" s="118" t="s">
        <v>68</v>
      </c>
      <c r="O160" s="118" t="s">
        <v>247</v>
      </c>
      <c r="P160" s="118" t="s">
        <v>247</v>
      </c>
      <c r="Q160" s="136"/>
      <c r="R160" s="136"/>
      <c r="S160" s="136">
        <v>1932</v>
      </c>
      <c r="T160" s="118">
        <f t="shared" si="17"/>
        <v>1932</v>
      </c>
      <c r="U160" s="118" t="s">
        <v>41</v>
      </c>
      <c r="V160" s="151">
        <v>30</v>
      </c>
      <c r="W160" s="137" cm="1">
        <f t="array" ref="W160">IF(U160="",0,_xlfn.XLOOKUP(E160&amp;U160&amp;F160,tab_act&amp;tab_mod&amp;tab_act1,tab_riz)*V160*T160/MGMT)</f>
        <v>0</v>
      </c>
      <c r="X160" s="138" cm="1">
        <f t="array" ref="X160">IF(U160="",0,_xlfn.XLOOKUP(E160&amp;U160&amp;F160,tab_act&amp;tab_mod&amp;tab_act1,tab_mc)*V160*T160/MGMT)</f>
        <v>0</v>
      </c>
      <c r="Y160" s="138" cm="1">
        <f t="array" ref="Y160">IF(U160="",0,_xlfn.XLOOKUP(E160&amp;U160&amp;F160,tab_act&amp;tab_mod&amp;tab_act1,tab_sor)*V160*T160/MGMT)</f>
        <v>0</v>
      </c>
      <c r="Z160" s="138" cm="1">
        <f t="array" ref="Z160">IF(U160="",0,_xlfn.XLOOKUP(E160&amp;U160&amp;F160,tab_act&amp;tab_mod&amp;tab_act1,tab_mg)*V160*T160/MGMT)</f>
        <v>0</v>
      </c>
      <c r="AA160" s="137" cm="1">
        <f t="array" ref="AA160">IF(U160="",0,IF(U160="hybrid-Sch",_xlfn.XLOOKUP(E160&amp;U160&amp;F160,tab_act&amp;tab_mod&amp;tab_act1,tab_ls)*SchLS*T160/MGMT,_xlfn.XLOOKUP(E160&amp;U160&amp;F160,tab_act&amp;tab_mod&amp;tab_act1,tab_ls)*V160*T160/MGMT))</f>
        <v>0</v>
      </c>
      <c r="AB160" s="137" cm="1">
        <f t="array" ref="AB160">IF(U160="",0,_xlfn.XLOOKUP(E160&amp;U160&amp;F160,tab_act&amp;tab_mod&amp;tab_act1,tab_hu)*V160*T160/MGMT)</f>
        <v>0</v>
      </c>
      <c r="AC160" s="137" cm="1">
        <f t="array" ref="AC160">IF(U160="",0,_xlfn.XLOOKUP(E160&amp;U160&amp;F160,tab_act&amp;tab_mod&amp;tab_act1,tab_mnp)*V160*T160/MGMT)</f>
        <v>0</v>
      </c>
      <c r="AD160" s="137" cm="1">
        <f t="array" ref="AD160">IF(U160="",0,_xlfn.XLOOKUP(E160&amp;U160&amp;F160,tab_act&amp;tab_mod&amp;tab_act1,tab_Psup)*V160*T160/MGMT)</f>
        <v>0</v>
      </c>
      <c r="AE160" s="137" cm="1">
        <f t="array" ref="AE160">IF(U160="",0,_xlfn.XLOOKUP(E160&amp;U160&amp;F160,tab_act&amp;tab_mod&amp;tab_act1,tab_csb1)*V160*T160/MGMT)</f>
        <v>0</v>
      </c>
      <c r="AF160" s="137" cm="1">
        <f t="array" ref="AF160">IF(U160="",0,_xlfn.XLOOKUP(E160&amp;U160&amp;F160,tab_act&amp;tab_mod&amp;tab_act1,tab_csb2)*V160*T160/MGMT)</f>
        <v>0</v>
      </c>
      <c r="AG160" s="137" cm="1">
        <f t="array" ref="AG160">IF(U160="",0,_xlfn.XLOOKUP(E160&amp;U160&amp;F160,tab_act&amp;tab_mod&amp;tab_act1,tab_pdoz)*V160*T160/MGMT)</f>
        <v>2.8980000000000001</v>
      </c>
      <c r="AH160" s="137" cm="1">
        <f t="array" ref="AH160">IF(U160="",0,_xlfn.XLOOKUP(E160&amp;U160&amp;F160,tab_act&amp;tab_mod&amp;tab_act1,tab_lns)*V160*T160/MGMT)</f>
        <v>0</v>
      </c>
      <c r="AI160" s="123">
        <f t="shared" si="18"/>
        <v>2.8980000000000001</v>
      </c>
      <c r="AJ160" s="124">
        <f t="shared" si="19"/>
        <v>0</v>
      </c>
      <c r="AK160" s="125" cm="1">
        <f t="array" ref="AK160">IF(U160="",0,_xlfn.XLOOKUP(E160&amp;U160&amp;F160,tab_act&amp;tab_mod&amp;tab_act1,tab_cash)*V160*T160)</f>
        <v>0</v>
      </c>
      <c r="AL160" s="119"/>
      <c r="AM160" s="119"/>
      <c r="AN160" s="147" t="str">
        <f t="shared" si="20"/>
        <v>A</v>
      </c>
    </row>
    <row r="161" spans="1:40" s="90" customFormat="1" x14ac:dyDescent="0.35">
      <c r="A161"/>
      <c r="B161" s="126" t="s">
        <v>129</v>
      </c>
      <c r="C161" s="127">
        <v>2023</v>
      </c>
      <c r="D161" s="127" t="s">
        <v>100</v>
      </c>
      <c r="E161" s="128" t="s">
        <v>39</v>
      </c>
      <c r="F161" s="128" t="s">
        <v>22</v>
      </c>
      <c r="G161" s="128" t="s">
        <v>159</v>
      </c>
      <c r="H161" s="127"/>
      <c r="I161" s="128" t="s">
        <v>213</v>
      </c>
      <c r="J161" s="128" t="s">
        <v>91</v>
      </c>
      <c r="K161" s="128" t="s">
        <v>97</v>
      </c>
      <c r="L161" s="128" t="s">
        <v>249</v>
      </c>
      <c r="M161" s="128" t="s">
        <v>158</v>
      </c>
      <c r="N161" s="128" t="s">
        <v>68</v>
      </c>
      <c r="O161" s="128" t="s">
        <v>250</v>
      </c>
      <c r="P161" s="128" t="s">
        <v>250</v>
      </c>
      <c r="Q161" s="136"/>
      <c r="R161" s="136"/>
      <c r="S161" s="136">
        <v>1861</v>
      </c>
      <c r="T161" s="118">
        <f t="shared" si="17"/>
        <v>1861</v>
      </c>
      <c r="U161" s="128" t="s">
        <v>41</v>
      </c>
      <c r="V161" s="152">
        <v>30</v>
      </c>
      <c r="W161" s="144" cm="1">
        <f t="array" ref="W161">IF(U161="",0,_xlfn.XLOOKUP(E161&amp;U161&amp;F161,tab_act&amp;tab_mod&amp;tab_act1,tab_riz)*V161*T161/MGMT)</f>
        <v>0</v>
      </c>
      <c r="X161" s="145" cm="1">
        <f t="array" ref="X161">IF(U161="",0,_xlfn.XLOOKUP(E161&amp;U161&amp;F161,tab_act&amp;tab_mod&amp;tab_act1,tab_mc)*V161*T161/MGMT)</f>
        <v>0</v>
      </c>
      <c r="Y161" s="145" cm="1">
        <f t="array" ref="Y161">IF(U161="",0,_xlfn.XLOOKUP(E161&amp;U161&amp;F161,tab_act&amp;tab_mod&amp;tab_act1,tab_sor)*V161*T161/MGMT)</f>
        <v>0</v>
      </c>
      <c r="Z161" s="145" cm="1">
        <f t="array" ref="Z161">IF(U161="",0,_xlfn.XLOOKUP(E161&amp;U161&amp;F161,tab_act&amp;tab_mod&amp;tab_act1,tab_mg)*V161*T161/MGMT)</f>
        <v>0</v>
      </c>
      <c r="AA161" s="144" cm="1">
        <f t="array" ref="AA161">IF(U161="",0,IF(U161="hybrid-Sch",_xlfn.XLOOKUP(E161&amp;U161&amp;F161,tab_act&amp;tab_mod&amp;tab_act1,tab_ls)*SchLS*T161/MGMT,_xlfn.XLOOKUP(E161&amp;U161&amp;F161,tab_act&amp;tab_mod&amp;tab_act1,tab_ls)*V161*T161/MGMT))</f>
        <v>0</v>
      </c>
      <c r="AB161" s="144" cm="1">
        <f t="array" ref="AB161">IF(U161="",0,_xlfn.XLOOKUP(E161&amp;U161&amp;F161,tab_act&amp;tab_mod&amp;tab_act1,tab_hu)*V161*T161/MGMT)</f>
        <v>0</v>
      </c>
      <c r="AC161" s="144" cm="1">
        <f t="array" ref="AC161">IF(U161="",0,_xlfn.XLOOKUP(E161&amp;U161&amp;F161,tab_act&amp;tab_mod&amp;tab_act1,tab_mnp)*V161*T161/MGMT)</f>
        <v>0</v>
      </c>
      <c r="AD161" s="144" cm="1">
        <f t="array" ref="AD161">IF(U161="",0,_xlfn.XLOOKUP(E161&amp;U161&amp;F161,tab_act&amp;tab_mod&amp;tab_act1,tab_Psup)*V161*T161/MGMT)</f>
        <v>0</v>
      </c>
      <c r="AE161" s="144" cm="1">
        <f t="array" ref="AE161">IF(U161="",0,_xlfn.XLOOKUP(E161&amp;U161&amp;F161,tab_act&amp;tab_mod&amp;tab_act1,tab_csb1)*V161*T161/MGMT)</f>
        <v>0</v>
      </c>
      <c r="AF161" s="144" cm="1">
        <f t="array" ref="AF161">IF(U161="",0,_xlfn.XLOOKUP(E161&amp;U161&amp;F161,tab_act&amp;tab_mod&amp;tab_act1,tab_csb2)*V161*T161/MGMT)</f>
        <v>0</v>
      </c>
      <c r="AG161" s="144" cm="1">
        <f t="array" ref="AG161">IF(U161="",0,_xlfn.XLOOKUP(E161&amp;U161&amp;F161,tab_act&amp;tab_mod&amp;tab_act1,tab_pdoz)*V161*T161/MGMT)</f>
        <v>2.7915000000000001</v>
      </c>
      <c r="AH161" s="144" cm="1">
        <f t="array" ref="AH161">IF(U161="",0,_xlfn.XLOOKUP(E161&amp;U161&amp;F161,tab_act&amp;tab_mod&amp;tab_act1,tab_lns)*V161*T161/MGMT)</f>
        <v>0</v>
      </c>
      <c r="AI161" s="129">
        <f t="shared" si="18"/>
        <v>2.7915000000000001</v>
      </c>
      <c r="AJ161" s="130">
        <f t="shared" si="19"/>
        <v>0</v>
      </c>
      <c r="AK161" s="131" cm="1">
        <f t="array" ref="AK161">IF(U161="",0,_xlfn.XLOOKUP(E161&amp;U161&amp;F161,tab_act&amp;tab_mod&amp;tab_act1,tab_cash)*V161*T161)</f>
        <v>0</v>
      </c>
      <c r="AL161" s="119"/>
      <c r="AM161" s="119"/>
      <c r="AN161" s="147" t="str">
        <f t="shared" si="20"/>
        <v>A</v>
      </c>
    </row>
    <row r="162" spans="1:40" x14ac:dyDescent="0.35">
      <c r="B162" s="132" t="s">
        <v>128</v>
      </c>
      <c r="C162" s="44">
        <v>2023</v>
      </c>
      <c r="D162" s="44" t="s">
        <v>100</v>
      </c>
      <c r="E162" s="15" t="s">
        <v>39</v>
      </c>
      <c r="F162" s="108" t="s">
        <v>22</v>
      </c>
      <c r="G162" s="15" t="s">
        <v>159</v>
      </c>
      <c r="H162" s="44"/>
      <c r="I162" s="15" t="s">
        <v>94</v>
      </c>
      <c r="J162" s="15" t="s">
        <v>94</v>
      </c>
      <c r="K162" s="15" t="s">
        <v>160</v>
      </c>
      <c r="L162" s="15" t="s">
        <v>95</v>
      </c>
      <c r="M162" s="15" t="s">
        <v>94</v>
      </c>
      <c r="N162" s="15" t="s">
        <v>67</v>
      </c>
      <c r="O162" s="15" t="s">
        <v>161</v>
      </c>
      <c r="P162" s="15" t="s">
        <v>162</v>
      </c>
      <c r="Q162" s="42">
        <v>245.3</v>
      </c>
      <c r="R162" s="42">
        <v>199.1</v>
      </c>
      <c r="S162" s="42">
        <v>444.4</v>
      </c>
      <c r="T162" s="43">
        <v>444.4</v>
      </c>
      <c r="U162" s="44" t="s">
        <v>41</v>
      </c>
      <c r="V162" s="153">
        <v>30</v>
      </c>
      <c r="W162" s="45" cm="1">
        <f t="array" ref="W162">IF(U162="",0,_xlfn.XLOOKUP(E162&amp;U162&amp;F162,tab_act&amp;tab_mod&amp;tab_act1,tab_riz)*V162*T162/MGMT)</f>
        <v>0</v>
      </c>
      <c r="X162" s="42" cm="1">
        <f t="array" ref="X162">IF(U162="",0,_xlfn.XLOOKUP(E162&amp;U162&amp;F162,tab_act&amp;tab_mod&amp;tab_act1,tab_mc)*V162*T162/MGMT)</f>
        <v>0</v>
      </c>
      <c r="Y162" s="42" cm="1">
        <f t="array" ref="Y162">IF(U162="",0,_xlfn.XLOOKUP(E162&amp;U162&amp;F162,tab_act&amp;tab_mod&amp;tab_act1,tab_sor)*V162*T162/MGMT)</f>
        <v>0</v>
      </c>
      <c r="Z162" s="42" cm="1">
        <f t="array" ref="Z162">IF(U162="",0,_xlfn.XLOOKUP(E162&amp;U162&amp;F162,tab_act&amp;tab_mod&amp;tab_act1,tab_mg)*V162*T162/MGMT)</f>
        <v>0</v>
      </c>
      <c r="AA162" s="46" cm="1">
        <f t="array" ref="AA162">IF(U162="",0,IF(U162="hybrid-Sch",_xlfn.XLOOKUP(E162&amp;U162&amp;F162,tab_act&amp;tab_mod&amp;tab_act1,tab_ls)*SchLS*T162/MGMT,_xlfn.XLOOKUP(E162&amp;U162&amp;F162,tab_act&amp;tab_mod&amp;tab_act1,tab_ls)*V162*T162/MGMT))</f>
        <v>0</v>
      </c>
      <c r="AB162" s="46" cm="1">
        <f t="array" ref="AB162">IF(U162="",0,_xlfn.XLOOKUP(E162&amp;U162&amp;F162,tab_act&amp;tab_mod&amp;tab_act1,tab_hu)*V162*T162/MGMT)</f>
        <v>0</v>
      </c>
      <c r="AC162" s="46" cm="1">
        <f t="array" ref="AC162">IF(U162="",0,_xlfn.XLOOKUP(E162&amp;U162&amp;F162,tab_act&amp;tab_mod&amp;tab_act1,tab_mnp)*V162*T162/MGMT)</f>
        <v>0</v>
      </c>
      <c r="AD162" s="46" cm="1">
        <f t="array" ref="AD162">IF(U162="",0,_xlfn.XLOOKUP(E162&amp;U162&amp;F162,tab_act&amp;tab_mod&amp;tab_act1,tab_Psup)*V162*T162/MGMT)</f>
        <v>0</v>
      </c>
      <c r="AE162" s="46" cm="1">
        <f t="array" ref="AE162">IF(U162="",0,_xlfn.XLOOKUP(E162&amp;U162&amp;F162,tab_act&amp;tab_mod&amp;tab_act1,tab_csb1)*V162*T162/MGMT)</f>
        <v>0</v>
      </c>
      <c r="AF162" s="46" cm="1">
        <f t="array" ref="AF162">IF(U162="",0,_xlfn.XLOOKUP(E162&amp;U162&amp;F162,tab_act&amp;tab_mod&amp;tab_act1,tab_csb2)*V162*T162/MGMT)</f>
        <v>0</v>
      </c>
      <c r="AG162" s="109" cm="1">
        <f t="array" ref="AG162">IF(U162="",0,_xlfn.XLOOKUP(E162&amp;U162&amp;F162,tab_act&amp;tab_mod&amp;tab_act1,tab_pdoz)*V162*T162/MGMT)</f>
        <v>0.66659999999999997</v>
      </c>
      <c r="AH162" s="46" cm="1">
        <f t="array" ref="AH162">IF(U162="",0,_xlfn.XLOOKUP(E162&amp;U162&amp;F162,tab_act&amp;tab_mod&amp;tab_act1,tab_lns)*V162*T162/MGMT)</f>
        <v>0</v>
      </c>
      <c r="AI162" s="47">
        <f t="shared" si="18"/>
        <v>0.66659999999999997</v>
      </c>
      <c r="AJ162" s="48" cm="1">
        <f t="array" ref="AJ162">IF(U162="",0,_xlfn.XLOOKUP(E162&amp;U162&amp;F162,tab_act&amp;tab_mod&amp;tab_act1,tab_cash)*T162)</f>
        <v>0</v>
      </c>
      <c r="AK162" s="134" cm="1">
        <f t="array" ref="AK162">IF(B162="",0,IF(C162="",0,AJ162/_xlfn.XLOOKUP(B162&amp;C162,RMth&amp;RYr,RAr)))</f>
        <v>0</v>
      </c>
      <c r="AN162" s="146" t="str">
        <f t="shared" si="20"/>
        <v>A</v>
      </c>
    </row>
    <row r="163" spans="1:40" x14ac:dyDescent="0.35">
      <c r="B163" s="132" t="s">
        <v>128</v>
      </c>
      <c r="C163" s="44">
        <v>2023</v>
      </c>
      <c r="D163" s="44" t="s">
        <v>100</v>
      </c>
      <c r="E163" s="15" t="s">
        <v>39</v>
      </c>
      <c r="F163" s="108" t="s">
        <v>22</v>
      </c>
      <c r="G163" s="15" t="s">
        <v>159</v>
      </c>
      <c r="H163" s="44"/>
      <c r="I163" s="15" t="s">
        <v>94</v>
      </c>
      <c r="J163" s="15" t="s">
        <v>94</v>
      </c>
      <c r="K163" s="15" t="s">
        <v>160</v>
      </c>
      <c r="L163" s="15" t="s">
        <v>95</v>
      </c>
      <c r="M163" s="15" t="s">
        <v>94</v>
      </c>
      <c r="N163" s="15" t="s">
        <v>67</v>
      </c>
      <c r="O163" s="15" t="s">
        <v>161</v>
      </c>
      <c r="P163" s="15" t="s">
        <v>163</v>
      </c>
      <c r="Q163" s="42">
        <v>35.200000000000003</v>
      </c>
      <c r="R163" s="42">
        <v>31.9</v>
      </c>
      <c r="S163" s="42">
        <v>67.099999999999994</v>
      </c>
      <c r="T163" s="43">
        <v>67.099999999999994</v>
      </c>
      <c r="U163" s="44" t="s">
        <v>41</v>
      </c>
      <c r="V163" s="153">
        <v>30</v>
      </c>
      <c r="W163" s="45" cm="1">
        <f t="array" ref="W163">IF(U163="",0,_xlfn.XLOOKUP(E163&amp;U163&amp;F163,tab_act&amp;tab_mod&amp;tab_act1,tab_riz)*V163*T163/MGMT)</f>
        <v>0</v>
      </c>
      <c r="X163" s="42" cm="1">
        <f t="array" ref="X163">IF(U163="",0,_xlfn.XLOOKUP(E163&amp;U163&amp;F163,tab_act&amp;tab_mod&amp;tab_act1,tab_mc)*V163*T163/MGMT)</f>
        <v>0</v>
      </c>
      <c r="Y163" s="42" cm="1">
        <f t="array" ref="Y163">IF(U163="",0,_xlfn.XLOOKUP(E163&amp;U163&amp;F163,tab_act&amp;tab_mod&amp;tab_act1,tab_sor)*V163*T163/MGMT)</f>
        <v>0</v>
      </c>
      <c r="Z163" s="42" cm="1">
        <f t="array" ref="Z163">IF(U163="",0,_xlfn.XLOOKUP(E163&amp;U163&amp;F163,tab_act&amp;tab_mod&amp;tab_act1,tab_mg)*V163*T163/MGMT)</f>
        <v>0</v>
      </c>
      <c r="AA163" s="46" cm="1">
        <f t="array" ref="AA163">IF(U163="",0,IF(U163="hybrid-Sch",_xlfn.XLOOKUP(E163&amp;U163&amp;F163,tab_act&amp;tab_mod&amp;tab_act1,tab_ls)*SchLS*T163/MGMT,_xlfn.XLOOKUP(E163&amp;U163&amp;F163,tab_act&amp;tab_mod&amp;tab_act1,tab_ls)*V163*T163/MGMT))</f>
        <v>0</v>
      </c>
      <c r="AB163" s="46" cm="1">
        <f t="array" ref="AB163">IF(U163="",0,_xlfn.XLOOKUP(E163&amp;U163&amp;F163,tab_act&amp;tab_mod&amp;tab_act1,tab_hu)*V163*T163/MGMT)</f>
        <v>0</v>
      </c>
      <c r="AC163" s="46" cm="1">
        <f t="array" ref="AC163">IF(U163="",0,_xlfn.XLOOKUP(E163&amp;U163&amp;F163,tab_act&amp;tab_mod&amp;tab_act1,tab_mnp)*V163*T163/MGMT)</f>
        <v>0</v>
      </c>
      <c r="AD163" s="46" cm="1">
        <f t="array" ref="AD163">IF(U163="",0,_xlfn.XLOOKUP(E163&amp;U163&amp;F163,tab_act&amp;tab_mod&amp;tab_act1,tab_Psup)*V163*T163/MGMT)</f>
        <v>0</v>
      </c>
      <c r="AE163" s="46" cm="1">
        <f t="array" ref="AE163">IF(U163="",0,_xlfn.XLOOKUP(E163&amp;U163&amp;F163,tab_act&amp;tab_mod&amp;tab_act1,tab_csb1)*V163*T163/MGMT)</f>
        <v>0</v>
      </c>
      <c r="AF163" s="46" cm="1">
        <f t="array" ref="AF163">IF(U163="",0,_xlfn.XLOOKUP(E163&amp;U163&amp;F163,tab_act&amp;tab_mod&amp;tab_act1,tab_csb2)*V163*T163/MGMT)</f>
        <v>0</v>
      </c>
      <c r="AG163" s="109" cm="1">
        <f t="array" ref="AG163">IF(U163="",0,_xlfn.XLOOKUP(E163&amp;U163&amp;F163,tab_act&amp;tab_mod&amp;tab_act1,tab_pdoz)*V163*T163/MGMT)</f>
        <v>0.10064999999999999</v>
      </c>
      <c r="AH163" s="46" cm="1">
        <f t="array" ref="AH163">IF(U163="",0,_xlfn.XLOOKUP(E163&amp;U163&amp;F163,tab_act&amp;tab_mod&amp;tab_act1,tab_lns)*V163*T163/MGMT)</f>
        <v>0</v>
      </c>
      <c r="AI163" s="47">
        <f t="shared" si="18"/>
        <v>0.10064999999999999</v>
      </c>
      <c r="AJ163" s="48" cm="1">
        <f t="array" ref="AJ163">IF(U163="",0,_xlfn.XLOOKUP(E163&amp;U163&amp;F163,tab_act&amp;tab_mod&amp;tab_act1,tab_cash)*T163)</f>
        <v>0</v>
      </c>
      <c r="AK163" s="134" cm="1">
        <f t="array" ref="AK163">IF(B163="",0,IF(C163="",0,AJ163/_xlfn.XLOOKUP(B163&amp;C163,RMth&amp;RYr,RAr)))</f>
        <v>0</v>
      </c>
      <c r="AN163" s="146" t="str">
        <f t="shared" si="20"/>
        <v>A</v>
      </c>
    </row>
    <row r="164" spans="1:40" x14ac:dyDescent="0.35">
      <c r="B164" s="132" t="s">
        <v>128</v>
      </c>
      <c r="C164" s="44">
        <v>2023</v>
      </c>
      <c r="D164" s="44" t="s">
        <v>100</v>
      </c>
      <c r="E164" s="15" t="s">
        <v>39</v>
      </c>
      <c r="F164" s="108" t="s">
        <v>22</v>
      </c>
      <c r="G164" s="15" t="s">
        <v>159</v>
      </c>
      <c r="H164" s="44"/>
      <c r="I164" s="15" t="s">
        <v>94</v>
      </c>
      <c r="J164" s="15" t="s">
        <v>94</v>
      </c>
      <c r="K164" s="15" t="s">
        <v>160</v>
      </c>
      <c r="L164" s="15" t="s">
        <v>95</v>
      </c>
      <c r="M164" s="15" t="s">
        <v>94</v>
      </c>
      <c r="N164" s="15" t="s">
        <v>67</v>
      </c>
      <c r="O164" s="15" t="s">
        <v>161</v>
      </c>
      <c r="P164" s="15" t="s">
        <v>164</v>
      </c>
      <c r="Q164" s="42">
        <v>121</v>
      </c>
      <c r="R164" s="42">
        <v>108.9</v>
      </c>
      <c r="S164" s="42">
        <v>229.9</v>
      </c>
      <c r="T164" s="43">
        <v>229.9</v>
      </c>
      <c r="U164" s="44" t="s">
        <v>41</v>
      </c>
      <c r="V164" s="153">
        <v>30</v>
      </c>
      <c r="W164" s="45" cm="1">
        <f t="array" ref="W164">IF(U164="",0,_xlfn.XLOOKUP(E164&amp;U164&amp;F164,tab_act&amp;tab_mod&amp;tab_act1,tab_riz)*V164*T164/MGMT)</f>
        <v>0</v>
      </c>
      <c r="X164" s="42" cm="1">
        <f t="array" ref="X164">IF(U164="",0,_xlfn.XLOOKUP(E164&amp;U164&amp;F164,tab_act&amp;tab_mod&amp;tab_act1,tab_mc)*V164*T164/MGMT)</f>
        <v>0</v>
      </c>
      <c r="Y164" s="42" cm="1">
        <f t="array" ref="Y164">IF(U164="",0,_xlfn.XLOOKUP(E164&amp;U164&amp;F164,tab_act&amp;tab_mod&amp;tab_act1,tab_sor)*V164*T164/MGMT)</f>
        <v>0</v>
      </c>
      <c r="Z164" s="42" cm="1">
        <f t="array" ref="Z164">IF(U164="",0,_xlfn.XLOOKUP(E164&amp;U164&amp;F164,tab_act&amp;tab_mod&amp;tab_act1,tab_mg)*V164*T164/MGMT)</f>
        <v>0</v>
      </c>
      <c r="AA164" s="46" cm="1">
        <f t="array" ref="AA164">IF(U164="",0,IF(U164="hybrid-Sch",_xlfn.XLOOKUP(E164&amp;U164&amp;F164,tab_act&amp;tab_mod&amp;tab_act1,tab_ls)*SchLS*T164/MGMT,_xlfn.XLOOKUP(E164&amp;U164&amp;F164,tab_act&amp;tab_mod&amp;tab_act1,tab_ls)*V164*T164/MGMT))</f>
        <v>0</v>
      </c>
      <c r="AB164" s="46" cm="1">
        <f t="array" ref="AB164">IF(U164="",0,_xlfn.XLOOKUP(E164&amp;U164&amp;F164,tab_act&amp;tab_mod&amp;tab_act1,tab_hu)*V164*T164/MGMT)</f>
        <v>0</v>
      </c>
      <c r="AC164" s="46" cm="1">
        <f t="array" ref="AC164">IF(U164="",0,_xlfn.XLOOKUP(E164&amp;U164&amp;F164,tab_act&amp;tab_mod&amp;tab_act1,tab_mnp)*V164*T164/MGMT)</f>
        <v>0</v>
      </c>
      <c r="AD164" s="46" cm="1">
        <f t="array" ref="AD164">IF(U164="",0,_xlfn.XLOOKUP(E164&amp;U164&amp;F164,tab_act&amp;tab_mod&amp;tab_act1,tab_Psup)*V164*T164/MGMT)</f>
        <v>0</v>
      </c>
      <c r="AE164" s="46" cm="1">
        <f t="array" ref="AE164">IF(U164="",0,_xlfn.XLOOKUP(E164&amp;U164&amp;F164,tab_act&amp;tab_mod&amp;tab_act1,tab_csb1)*V164*T164/MGMT)</f>
        <v>0</v>
      </c>
      <c r="AF164" s="46" cm="1">
        <f t="array" ref="AF164">IF(U164="",0,_xlfn.XLOOKUP(E164&amp;U164&amp;F164,tab_act&amp;tab_mod&amp;tab_act1,tab_csb2)*V164*T164/MGMT)</f>
        <v>0</v>
      </c>
      <c r="AG164" s="109" cm="1">
        <f t="array" ref="AG164">IF(U164="",0,_xlfn.XLOOKUP(E164&amp;U164&amp;F164,tab_act&amp;tab_mod&amp;tab_act1,tab_pdoz)*V164*T164/MGMT)</f>
        <v>0.34484999999999999</v>
      </c>
      <c r="AH164" s="46" cm="1">
        <f t="array" ref="AH164">IF(U164="",0,_xlfn.XLOOKUP(E164&amp;U164&amp;F164,tab_act&amp;tab_mod&amp;tab_act1,tab_lns)*V164*T164/MGMT)</f>
        <v>0</v>
      </c>
      <c r="AI164" s="47">
        <f t="shared" si="18"/>
        <v>0.34484999999999999</v>
      </c>
      <c r="AJ164" s="48" cm="1">
        <f t="array" ref="AJ164">IF(U164="",0,_xlfn.XLOOKUP(E164&amp;U164&amp;F164,tab_act&amp;tab_mod&amp;tab_act1,tab_cash)*T164)</f>
        <v>0</v>
      </c>
      <c r="AK164" s="134" cm="1">
        <f t="array" ref="AK164">IF(B164="",0,IF(C164="",0,AJ164/_xlfn.XLOOKUP(B164&amp;C164,RMth&amp;RYr,RAr)))</f>
        <v>0</v>
      </c>
      <c r="AN164" s="146" t="str">
        <f t="shared" si="20"/>
        <v>A</v>
      </c>
    </row>
    <row r="165" spans="1:40" x14ac:dyDescent="0.35">
      <c r="B165" s="132" t="s">
        <v>128</v>
      </c>
      <c r="C165" s="44">
        <v>2023</v>
      </c>
      <c r="D165" s="44" t="s">
        <v>100</v>
      </c>
      <c r="E165" s="15" t="s">
        <v>39</v>
      </c>
      <c r="F165" s="108" t="s">
        <v>22</v>
      </c>
      <c r="G165" s="15" t="s">
        <v>159</v>
      </c>
      <c r="H165" s="44"/>
      <c r="I165" s="15" t="s">
        <v>94</v>
      </c>
      <c r="J165" s="15" t="s">
        <v>94</v>
      </c>
      <c r="K165" s="15" t="s">
        <v>160</v>
      </c>
      <c r="L165" s="15" t="s">
        <v>95</v>
      </c>
      <c r="M165" s="15" t="s">
        <v>94</v>
      </c>
      <c r="N165" s="15" t="s">
        <v>67</v>
      </c>
      <c r="O165" s="15" t="s">
        <v>161</v>
      </c>
      <c r="P165" s="15" t="s">
        <v>165</v>
      </c>
      <c r="Q165" s="42">
        <v>91.3</v>
      </c>
      <c r="R165" s="42">
        <v>97.9</v>
      </c>
      <c r="S165" s="42">
        <v>189.2</v>
      </c>
      <c r="T165" s="43">
        <v>189.2</v>
      </c>
      <c r="U165" s="44" t="s">
        <v>41</v>
      </c>
      <c r="V165" s="153">
        <v>30</v>
      </c>
      <c r="W165" s="45" cm="1">
        <f t="array" ref="W165">IF(U165="",0,_xlfn.XLOOKUP(E165&amp;U165&amp;F165,tab_act&amp;tab_mod&amp;tab_act1,tab_riz)*V165*T165/MGMT)</f>
        <v>0</v>
      </c>
      <c r="X165" s="42" cm="1">
        <f t="array" ref="X165">IF(U165="",0,_xlfn.XLOOKUP(E165&amp;U165&amp;F165,tab_act&amp;tab_mod&amp;tab_act1,tab_mc)*V165*T165/MGMT)</f>
        <v>0</v>
      </c>
      <c r="Y165" s="42" cm="1">
        <f t="array" ref="Y165">IF(U165="",0,_xlfn.XLOOKUP(E165&amp;U165&amp;F165,tab_act&amp;tab_mod&amp;tab_act1,tab_sor)*V165*T165/MGMT)</f>
        <v>0</v>
      </c>
      <c r="Z165" s="42" cm="1">
        <f t="array" ref="Z165">IF(U165="",0,_xlfn.XLOOKUP(E165&amp;U165&amp;F165,tab_act&amp;tab_mod&amp;tab_act1,tab_mg)*V165*T165/MGMT)</f>
        <v>0</v>
      </c>
      <c r="AA165" s="46" cm="1">
        <f t="array" ref="AA165">IF(U165="",0,IF(U165="hybrid-Sch",_xlfn.XLOOKUP(E165&amp;U165&amp;F165,tab_act&amp;tab_mod&amp;tab_act1,tab_ls)*SchLS*T165/MGMT,_xlfn.XLOOKUP(E165&amp;U165&amp;F165,tab_act&amp;tab_mod&amp;tab_act1,tab_ls)*V165*T165/MGMT))</f>
        <v>0</v>
      </c>
      <c r="AB165" s="46" cm="1">
        <f t="array" ref="AB165">IF(U165="",0,_xlfn.XLOOKUP(E165&amp;U165&amp;F165,tab_act&amp;tab_mod&amp;tab_act1,tab_hu)*V165*T165/MGMT)</f>
        <v>0</v>
      </c>
      <c r="AC165" s="46" cm="1">
        <f t="array" ref="AC165">IF(U165="",0,_xlfn.XLOOKUP(E165&amp;U165&amp;F165,tab_act&amp;tab_mod&amp;tab_act1,tab_mnp)*V165*T165/MGMT)</f>
        <v>0</v>
      </c>
      <c r="AD165" s="46" cm="1">
        <f t="array" ref="AD165">IF(U165="",0,_xlfn.XLOOKUP(E165&amp;U165&amp;F165,tab_act&amp;tab_mod&amp;tab_act1,tab_Psup)*V165*T165/MGMT)</f>
        <v>0</v>
      </c>
      <c r="AE165" s="46" cm="1">
        <f t="array" ref="AE165">IF(U165="",0,_xlfn.XLOOKUP(E165&amp;U165&amp;F165,tab_act&amp;tab_mod&amp;tab_act1,tab_csb1)*V165*T165/MGMT)</f>
        <v>0</v>
      </c>
      <c r="AF165" s="46" cm="1">
        <f t="array" ref="AF165">IF(U165="",0,_xlfn.XLOOKUP(E165&amp;U165&amp;F165,tab_act&amp;tab_mod&amp;tab_act1,tab_csb2)*V165*T165/MGMT)</f>
        <v>0</v>
      </c>
      <c r="AG165" s="109" cm="1">
        <f t="array" ref="AG165">IF(U165="",0,_xlfn.XLOOKUP(E165&amp;U165&amp;F165,tab_act&amp;tab_mod&amp;tab_act1,tab_pdoz)*V165*T165/MGMT)</f>
        <v>0.2838</v>
      </c>
      <c r="AH165" s="46" cm="1">
        <f t="array" ref="AH165">IF(U165="",0,_xlfn.XLOOKUP(E165&amp;U165&amp;F165,tab_act&amp;tab_mod&amp;tab_act1,tab_lns)*V165*T165/MGMT)</f>
        <v>0</v>
      </c>
      <c r="AI165" s="47">
        <f t="shared" si="18"/>
        <v>0.2838</v>
      </c>
      <c r="AJ165" s="48" cm="1">
        <f t="array" ref="AJ165">IF(U165="",0,_xlfn.XLOOKUP(E165&amp;U165&amp;F165,tab_act&amp;tab_mod&amp;tab_act1,tab_cash)*T165)</f>
        <v>0</v>
      </c>
      <c r="AK165" s="134" cm="1">
        <f t="array" ref="AK165">IF(B165="",0,IF(C165="",0,AJ165/_xlfn.XLOOKUP(B165&amp;C165,RMth&amp;RYr,RAr)))</f>
        <v>0</v>
      </c>
      <c r="AN165" s="146" t="str">
        <f t="shared" si="20"/>
        <v>A</v>
      </c>
    </row>
    <row r="166" spans="1:40" x14ac:dyDescent="0.35">
      <c r="B166" s="132" t="s">
        <v>128</v>
      </c>
      <c r="C166" s="44">
        <v>2023</v>
      </c>
      <c r="D166" s="44" t="s">
        <v>100</v>
      </c>
      <c r="E166" s="15" t="s">
        <v>39</v>
      </c>
      <c r="F166" s="108" t="s">
        <v>22</v>
      </c>
      <c r="G166" s="15" t="s">
        <v>159</v>
      </c>
      <c r="H166" s="44"/>
      <c r="I166" s="15" t="s">
        <v>94</v>
      </c>
      <c r="J166" s="15" t="s">
        <v>94</v>
      </c>
      <c r="K166" s="15" t="s">
        <v>160</v>
      </c>
      <c r="L166" s="15" t="s">
        <v>95</v>
      </c>
      <c r="M166" s="15" t="s">
        <v>94</v>
      </c>
      <c r="N166" s="15" t="s">
        <v>67</v>
      </c>
      <c r="O166" s="15" t="s">
        <v>161</v>
      </c>
      <c r="P166" s="15" t="s">
        <v>161</v>
      </c>
      <c r="Q166" s="42">
        <v>293.7</v>
      </c>
      <c r="R166" s="42">
        <v>223.3</v>
      </c>
      <c r="S166" s="42">
        <v>517</v>
      </c>
      <c r="T166" s="43">
        <v>517</v>
      </c>
      <c r="U166" s="44" t="s">
        <v>41</v>
      </c>
      <c r="V166" s="153">
        <v>30</v>
      </c>
      <c r="W166" s="45" cm="1">
        <f t="array" ref="W166">IF(U166="",0,_xlfn.XLOOKUP(E166&amp;U166&amp;F166,tab_act&amp;tab_mod&amp;tab_act1,tab_riz)*V166*T166/MGMT)</f>
        <v>0</v>
      </c>
      <c r="X166" s="42" cm="1">
        <f t="array" ref="X166">IF(U166="",0,_xlfn.XLOOKUP(E166&amp;U166&amp;F166,tab_act&amp;tab_mod&amp;tab_act1,tab_mc)*V166*T166/MGMT)</f>
        <v>0</v>
      </c>
      <c r="Y166" s="42" cm="1">
        <f t="array" ref="Y166">IF(U166="",0,_xlfn.XLOOKUP(E166&amp;U166&amp;F166,tab_act&amp;tab_mod&amp;tab_act1,tab_sor)*V166*T166/MGMT)</f>
        <v>0</v>
      </c>
      <c r="Z166" s="42" cm="1">
        <f t="array" ref="Z166">IF(U166="",0,_xlfn.XLOOKUP(E166&amp;U166&amp;F166,tab_act&amp;tab_mod&amp;tab_act1,tab_mg)*V166*T166/MGMT)</f>
        <v>0</v>
      </c>
      <c r="AA166" s="46" cm="1">
        <f t="array" ref="AA166">IF(U166="",0,IF(U166="hybrid-Sch",_xlfn.XLOOKUP(E166&amp;U166&amp;F166,tab_act&amp;tab_mod&amp;tab_act1,tab_ls)*SchLS*T166/MGMT,_xlfn.XLOOKUP(E166&amp;U166&amp;F166,tab_act&amp;tab_mod&amp;tab_act1,tab_ls)*V166*T166/MGMT))</f>
        <v>0</v>
      </c>
      <c r="AB166" s="46" cm="1">
        <f t="array" ref="AB166">IF(U166="",0,_xlfn.XLOOKUP(E166&amp;U166&amp;F166,tab_act&amp;tab_mod&amp;tab_act1,tab_hu)*V166*T166/MGMT)</f>
        <v>0</v>
      </c>
      <c r="AC166" s="46" cm="1">
        <f t="array" ref="AC166">IF(U166="",0,_xlfn.XLOOKUP(E166&amp;U166&amp;F166,tab_act&amp;tab_mod&amp;tab_act1,tab_mnp)*V166*T166/MGMT)</f>
        <v>0</v>
      </c>
      <c r="AD166" s="46" cm="1">
        <f t="array" ref="AD166">IF(U166="",0,_xlfn.XLOOKUP(E166&amp;U166&amp;F166,tab_act&amp;tab_mod&amp;tab_act1,tab_Psup)*V166*T166/MGMT)</f>
        <v>0</v>
      </c>
      <c r="AE166" s="46" cm="1">
        <f t="array" ref="AE166">IF(U166="",0,_xlfn.XLOOKUP(E166&amp;U166&amp;F166,tab_act&amp;tab_mod&amp;tab_act1,tab_csb1)*V166*T166/MGMT)</f>
        <v>0</v>
      </c>
      <c r="AF166" s="46" cm="1">
        <f t="array" ref="AF166">IF(U166="",0,_xlfn.XLOOKUP(E166&amp;U166&amp;F166,tab_act&amp;tab_mod&amp;tab_act1,tab_csb2)*V166*T166/MGMT)</f>
        <v>0</v>
      </c>
      <c r="AG166" s="109" cm="1">
        <f t="array" ref="AG166">IF(U166="",0,_xlfn.XLOOKUP(E166&amp;U166&amp;F166,tab_act&amp;tab_mod&amp;tab_act1,tab_pdoz)*V166*T166/MGMT)</f>
        <v>0.77549999999999997</v>
      </c>
      <c r="AH166" s="46" cm="1">
        <f t="array" ref="AH166">IF(U166="",0,_xlfn.XLOOKUP(E166&amp;U166&amp;F166,tab_act&amp;tab_mod&amp;tab_act1,tab_lns)*V166*T166/MGMT)</f>
        <v>0</v>
      </c>
      <c r="AI166" s="47">
        <f t="shared" si="18"/>
        <v>0.77549999999999997</v>
      </c>
      <c r="AJ166" s="48" cm="1">
        <f t="array" ref="AJ166">IF(U166="",0,_xlfn.XLOOKUP(E166&amp;U166&amp;F166,tab_act&amp;tab_mod&amp;tab_act1,tab_cash)*T166)</f>
        <v>0</v>
      </c>
      <c r="AK166" s="134" cm="1">
        <f t="array" ref="AK166">IF(B166="",0,IF(C166="",0,AJ166/_xlfn.XLOOKUP(B166&amp;C166,RMth&amp;RYr,RAr)))</f>
        <v>0</v>
      </c>
      <c r="AN166" s="146" t="str">
        <f t="shared" si="20"/>
        <v>A</v>
      </c>
    </row>
    <row r="167" spans="1:40" x14ac:dyDescent="0.35">
      <c r="B167" s="132" t="s">
        <v>128</v>
      </c>
      <c r="C167" s="44">
        <v>2023</v>
      </c>
      <c r="D167" s="44" t="s">
        <v>100</v>
      </c>
      <c r="E167" s="15" t="s">
        <v>39</v>
      </c>
      <c r="F167" s="108" t="s">
        <v>22</v>
      </c>
      <c r="G167" s="15" t="s">
        <v>159</v>
      </c>
      <c r="H167" s="44"/>
      <c r="I167" s="15" t="s">
        <v>94</v>
      </c>
      <c r="J167" s="15" t="s">
        <v>94</v>
      </c>
      <c r="K167" s="15" t="s">
        <v>160</v>
      </c>
      <c r="L167" s="15" t="s">
        <v>95</v>
      </c>
      <c r="M167" s="15" t="s">
        <v>94</v>
      </c>
      <c r="N167" s="15" t="s">
        <v>67</v>
      </c>
      <c r="O167" s="15" t="s">
        <v>161</v>
      </c>
      <c r="P167" s="15" t="s">
        <v>166</v>
      </c>
      <c r="Q167" s="42">
        <v>111.1</v>
      </c>
      <c r="R167" s="42">
        <v>97.9</v>
      </c>
      <c r="S167" s="42">
        <v>209</v>
      </c>
      <c r="T167" s="43">
        <v>209</v>
      </c>
      <c r="U167" s="44" t="s">
        <v>41</v>
      </c>
      <c r="V167" s="153">
        <v>30</v>
      </c>
      <c r="W167" s="45" cm="1">
        <f t="array" ref="W167">IF(U167="",0,_xlfn.XLOOKUP(E167&amp;U167&amp;F167,tab_act&amp;tab_mod&amp;tab_act1,tab_riz)*V167*T167/MGMT)</f>
        <v>0</v>
      </c>
      <c r="X167" s="42" cm="1">
        <f t="array" ref="X167">IF(U167="",0,_xlfn.XLOOKUP(E167&amp;U167&amp;F167,tab_act&amp;tab_mod&amp;tab_act1,tab_mc)*V167*T167/MGMT)</f>
        <v>0</v>
      </c>
      <c r="Y167" s="42" cm="1">
        <f t="array" ref="Y167">IF(U167="",0,_xlfn.XLOOKUP(E167&amp;U167&amp;F167,tab_act&amp;tab_mod&amp;tab_act1,tab_sor)*V167*T167/MGMT)</f>
        <v>0</v>
      </c>
      <c r="Z167" s="42" cm="1">
        <f t="array" ref="Z167">IF(U167="",0,_xlfn.XLOOKUP(E167&amp;U167&amp;F167,tab_act&amp;tab_mod&amp;tab_act1,tab_mg)*V167*T167/MGMT)</f>
        <v>0</v>
      </c>
      <c r="AA167" s="46" cm="1">
        <f t="array" ref="AA167">IF(U167="",0,IF(U167="hybrid-Sch",_xlfn.XLOOKUP(E167&amp;U167&amp;F167,tab_act&amp;tab_mod&amp;tab_act1,tab_ls)*SchLS*T167/MGMT,_xlfn.XLOOKUP(E167&amp;U167&amp;F167,tab_act&amp;tab_mod&amp;tab_act1,tab_ls)*V167*T167/MGMT))</f>
        <v>0</v>
      </c>
      <c r="AB167" s="46" cm="1">
        <f t="array" ref="AB167">IF(U167="",0,_xlfn.XLOOKUP(E167&amp;U167&amp;F167,tab_act&amp;tab_mod&amp;tab_act1,tab_hu)*V167*T167/MGMT)</f>
        <v>0</v>
      </c>
      <c r="AC167" s="46" cm="1">
        <f t="array" ref="AC167">IF(U167="",0,_xlfn.XLOOKUP(E167&amp;U167&amp;F167,tab_act&amp;tab_mod&amp;tab_act1,tab_mnp)*V167*T167/MGMT)</f>
        <v>0</v>
      </c>
      <c r="AD167" s="46" cm="1">
        <f t="array" ref="AD167">IF(U167="",0,_xlfn.XLOOKUP(E167&amp;U167&amp;F167,tab_act&amp;tab_mod&amp;tab_act1,tab_Psup)*V167*T167/MGMT)</f>
        <v>0</v>
      </c>
      <c r="AE167" s="46" cm="1">
        <f t="array" ref="AE167">IF(U167="",0,_xlfn.XLOOKUP(E167&amp;U167&amp;F167,tab_act&amp;tab_mod&amp;tab_act1,tab_csb1)*V167*T167/MGMT)</f>
        <v>0</v>
      </c>
      <c r="AF167" s="46" cm="1">
        <f t="array" ref="AF167">IF(U167="",0,_xlfn.XLOOKUP(E167&amp;U167&amp;F167,tab_act&amp;tab_mod&amp;tab_act1,tab_csb2)*V167*T167/MGMT)</f>
        <v>0</v>
      </c>
      <c r="AG167" s="109" cm="1">
        <f t="array" ref="AG167">IF(U167="",0,_xlfn.XLOOKUP(E167&amp;U167&amp;F167,tab_act&amp;tab_mod&amp;tab_act1,tab_pdoz)*V167*T167/MGMT)</f>
        <v>0.3135</v>
      </c>
      <c r="AH167" s="46" cm="1">
        <f t="array" ref="AH167">IF(U167="",0,_xlfn.XLOOKUP(E167&amp;U167&amp;F167,tab_act&amp;tab_mod&amp;tab_act1,tab_lns)*V167*T167/MGMT)</f>
        <v>0</v>
      </c>
      <c r="AI167" s="47">
        <f t="shared" si="18"/>
        <v>0.3135</v>
      </c>
      <c r="AJ167" s="48" cm="1">
        <f t="array" ref="AJ167">IF(U167="",0,_xlfn.XLOOKUP(E167&amp;U167&amp;F167,tab_act&amp;tab_mod&amp;tab_act1,tab_cash)*T167)</f>
        <v>0</v>
      </c>
      <c r="AK167" s="134" cm="1">
        <f t="array" ref="AK167">IF(B167="",0,IF(C167="",0,AJ167/_xlfn.XLOOKUP(B167&amp;C167,RMth&amp;RYr,RAr)))</f>
        <v>0</v>
      </c>
      <c r="AN167" s="146" t="str">
        <f t="shared" si="20"/>
        <v>A</v>
      </c>
    </row>
    <row r="168" spans="1:40" x14ac:dyDescent="0.35">
      <c r="B168" s="132" t="s">
        <v>128</v>
      </c>
      <c r="C168" s="44">
        <v>2023</v>
      </c>
      <c r="D168" s="44" t="s">
        <v>100</v>
      </c>
      <c r="E168" s="15" t="s">
        <v>39</v>
      </c>
      <c r="F168" s="108" t="s">
        <v>22</v>
      </c>
      <c r="G168" s="15" t="s">
        <v>159</v>
      </c>
      <c r="H168" s="44"/>
      <c r="I168" s="15" t="s">
        <v>94</v>
      </c>
      <c r="J168" s="15" t="s">
        <v>94</v>
      </c>
      <c r="K168" s="15" t="s">
        <v>160</v>
      </c>
      <c r="L168" s="15" t="s">
        <v>95</v>
      </c>
      <c r="M168" s="15" t="s">
        <v>94</v>
      </c>
      <c r="N168" s="15" t="s">
        <v>67</v>
      </c>
      <c r="O168" s="15" t="s">
        <v>161</v>
      </c>
      <c r="P168" s="15" t="s">
        <v>167</v>
      </c>
      <c r="Q168" s="42">
        <v>36.299999999999997</v>
      </c>
      <c r="R168" s="42">
        <v>59.4</v>
      </c>
      <c r="S168" s="42">
        <v>95.699999999999989</v>
      </c>
      <c r="T168" s="43">
        <v>95.699999999999989</v>
      </c>
      <c r="U168" s="44" t="s">
        <v>41</v>
      </c>
      <c r="V168" s="153">
        <v>30</v>
      </c>
      <c r="W168" s="45" cm="1">
        <f t="array" ref="W168">IF(U168="",0,_xlfn.XLOOKUP(E168&amp;U168&amp;F168,tab_act&amp;tab_mod&amp;tab_act1,tab_riz)*V168*T168/MGMT)</f>
        <v>0</v>
      </c>
      <c r="X168" s="42" cm="1">
        <f t="array" ref="X168">IF(U168="",0,_xlfn.XLOOKUP(E168&amp;U168&amp;F168,tab_act&amp;tab_mod&amp;tab_act1,tab_mc)*V168*T168/MGMT)</f>
        <v>0</v>
      </c>
      <c r="Y168" s="42" cm="1">
        <f t="array" ref="Y168">IF(U168="",0,_xlfn.XLOOKUP(E168&amp;U168&amp;F168,tab_act&amp;tab_mod&amp;tab_act1,tab_sor)*V168*T168/MGMT)</f>
        <v>0</v>
      </c>
      <c r="Z168" s="42" cm="1">
        <f t="array" ref="Z168">IF(U168="",0,_xlfn.XLOOKUP(E168&amp;U168&amp;F168,tab_act&amp;tab_mod&amp;tab_act1,tab_mg)*V168*T168/MGMT)</f>
        <v>0</v>
      </c>
      <c r="AA168" s="46" cm="1">
        <f t="array" ref="AA168">IF(U168="",0,IF(U168="hybrid-Sch",_xlfn.XLOOKUP(E168&amp;U168&amp;F168,tab_act&amp;tab_mod&amp;tab_act1,tab_ls)*SchLS*T168/MGMT,_xlfn.XLOOKUP(E168&amp;U168&amp;F168,tab_act&amp;tab_mod&amp;tab_act1,tab_ls)*V168*T168/MGMT))</f>
        <v>0</v>
      </c>
      <c r="AB168" s="46" cm="1">
        <f t="array" ref="AB168">IF(U168="",0,_xlfn.XLOOKUP(E168&amp;U168&amp;F168,tab_act&amp;tab_mod&amp;tab_act1,tab_hu)*V168*T168/MGMT)</f>
        <v>0</v>
      </c>
      <c r="AC168" s="46" cm="1">
        <f t="array" ref="AC168">IF(U168="",0,_xlfn.XLOOKUP(E168&amp;U168&amp;F168,tab_act&amp;tab_mod&amp;tab_act1,tab_mnp)*V168*T168/MGMT)</f>
        <v>0</v>
      </c>
      <c r="AD168" s="46" cm="1">
        <f t="array" ref="AD168">IF(U168="",0,_xlfn.XLOOKUP(E168&amp;U168&amp;F168,tab_act&amp;tab_mod&amp;tab_act1,tab_Psup)*V168*T168/MGMT)</f>
        <v>0</v>
      </c>
      <c r="AE168" s="46" cm="1">
        <f t="array" ref="AE168">IF(U168="",0,_xlfn.XLOOKUP(E168&amp;U168&amp;F168,tab_act&amp;tab_mod&amp;tab_act1,tab_csb1)*V168*T168/MGMT)</f>
        <v>0</v>
      </c>
      <c r="AF168" s="46" cm="1">
        <f t="array" ref="AF168">IF(U168="",0,_xlfn.XLOOKUP(E168&amp;U168&amp;F168,tab_act&amp;tab_mod&amp;tab_act1,tab_csb2)*V168*T168/MGMT)</f>
        <v>0</v>
      </c>
      <c r="AG168" s="109" cm="1">
        <f t="array" ref="AG168">IF(U168="",0,_xlfn.XLOOKUP(E168&amp;U168&amp;F168,tab_act&amp;tab_mod&amp;tab_act1,tab_pdoz)*V168*T168/MGMT)</f>
        <v>0.14354999999999998</v>
      </c>
      <c r="AH168" s="46" cm="1">
        <f t="array" ref="AH168">IF(U168="",0,_xlfn.XLOOKUP(E168&amp;U168&amp;F168,tab_act&amp;tab_mod&amp;tab_act1,tab_lns)*V168*T168/MGMT)</f>
        <v>0</v>
      </c>
      <c r="AI168" s="47">
        <f t="shared" si="18"/>
        <v>0.14354999999999998</v>
      </c>
      <c r="AJ168" s="48" cm="1">
        <f t="array" ref="AJ168">IF(U168="",0,_xlfn.XLOOKUP(E168&amp;U168&amp;F168,tab_act&amp;tab_mod&amp;tab_act1,tab_cash)*T168)</f>
        <v>0</v>
      </c>
      <c r="AK168" s="134" cm="1">
        <f t="array" ref="AK168">IF(B168="",0,IF(C168="",0,AJ168/_xlfn.XLOOKUP(B168&amp;C168,RMth&amp;RYr,RAr)))</f>
        <v>0</v>
      </c>
      <c r="AN168" s="146" t="str">
        <f t="shared" si="20"/>
        <v>A</v>
      </c>
    </row>
    <row r="169" spans="1:40" x14ac:dyDescent="0.35">
      <c r="B169" s="132" t="s">
        <v>128</v>
      </c>
      <c r="C169" s="44">
        <v>2023</v>
      </c>
      <c r="D169" s="44" t="s">
        <v>100</v>
      </c>
      <c r="E169" s="15" t="s">
        <v>39</v>
      </c>
      <c r="F169" s="108" t="s">
        <v>22</v>
      </c>
      <c r="G169" s="15" t="s">
        <v>159</v>
      </c>
      <c r="H169" s="44"/>
      <c r="I169" s="15" t="s">
        <v>94</v>
      </c>
      <c r="J169" s="15" t="s">
        <v>94</v>
      </c>
      <c r="K169" s="15" t="s">
        <v>160</v>
      </c>
      <c r="L169" s="15" t="s">
        <v>95</v>
      </c>
      <c r="M169" s="15" t="s">
        <v>94</v>
      </c>
      <c r="N169" s="15" t="s">
        <v>67</v>
      </c>
      <c r="O169" s="15" t="s">
        <v>161</v>
      </c>
      <c r="P169" s="15" t="s">
        <v>168</v>
      </c>
      <c r="Q169" s="42">
        <v>23.1</v>
      </c>
      <c r="R169" s="42">
        <v>25.3</v>
      </c>
      <c r="S169" s="42">
        <v>48.400000000000006</v>
      </c>
      <c r="T169" s="43">
        <v>48.400000000000006</v>
      </c>
      <c r="U169" s="44" t="s">
        <v>41</v>
      </c>
      <c r="V169" s="153">
        <v>30</v>
      </c>
      <c r="W169" s="45" cm="1">
        <f t="array" ref="W169">IF(U169="",0,_xlfn.XLOOKUP(E169&amp;U169&amp;F169,tab_act&amp;tab_mod&amp;tab_act1,tab_riz)*V169*T169/MGMT)</f>
        <v>0</v>
      </c>
      <c r="X169" s="42" cm="1">
        <f t="array" ref="X169">IF(U169="",0,_xlfn.XLOOKUP(E169&amp;U169&amp;F169,tab_act&amp;tab_mod&amp;tab_act1,tab_mc)*V169*T169/MGMT)</f>
        <v>0</v>
      </c>
      <c r="Y169" s="42" cm="1">
        <f t="array" ref="Y169">IF(U169="",0,_xlfn.XLOOKUP(E169&amp;U169&amp;F169,tab_act&amp;tab_mod&amp;tab_act1,tab_sor)*V169*T169/MGMT)</f>
        <v>0</v>
      </c>
      <c r="Z169" s="42" cm="1">
        <f t="array" ref="Z169">IF(U169="",0,_xlfn.XLOOKUP(E169&amp;U169&amp;F169,tab_act&amp;tab_mod&amp;tab_act1,tab_mg)*V169*T169/MGMT)</f>
        <v>0</v>
      </c>
      <c r="AA169" s="46" cm="1">
        <f t="array" ref="AA169">IF(U169="",0,IF(U169="hybrid-Sch",_xlfn.XLOOKUP(E169&amp;U169&amp;F169,tab_act&amp;tab_mod&amp;tab_act1,tab_ls)*SchLS*T169/MGMT,_xlfn.XLOOKUP(E169&amp;U169&amp;F169,tab_act&amp;tab_mod&amp;tab_act1,tab_ls)*V169*T169/MGMT))</f>
        <v>0</v>
      </c>
      <c r="AB169" s="46" cm="1">
        <f t="array" ref="AB169">IF(U169="",0,_xlfn.XLOOKUP(E169&amp;U169&amp;F169,tab_act&amp;tab_mod&amp;tab_act1,tab_hu)*V169*T169/MGMT)</f>
        <v>0</v>
      </c>
      <c r="AC169" s="46" cm="1">
        <f t="array" ref="AC169">IF(U169="",0,_xlfn.XLOOKUP(E169&amp;U169&amp;F169,tab_act&amp;tab_mod&amp;tab_act1,tab_mnp)*V169*T169/MGMT)</f>
        <v>0</v>
      </c>
      <c r="AD169" s="46" cm="1">
        <f t="array" ref="AD169">IF(U169="",0,_xlfn.XLOOKUP(E169&amp;U169&amp;F169,tab_act&amp;tab_mod&amp;tab_act1,tab_Psup)*V169*T169/MGMT)</f>
        <v>0</v>
      </c>
      <c r="AE169" s="46" cm="1">
        <f t="array" ref="AE169">IF(U169="",0,_xlfn.XLOOKUP(E169&amp;U169&amp;F169,tab_act&amp;tab_mod&amp;tab_act1,tab_csb1)*V169*T169/MGMT)</f>
        <v>0</v>
      </c>
      <c r="AF169" s="46" cm="1">
        <f t="array" ref="AF169">IF(U169="",0,_xlfn.XLOOKUP(E169&amp;U169&amp;F169,tab_act&amp;tab_mod&amp;tab_act1,tab_csb2)*V169*T169/MGMT)</f>
        <v>0</v>
      </c>
      <c r="AG169" s="109" cm="1">
        <f t="array" ref="AG169">IF(U169="",0,_xlfn.XLOOKUP(E169&amp;U169&amp;F169,tab_act&amp;tab_mod&amp;tab_act1,tab_pdoz)*V169*T169/MGMT)</f>
        <v>7.2600000000000012E-2</v>
      </c>
      <c r="AH169" s="46" cm="1">
        <f t="array" ref="AH169">IF(U169="",0,_xlfn.XLOOKUP(E169&amp;U169&amp;F169,tab_act&amp;tab_mod&amp;tab_act1,tab_lns)*V169*T169/MGMT)</f>
        <v>0</v>
      </c>
      <c r="AI169" s="47">
        <f t="shared" si="18"/>
        <v>7.2600000000000012E-2</v>
      </c>
      <c r="AJ169" s="48" cm="1">
        <f t="array" ref="AJ169">IF(U169="",0,_xlfn.XLOOKUP(E169&amp;U169&amp;F169,tab_act&amp;tab_mod&amp;tab_act1,tab_cash)*T169)</f>
        <v>0</v>
      </c>
      <c r="AK169" s="134" cm="1">
        <f t="array" ref="AK169">IF(B169="",0,IF(C169="",0,AJ169/_xlfn.XLOOKUP(B169&amp;C169,RMth&amp;RYr,RAr)))</f>
        <v>0</v>
      </c>
      <c r="AN169" s="146" t="str">
        <f t="shared" si="20"/>
        <v>A</v>
      </c>
    </row>
    <row r="170" spans="1:40" x14ac:dyDescent="0.35">
      <c r="B170" s="132" t="s">
        <v>128</v>
      </c>
      <c r="C170" s="44">
        <v>2023</v>
      </c>
      <c r="D170" s="44" t="s">
        <v>100</v>
      </c>
      <c r="E170" s="15" t="s">
        <v>39</v>
      </c>
      <c r="F170" s="108" t="s">
        <v>22</v>
      </c>
      <c r="G170" s="15" t="s">
        <v>159</v>
      </c>
      <c r="H170" s="44"/>
      <c r="I170" s="15" t="s">
        <v>94</v>
      </c>
      <c r="J170" s="15" t="s">
        <v>94</v>
      </c>
      <c r="K170" s="15" t="s">
        <v>160</v>
      </c>
      <c r="L170" s="15" t="s">
        <v>95</v>
      </c>
      <c r="M170" s="15" t="s">
        <v>94</v>
      </c>
      <c r="N170" s="15" t="s">
        <v>67</v>
      </c>
      <c r="O170" s="15" t="s">
        <v>161</v>
      </c>
      <c r="P170" s="15" t="s">
        <v>169</v>
      </c>
      <c r="Q170" s="42">
        <v>146.30000000000001</v>
      </c>
      <c r="R170" s="42">
        <v>113.3</v>
      </c>
      <c r="S170" s="42">
        <v>259.60000000000002</v>
      </c>
      <c r="T170" s="43">
        <v>259.60000000000002</v>
      </c>
      <c r="U170" s="44" t="s">
        <v>41</v>
      </c>
      <c r="V170" s="153">
        <v>30</v>
      </c>
      <c r="W170" s="45" cm="1">
        <f t="array" ref="W170">IF(U170="",0,_xlfn.XLOOKUP(E170&amp;U170&amp;F170,tab_act&amp;tab_mod&amp;tab_act1,tab_riz)*V170*T170/MGMT)</f>
        <v>0</v>
      </c>
      <c r="X170" s="42" cm="1">
        <f t="array" ref="X170">IF(U170="",0,_xlfn.XLOOKUP(E170&amp;U170&amp;F170,tab_act&amp;tab_mod&amp;tab_act1,tab_mc)*V170*T170/MGMT)</f>
        <v>0</v>
      </c>
      <c r="Y170" s="42" cm="1">
        <f t="array" ref="Y170">IF(U170="",0,_xlfn.XLOOKUP(E170&amp;U170&amp;F170,tab_act&amp;tab_mod&amp;tab_act1,tab_sor)*V170*T170/MGMT)</f>
        <v>0</v>
      </c>
      <c r="Z170" s="42" cm="1">
        <f t="array" ref="Z170">IF(U170="",0,_xlfn.XLOOKUP(E170&amp;U170&amp;F170,tab_act&amp;tab_mod&amp;tab_act1,tab_mg)*V170*T170/MGMT)</f>
        <v>0</v>
      </c>
      <c r="AA170" s="46" cm="1">
        <f t="array" ref="AA170">IF(U170="",0,IF(U170="hybrid-Sch",_xlfn.XLOOKUP(E170&amp;U170&amp;F170,tab_act&amp;tab_mod&amp;tab_act1,tab_ls)*SchLS*T170/MGMT,_xlfn.XLOOKUP(E170&amp;U170&amp;F170,tab_act&amp;tab_mod&amp;tab_act1,tab_ls)*V170*T170/MGMT))</f>
        <v>0</v>
      </c>
      <c r="AB170" s="46" cm="1">
        <f t="array" ref="AB170">IF(U170="",0,_xlfn.XLOOKUP(E170&amp;U170&amp;F170,tab_act&amp;tab_mod&amp;tab_act1,tab_hu)*V170*T170/MGMT)</f>
        <v>0</v>
      </c>
      <c r="AC170" s="46" cm="1">
        <f t="array" ref="AC170">IF(U170="",0,_xlfn.XLOOKUP(E170&amp;U170&amp;F170,tab_act&amp;tab_mod&amp;tab_act1,tab_mnp)*V170*T170/MGMT)</f>
        <v>0</v>
      </c>
      <c r="AD170" s="46" cm="1">
        <f t="array" ref="AD170">IF(U170="",0,_xlfn.XLOOKUP(E170&amp;U170&amp;F170,tab_act&amp;tab_mod&amp;tab_act1,tab_Psup)*V170*T170/MGMT)</f>
        <v>0</v>
      </c>
      <c r="AE170" s="46" cm="1">
        <f t="array" ref="AE170">IF(U170="",0,_xlfn.XLOOKUP(E170&amp;U170&amp;F170,tab_act&amp;tab_mod&amp;tab_act1,tab_csb1)*V170*T170/MGMT)</f>
        <v>0</v>
      </c>
      <c r="AF170" s="46" cm="1">
        <f t="array" ref="AF170">IF(U170="",0,_xlfn.XLOOKUP(E170&amp;U170&amp;F170,tab_act&amp;tab_mod&amp;tab_act1,tab_csb2)*V170*T170/MGMT)</f>
        <v>0</v>
      </c>
      <c r="AG170" s="109" cm="1">
        <f t="array" ref="AG170">IF(U170="",0,_xlfn.XLOOKUP(E170&amp;U170&amp;F170,tab_act&amp;tab_mod&amp;tab_act1,tab_pdoz)*V170*T170/MGMT)</f>
        <v>0.38940000000000008</v>
      </c>
      <c r="AH170" s="46" cm="1">
        <f t="array" ref="AH170">IF(U170="",0,_xlfn.XLOOKUP(E170&amp;U170&amp;F170,tab_act&amp;tab_mod&amp;tab_act1,tab_lns)*V170*T170/MGMT)</f>
        <v>0</v>
      </c>
      <c r="AI170" s="47">
        <f t="shared" si="18"/>
        <v>0.38940000000000008</v>
      </c>
      <c r="AJ170" s="48" cm="1">
        <f t="array" ref="AJ170">IF(U170="",0,_xlfn.XLOOKUP(E170&amp;U170&amp;F170,tab_act&amp;tab_mod&amp;tab_act1,tab_cash)*T170)</f>
        <v>0</v>
      </c>
      <c r="AK170" s="134" cm="1">
        <f t="array" ref="AK170">IF(B170="",0,IF(C170="",0,AJ170/_xlfn.XLOOKUP(B170&amp;C170,RMth&amp;RYr,RAr)))</f>
        <v>0</v>
      </c>
      <c r="AN170" s="146" t="str">
        <f t="shared" si="20"/>
        <v>A</v>
      </c>
    </row>
    <row r="171" spans="1:40" x14ac:dyDescent="0.35">
      <c r="B171" s="132" t="s">
        <v>128</v>
      </c>
      <c r="C171" s="44">
        <v>2023</v>
      </c>
      <c r="D171" s="44" t="s">
        <v>100</v>
      </c>
      <c r="E171" s="15" t="s">
        <v>39</v>
      </c>
      <c r="F171" s="108" t="s">
        <v>22</v>
      </c>
      <c r="G171" s="15" t="s">
        <v>159</v>
      </c>
      <c r="H171" s="44"/>
      <c r="I171" s="15" t="s">
        <v>94</v>
      </c>
      <c r="J171" s="15" t="s">
        <v>94</v>
      </c>
      <c r="K171" s="15" t="s">
        <v>160</v>
      </c>
      <c r="L171" s="15" t="s">
        <v>95</v>
      </c>
      <c r="M171" s="15" t="s">
        <v>94</v>
      </c>
      <c r="N171" s="15" t="s">
        <v>67</v>
      </c>
      <c r="O171" s="15" t="s">
        <v>161</v>
      </c>
      <c r="P171" s="15" t="s">
        <v>170</v>
      </c>
      <c r="Q171" s="42">
        <v>129.80000000000001</v>
      </c>
      <c r="R171" s="42">
        <v>86.9</v>
      </c>
      <c r="S171" s="42">
        <v>216.70000000000002</v>
      </c>
      <c r="T171" s="43">
        <v>216.70000000000002</v>
      </c>
      <c r="U171" s="44" t="s">
        <v>41</v>
      </c>
      <c r="V171" s="153">
        <v>30</v>
      </c>
      <c r="W171" s="45" cm="1">
        <f t="array" ref="W171">IF(U171="",0,_xlfn.XLOOKUP(E171&amp;U171&amp;F171,tab_act&amp;tab_mod&amp;tab_act1,tab_riz)*V171*T171/MGMT)</f>
        <v>0</v>
      </c>
      <c r="X171" s="42" cm="1">
        <f t="array" ref="X171">IF(U171="",0,_xlfn.XLOOKUP(E171&amp;U171&amp;F171,tab_act&amp;tab_mod&amp;tab_act1,tab_mc)*V171*T171/MGMT)</f>
        <v>0</v>
      </c>
      <c r="Y171" s="42" cm="1">
        <f t="array" ref="Y171">IF(U171="",0,_xlfn.XLOOKUP(E171&amp;U171&amp;F171,tab_act&amp;tab_mod&amp;tab_act1,tab_sor)*V171*T171/MGMT)</f>
        <v>0</v>
      </c>
      <c r="Z171" s="42" cm="1">
        <f t="array" ref="Z171">IF(U171="",0,_xlfn.XLOOKUP(E171&amp;U171&amp;F171,tab_act&amp;tab_mod&amp;tab_act1,tab_mg)*V171*T171/MGMT)</f>
        <v>0</v>
      </c>
      <c r="AA171" s="46" cm="1">
        <f t="array" ref="AA171">IF(U171="",0,IF(U171="hybrid-Sch",_xlfn.XLOOKUP(E171&amp;U171&amp;F171,tab_act&amp;tab_mod&amp;tab_act1,tab_ls)*SchLS*T171/MGMT,_xlfn.XLOOKUP(E171&amp;U171&amp;F171,tab_act&amp;tab_mod&amp;tab_act1,tab_ls)*V171*T171/MGMT))</f>
        <v>0</v>
      </c>
      <c r="AB171" s="46" cm="1">
        <f t="array" ref="AB171">IF(U171="",0,_xlfn.XLOOKUP(E171&amp;U171&amp;F171,tab_act&amp;tab_mod&amp;tab_act1,tab_hu)*V171*T171/MGMT)</f>
        <v>0</v>
      </c>
      <c r="AC171" s="46" cm="1">
        <f t="array" ref="AC171">IF(U171="",0,_xlfn.XLOOKUP(E171&amp;U171&amp;F171,tab_act&amp;tab_mod&amp;tab_act1,tab_mnp)*V171*T171/MGMT)</f>
        <v>0</v>
      </c>
      <c r="AD171" s="46" cm="1">
        <f t="array" ref="AD171">IF(U171="",0,_xlfn.XLOOKUP(E171&amp;U171&amp;F171,tab_act&amp;tab_mod&amp;tab_act1,tab_Psup)*V171*T171/MGMT)</f>
        <v>0</v>
      </c>
      <c r="AE171" s="46" cm="1">
        <f t="array" ref="AE171">IF(U171="",0,_xlfn.XLOOKUP(E171&amp;U171&amp;F171,tab_act&amp;tab_mod&amp;tab_act1,tab_csb1)*V171*T171/MGMT)</f>
        <v>0</v>
      </c>
      <c r="AF171" s="46" cm="1">
        <f t="array" ref="AF171">IF(U171="",0,_xlfn.XLOOKUP(E171&amp;U171&amp;F171,tab_act&amp;tab_mod&amp;tab_act1,tab_csb2)*V171*T171/MGMT)</f>
        <v>0</v>
      </c>
      <c r="AG171" s="109" cm="1">
        <f t="array" ref="AG171">IF(U171="",0,_xlfn.XLOOKUP(E171&amp;U171&amp;F171,tab_act&amp;tab_mod&amp;tab_act1,tab_pdoz)*V171*T171/MGMT)</f>
        <v>0.32505000000000001</v>
      </c>
      <c r="AH171" s="46" cm="1">
        <f t="array" ref="AH171">IF(U171="",0,_xlfn.XLOOKUP(E171&amp;U171&amp;F171,tab_act&amp;tab_mod&amp;tab_act1,tab_lns)*V171*T171/MGMT)</f>
        <v>0</v>
      </c>
      <c r="AI171" s="47">
        <f t="shared" si="18"/>
        <v>0.32505000000000001</v>
      </c>
      <c r="AJ171" s="48" cm="1">
        <f t="array" ref="AJ171">IF(U171="",0,_xlfn.XLOOKUP(E171&amp;U171&amp;F171,tab_act&amp;tab_mod&amp;tab_act1,tab_cash)*T171)</f>
        <v>0</v>
      </c>
      <c r="AK171" s="134" cm="1">
        <f t="array" ref="AK171">IF(B171="",0,IF(C171="",0,AJ171/_xlfn.XLOOKUP(B171&amp;C171,RMth&amp;RYr,RAr)))</f>
        <v>0</v>
      </c>
      <c r="AN171" s="146" t="str">
        <f t="shared" si="20"/>
        <v>A</v>
      </c>
    </row>
    <row r="172" spans="1:40" x14ac:dyDescent="0.35">
      <c r="B172" s="132" t="s">
        <v>128</v>
      </c>
      <c r="C172" s="44">
        <v>2023</v>
      </c>
      <c r="D172" s="44" t="s">
        <v>100</v>
      </c>
      <c r="E172" s="15" t="s">
        <v>39</v>
      </c>
      <c r="F172" s="108" t="s">
        <v>22</v>
      </c>
      <c r="G172" s="15" t="s">
        <v>159</v>
      </c>
      <c r="H172" s="44"/>
      <c r="I172" s="15" t="s">
        <v>94</v>
      </c>
      <c r="J172" s="15" t="s">
        <v>94</v>
      </c>
      <c r="K172" s="15" t="s">
        <v>160</v>
      </c>
      <c r="L172" s="15" t="s">
        <v>95</v>
      </c>
      <c r="M172" s="15" t="s">
        <v>94</v>
      </c>
      <c r="N172" s="15" t="s">
        <v>67</v>
      </c>
      <c r="O172" s="15" t="s">
        <v>161</v>
      </c>
      <c r="P172" s="15" t="s">
        <v>171</v>
      </c>
      <c r="Q172" s="42">
        <v>35.200000000000003</v>
      </c>
      <c r="R172" s="42">
        <v>29.7</v>
      </c>
      <c r="S172" s="42">
        <v>64.900000000000006</v>
      </c>
      <c r="T172" s="43">
        <v>64.900000000000006</v>
      </c>
      <c r="U172" s="44" t="s">
        <v>41</v>
      </c>
      <c r="V172" s="153">
        <v>30</v>
      </c>
      <c r="W172" s="45" cm="1">
        <f t="array" ref="W172">IF(U172="",0,_xlfn.XLOOKUP(E172&amp;U172&amp;F172,tab_act&amp;tab_mod&amp;tab_act1,tab_riz)*V172*T172/MGMT)</f>
        <v>0</v>
      </c>
      <c r="X172" s="42" cm="1">
        <f t="array" ref="X172">IF(U172="",0,_xlfn.XLOOKUP(E172&amp;U172&amp;F172,tab_act&amp;tab_mod&amp;tab_act1,tab_mc)*V172*T172/MGMT)</f>
        <v>0</v>
      </c>
      <c r="Y172" s="42" cm="1">
        <f t="array" ref="Y172">IF(U172="",0,_xlfn.XLOOKUP(E172&amp;U172&amp;F172,tab_act&amp;tab_mod&amp;tab_act1,tab_sor)*V172*T172/MGMT)</f>
        <v>0</v>
      </c>
      <c r="Z172" s="42" cm="1">
        <f t="array" ref="Z172">IF(U172="",0,_xlfn.XLOOKUP(E172&amp;U172&amp;F172,tab_act&amp;tab_mod&amp;tab_act1,tab_mg)*V172*T172/MGMT)</f>
        <v>0</v>
      </c>
      <c r="AA172" s="46" cm="1">
        <f t="array" ref="AA172">IF(U172="",0,IF(U172="hybrid-Sch",_xlfn.XLOOKUP(E172&amp;U172&amp;F172,tab_act&amp;tab_mod&amp;tab_act1,tab_ls)*SchLS*T172/MGMT,_xlfn.XLOOKUP(E172&amp;U172&amp;F172,tab_act&amp;tab_mod&amp;tab_act1,tab_ls)*V172*T172/MGMT))</f>
        <v>0</v>
      </c>
      <c r="AB172" s="46" cm="1">
        <f t="array" ref="AB172">IF(U172="",0,_xlfn.XLOOKUP(E172&amp;U172&amp;F172,tab_act&amp;tab_mod&amp;tab_act1,tab_hu)*V172*T172/MGMT)</f>
        <v>0</v>
      </c>
      <c r="AC172" s="46" cm="1">
        <f t="array" ref="AC172">IF(U172="",0,_xlfn.XLOOKUP(E172&amp;U172&amp;F172,tab_act&amp;tab_mod&amp;tab_act1,tab_mnp)*V172*T172/MGMT)</f>
        <v>0</v>
      </c>
      <c r="AD172" s="46" cm="1">
        <f t="array" ref="AD172">IF(U172="",0,_xlfn.XLOOKUP(E172&amp;U172&amp;F172,tab_act&amp;tab_mod&amp;tab_act1,tab_Psup)*V172*T172/MGMT)</f>
        <v>0</v>
      </c>
      <c r="AE172" s="46" cm="1">
        <f t="array" ref="AE172">IF(U172="",0,_xlfn.XLOOKUP(E172&amp;U172&amp;F172,tab_act&amp;tab_mod&amp;tab_act1,tab_csb1)*V172*T172/MGMT)</f>
        <v>0</v>
      </c>
      <c r="AF172" s="46" cm="1">
        <f t="array" ref="AF172">IF(U172="",0,_xlfn.XLOOKUP(E172&amp;U172&amp;F172,tab_act&amp;tab_mod&amp;tab_act1,tab_csb2)*V172*T172/MGMT)</f>
        <v>0</v>
      </c>
      <c r="AG172" s="109" cm="1">
        <f t="array" ref="AG172">IF(U172="",0,_xlfn.XLOOKUP(E172&amp;U172&amp;F172,tab_act&amp;tab_mod&amp;tab_act1,tab_pdoz)*V172*T172/MGMT)</f>
        <v>9.735000000000002E-2</v>
      </c>
      <c r="AH172" s="46" cm="1">
        <f t="array" ref="AH172">IF(U172="",0,_xlfn.XLOOKUP(E172&amp;U172&amp;F172,tab_act&amp;tab_mod&amp;tab_act1,tab_lns)*V172*T172/MGMT)</f>
        <v>0</v>
      </c>
      <c r="AI172" s="47">
        <f t="shared" si="18"/>
        <v>9.735000000000002E-2</v>
      </c>
      <c r="AJ172" s="48" cm="1">
        <f t="array" ref="AJ172">IF(U172="",0,_xlfn.XLOOKUP(E172&amp;U172&amp;F172,tab_act&amp;tab_mod&amp;tab_act1,tab_cash)*T172)</f>
        <v>0</v>
      </c>
      <c r="AK172" s="134" cm="1">
        <f t="array" ref="AK172">IF(B172="",0,IF(C172="",0,AJ172/_xlfn.XLOOKUP(B172&amp;C172,RMth&amp;RYr,RAr)))</f>
        <v>0</v>
      </c>
      <c r="AN172" s="146" t="str">
        <f t="shared" si="20"/>
        <v>A</v>
      </c>
    </row>
    <row r="173" spans="1:40" x14ac:dyDescent="0.35">
      <c r="B173" s="132" t="s">
        <v>128</v>
      </c>
      <c r="C173" s="44">
        <v>2023</v>
      </c>
      <c r="D173" s="44" t="s">
        <v>100</v>
      </c>
      <c r="E173" s="15" t="s">
        <v>39</v>
      </c>
      <c r="F173" s="108" t="s">
        <v>22</v>
      </c>
      <c r="G173" s="15" t="s">
        <v>159</v>
      </c>
      <c r="H173" s="44"/>
      <c r="I173" s="15" t="s">
        <v>94</v>
      </c>
      <c r="J173" s="15" t="s">
        <v>94</v>
      </c>
      <c r="K173" s="15" t="s">
        <v>160</v>
      </c>
      <c r="L173" s="15" t="s">
        <v>95</v>
      </c>
      <c r="M173" s="15" t="s">
        <v>94</v>
      </c>
      <c r="N173" s="15" t="s">
        <v>67</v>
      </c>
      <c r="O173" s="15" t="s">
        <v>161</v>
      </c>
      <c r="P173" s="15" t="s">
        <v>172</v>
      </c>
      <c r="Q173" s="42">
        <v>62.7</v>
      </c>
      <c r="R173" s="42">
        <v>62.7</v>
      </c>
      <c r="S173" s="42">
        <v>125.4</v>
      </c>
      <c r="T173" s="43">
        <v>125.4</v>
      </c>
      <c r="U173" s="44" t="s">
        <v>41</v>
      </c>
      <c r="V173" s="153">
        <v>30</v>
      </c>
      <c r="W173" s="45" cm="1">
        <f t="array" ref="W173">IF(U173="",0,_xlfn.XLOOKUP(E173&amp;U173&amp;F173,tab_act&amp;tab_mod&amp;tab_act1,tab_riz)*V173*T173/MGMT)</f>
        <v>0</v>
      </c>
      <c r="X173" s="42" cm="1">
        <f t="array" ref="X173">IF(U173="",0,_xlfn.XLOOKUP(E173&amp;U173&amp;F173,tab_act&amp;tab_mod&amp;tab_act1,tab_mc)*V173*T173/MGMT)</f>
        <v>0</v>
      </c>
      <c r="Y173" s="42" cm="1">
        <f t="array" ref="Y173">IF(U173="",0,_xlfn.XLOOKUP(E173&amp;U173&amp;F173,tab_act&amp;tab_mod&amp;tab_act1,tab_sor)*V173*T173/MGMT)</f>
        <v>0</v>
      </c>
      <c r="Z173" s="42" cm="1">
        <f t="array" ref="Z173">IF(U173="",0,_xlfn.XLOOKUP(E173&amp;U173&amp;F173,tab_act&amp;tab_mod&amp;tab_act1,tab_mg)*V173*T173/MGMT)</f>
        <v>0</v>
      </c>
      <c r="AA173" s="46" cm="1">
        <f t="array" ref="AA173">IF(U173="",0,IF(U173="hybrid-Sch",_xlfn.XLOOKUP(E173&amp;U173&amp;F173,tab_act&amp;tab_mod&amp;tab_act1,tab_ls)*SchLS*T173/MGMT,_xlfn.XLOOKUP(E173&amp;U173&amp;F173,tab_act&amp;tab_mod&amp;tab_act1,tab_ls)*V173*T173/MGMT))</f>
        <v>0</v>
      </c>
      <c r="AB173" s="46" cm="1">
        <f t="array" ref="AB173">IF(U173="",0,_xlfn.XLOOKUP(E173&amp;U173&amp;F173,tab_act&amp;tab_mod&amp;tab_act1,tab_hu)*V173*T173/MGMT)</f>
        <v>0</v>
      </c>
      <c r="AC173" s="46" cm="1">
        <f t="array" ref="AC173">IF(U173="",0,_xlfn.XLOOKUP(E173&amp;U173&amp;F173,tab_act&amp;tab_mod&amp;tab_act1,tab_mnp)*V173*T173/MGMT)</f>
        <v>0</v>
      </c>
      <c r="AD173" s="46" cm="1">
        <f t="array" ref="AD173">IF(U173="",0,_xlfn.XLOOKUP(E173&amp;U173&amp;F173,tab_act&amp;tab_mod&amp;tab_act1,tab_Psup)*V173*T173/MGMT)</f>
        <v>0</v>
      </c>
      <c r="AE173" s="46" cm="1">
        <f t="array" ref="AE173">IF(U173="",0,_xlfn.XLOOKUP(E173&amp;U173&amp;F173,tab_act&amp;tab_mod&amp;tab_act1,tab_csb1)*V173*T173/MGMT)</f>
        <v>0</v>
      </c>
      <c r="AF173" s="46" cm="1">
        <f t="array" ref="AF173">IF(U173="",0,_xlfn.XLOOKUP(E173&amp;U173&amp;F173,tab_act&amp;tab_mod&amp;tab_act1,tab_csb2)*V173*T173/MGMT)</f>
        <v>0</v>
      </c>
      <c r="AG173" s="109" cm="1">
        <f t="array" ref="AG173">IF(U173="",0,_xlfn.XLOOKUP(E173&amp;U173&amp;F173,tab_act&amp;tab_mod&amp;tab_act1,tab_pdoz)*V173*T173/MGMT)</f>
        <v>0.18809999999999999</v>
      </c>
      <c r="AH173" s="46" cm="1">
        <f t="array" ref="AH173">IF(U173="",0,_xlfn.XLOOKUP(E173&amp;U173&amp;F173,tab_act&amp;tab_mod&amp;tab_act1,tab_lns)*V173*T173/MGMT)</f>
        <v>0</v>
      </c>
      <c r="AI173" s="47">
        <f t="shared" si="18"/>
        <v>0.18809999999999999</v>
      </c>
      <c r="AJ173" s="48" cm="1">
        <f t="array" ref="AJ173">IF(U173="",0,_xlfn.XLOOKUP(E173&amp;U173&amp;F173,tab_act&amp;tab_mod&amp;tab_act1,tab_cash)*T173)</f>
        <v>0</v>
      </c>
      <c r="AK173" s="134" cm="1">
        <f t="array" ref="AK173">IF(B173="",0,IF(C173="",0,AJ173/_xlfn.XLOOKUP(B173&amp;C173,RMth&amp;RYr,RAr)))</f>
        <v>0</v>
      </c>
      <c r="AN173" s="146" t="str">
        <f t="shared" si="20"/>
        <v>A</v>
      </c>
    </row>
    <row r="174" spans="1:40" x14ac:dyDescent="0.35">
      <c r="B174" s="132" t="s">
        <v>128</v>
      </c>
      <c r="C174" s="44">
        <v>2023</v>
      </c>
      <c r="D174" s="44" t="s">
        <v>100</v>
      </c>
      <c r="E174" s="15" t="s">
        <v>39</v>
      </c>
      <c r="F174" s="108" t="s">
        <v>22</v>
      </c>
      <c r="G174" s="15" t="s">
        <v>159</v>
      </c>
      <c r="H174" s="44"/>
      <c r="I174" s="15" t="s">
        <v>94</v>
      </c>
      <c r="J174" s="15" t="s">
        <v>94</v>
      </c>
      <c r="K174" s="15" t="s">
        <v>160</v>
      </c>
      <c r="L174" s="15" t="s">
        <v>95</v>
      </c>
      <c r="M174" s="15" t="s">
        <v>94</v>
      </c>
      <c r="N174" s="15" t="s">
        <v>67</v>
      </c>
      <c r="O174" s="15" t="s">
        <v>161</v>
      </c>
      <c r="P174" s="15" t="s">
        <v>173</v>
      </c>
      <c r="Q174" s="42">
        <v>55</v>
      </c>
      <c r="R174" s="42">
        <v>53.9</v>
      </c>
      <c r="S174" s="42">
        <v>108.9</v>
      </c>
      <c r="T174" s="43">
        <v>108.9</v>
      </c>
      <c r="U174" s="44" t="s">
        <v>41</v>
      </c>
      <c r="V174" s="153">
        <v>30</v>
      </c>
      <c r="W174" s="45" cm="1">
        <f t="array" ref="W174">IF(U174="",0,_xlfn.XLOOKUP(E174&amp;U174&amp;F174,tab_act&amp;tab_mod&amp;tab_act1,tab_riz)*V174*T174/MGMT)</f>
        <v>0</v>
      </c>
      <c r="X174" s="42" cm="1">
        <f t="array" ref="X174">IF(U174="",0,_xlfn.XLOOKUP(E174&amp;U174&amp;F174,tab_act&amp;tab_mod&amp;tab_act1,tab_mc)*V174*T174/MGMT)</f>
        <v>0</v>
      </c>
      <c r="Y174" s="42" cm="1">
        <f t="array" ref="Y174">IF(U174="",0,_xlfn.XLOOKUP(E174&amp;U174&amp;F174,tab_act&amp;tab_mod&amp;tab_act1,tab_sor)*V174*T174/MGMT)</f>
        <v>0</v>
      </c>
      <c r="Z174" s="42" cm="1">
        <f t="array" ref="Z174">IF(U174="",0,_xlfn.XLOOKUP(E174&amp;U174&amp;F174,tab_act&amp;tab_mod&amp;tab_act1,tab_mg)*V174*T174/MGMT)</f>
        <v>0</v>
      </c>
      <c r="AA174" s="46" cm="1">
        <f t="array" ref="AA174">IF(U174="",0,IF(U174="hybrid-Sch",_xlfn.XLOOKUP(E174&amp;U174&amp;F174,tab_act&amp;tab_mod&amp;tab_act1,tab_ls)*SchLS*T174/MGMT,_xlfn.XLOOKUP(E174&amp;U174&amp;F174,tab_act&amp;tab_mod&amp;tab_act1,tab_ls)*V174*T174/MGMT))</f>
        <v>0</v>
      </c>
      <c r="AB174" s="46" cm="1">
        <f t="array" ref="AB174">IF(U174="",0,_xlfn.XLOOKUP(E174&amp;U174&amp;F174,tab_act&amp;tab_mod&amp;tab_act1,tab_hu)*V174*T174/MGMT)</f>
        <v>0</v>
      </c>
      <c r="AC174" s="46" cm="1">
        <f t="array" ref="AC174">IF(U174="",0,_xlfn.XLOOKUP(E174&amp;U174&amp;F174,tab_act&amp;tab_mod&amp;tab_act1,tab_mnp)*V174*T174/MGMT)</f>
        <v>0</v>
      </c>
      <c r="AD174" s="46" cm="1">
        <f t="array" ref="AD174">IF(U174="",0,_xlfn.XLOOKUP(E174&amp;U174&amp;F174,tab_act&amp;tab_mod&amp;tab_act1,tab_Psup)*V174*T174/MGMT)</f>
        <v>0</v>
      </c>
      <c r="AE174" s="46" cm="1">
        <f t="array" ref="AE174">IF(U174="",0,_xlfn.XLOOKUP(E174&amp;U174&amp;F174,tab_act&amp;tab_mod&amp;tab_act1,tab_csb1)*V174*T174/MGMT)</f>
        <v>0</v>
      </c>
      <c r="AF174" s="46" cm="1">
        <f t="array" ref="AF174">IF(U174="",0,_xlfn.XLOOKUP(E174&amp;U174&amp;F174,tab_act&amp;tab_mod&amp;tab_act1,tab_csb2)*V174*T174/MGMT)</f>
        <v>0</v>
      </c>
      <c r="AG174" s="109" cm="1">
        <f t="array" ref="AG174">IF(U174="",0,_xlfn.XLOOKUP(E174&amp;U174&amp;F174,tab_act&amp;tab_mod&amp;tab_act1,tab_pdoz)*V174*T174/MGMT)</f>
        <v>0.16335</v>
      </c>
      <c r="AH174" s="46" cm="1">
        <f t="array" ref="AH174">IF(U174="",0,_xlfn.XLOOKUP(E174&amp;U174&amp;F174,tab_act&amp;tab_mod&amp;tab_act1,tab_lns)*V174*T174/MGMT)</f>
        <v>0</v>
      </c>
      <c r="AI174" s="47">
        <f t="shared" si="18"/>
        <v>0.16335</v>
      </c>
      <c r="AJ174" s="48" cm="1">
        <f t="array" ref="AJ174">IF(U174="",0,_xlfn.XLOOKUP(E174&amp;U174&amp;F174,tab_act&amp;tab_mod&amp;tab_act1,tab_cash)*T174)</f>
        <v>0</v>
      </c>
      <c r="AK174" s="134" cm="1">
        <f t="array" ref="AK174">IF(B174="",0,IF(C174="",0,AJ174/_xlfn.XLOOKUP(B174&amp;C174,RMth&amp;RYr,RAr)))</f>
        <v>0</v>
      </c>
      <c r="AN174" s="146" t="str">
        <f t="shared" si="20"/>
        <v>A</v>
      </c>
    </row>
    <row r="175" spans="1:40" x14ac:dyDescent="0.35">
      <c r="B175" s="132" t="s">
        <v>128</v>
      </c>
      <c r="C175" s="44">
        <v>2023</v>
      </c>
      <c r="D175" s="44" t="s">
        <v>100</v>
      </c>
      <c r="E175" s="15" t="s">
        <v>39</v>
      </c>
      <c r="F175" s="108" t="s">
        <v>22</v>
      </c>
      <c r="G175" s="15" t="s">
        <v>159</v>
      </c>
      <c r="H175" s="44"/>
      <c r="I175" s="15" t="s">
        <v>94</v>
      </c>
      <c r="J175" s="15" t="s">
        <v>94</v>
      </c>
      <c r="K175" s="15" t="s">
        <v>160</v>
      </c>
      <c r="L175" s="15" t="s">
        <v>95</v>
      </c>
      <c r="M175" s="15" t="s">
        <v>94</v>
      </c>
      <c r="N175" s="15" t="s">
        <v>67</v>
      </c>
      <c r="O175" s="15" t="s">
        <v>161</v>
      </c>
      <c r="P175" s="15" t="s">
        <v>174</v>
      </c>
      <c r="Q175" s="42">
        <v>72.599999999999994</v>
      </c>
      <c r="R175" s="42">
        <v>80.3</v>
      </c>
      <c r="S175" s="42">
        <v>152.89999999999998</v>
      </c>
      <c r="T175" s="43">
        <v>152.89999999999998</v>
      </c>
      <c r="U175" s="44" t="s">
        <v>41</v>
      </c>
      <c r="V175" s="153">
        <v>30</v>
      </c>
      <c r="W175" s="45" cm="1">
        <f t="array" ref="W175">IF(U175="",0,_xlfn.XLOOKUP(E175&amp;U175&amp;F175,tab_act&amp;tab_mod&amp;tab_act1,tab_riz)*V175*T175/MGMT)</f>
        <v>0</v>
      </c>
      <c r="X175" s="42" cm="1">
        <f t="array" ref="X175">IF(U175="",0,_xlfn.XLOOKUP(E175&amp;U175&amp;F175,tab_act&amp;tab_mod&amp;tab_act1,tab_mc)*V175*T175/MGMT)</f>
        <v>0</v>
      </c>
      <c r="Y175" s="42" cm="1">
        <f t="array" ref="Y175">IF(U175="",0,_xlfn.XLOOKUP(E175&amp;U175&amp;F175,tab_act&amp;tab_mod&amp;tab_act1,tab_sor)*V175*T175/MGMT)</f>
        <v>0</v>
      </c>
      <c r="Z175" s="42" cm="1">
        <f t="array" ref="Z175">IF(U175="",0,_xlfn.XLOOKUP(E175&amp;U175&amp;F175,tab_act&amp;tab_mod&amp;tab_act1,tab_mg)*V175*T175/MGMT)</f>
        <v>0</v>
      </c>
      <c r="AA175" s="46" cm="1">
        <f t="array" ref="AA175">IF(U175="",0,IF(U175="hybrid-Sch",_xlfn.XLOOKUP(E175&amp;U175&amp;F175,tab_act&amp;tab_mod&amp;tab_act1,tab_ls)*SchLS*T175/MGMT,_xlfn.XLOOKUP(E175&amp;U175&amp;F175,tab_act&amp;tab_mod&amp;tab_act1,tab_ls)*V175*T175/MGMT))</f>
        <v>0</v>
      </c>
      <c r="AB175" s="46" cm="1">
        <f t="array" ref="AB175">IF(U175="",0,_xlfn.XLOOKUP(E175&amp;U175&amp;F175,tab_act&amp;tab_mod&amp;tab_act1,tab_hu)*V175*T175/MGMT)</f>
        <v>0</v>
      </c>
      <c r="AC175" s="46" cm="1">
        <f t="array" ref="AC175">IF(U175="",0,_xlfn.XLOOKUP(E175&amp;U175&amp;F175,tab_act&amp;tab_mod&amp;tab_act1,tab_mnp)*V175*T175/MGMT)</f>
        <v>0</v>
      </c>
      <c r="AD175" s="46" cm="1">
        <f t="array" ref="AD175">IF(U175="",0,_xlfn.XLOOKUP(E175&amp;U175&amp;F175,tab_act&amp;tab_mod&amp;tab_act1,tab_Psup)*V175*T175/MGMT)</f>
        <v>0</v>
      </c>
      <c r="AE175" s="46" cm="1">
        <f t="array" ref="AE175">IF(U175="",0,_xlfn.XLOOKUP(E175&amp;U175&amp;F175,tab_act&amp;tab_mod&amp;tab_act1,tab_csb1)*V175*T175/MGMT)</f>
        <v>0</v>
      </c>
      <c r="AF175" s="46" cm="1">
        <f t="array" ref="AF175">IF(U175="",0,_xlfn.XLOOKUP(E175&amp;U175&amp;F175,tab_act&amp;tab_mod&amp;tab_act1,tab_csb2)*V175*T175/MGMT)</f>
        <v>0</v>
      </c>
      <c r="AG175" s="109" cm="1">
        <f t="array" ref="AG175">IF(U175="",0,_xlfn.XLOOKUP(E175&amp;U175&amp;F175,tab_act&amp;tab_mod&amp;tab_act1,tab_pdoz)*V175*T175/MGMT)</f>
        <v>0.22934999999999997</v>
      </c>
      <c r="AH175" s="46" cm="1">
        <f t="array" ref="AH175">IF(U175="",0,_xlfn.XLOOKUP(E175&amp;U175&amp;F175,tab_act&amp;tab_mod&amp;tab_act1,tab_lns)*V175*T175/MGMT)</f>
        <v>0</v>
      </c>
      <c r="AI175" s="47">
        <f t="shared" si="18"/>
        <v>0.22934999999999997</v>
      </c>
      <c r="AJ175" s="48" cm="1">
        <f t="array" ref="AJ175">IF(U175="",0,_xlfn.XLOOKUP(E175&amp;U175&amp;F175,tab_act&amp;tab_mod&amp;tab_act1,tab_cash)*T175)</f>
        <v>0</v>
      </c>
      <c r="AK175" s="134" cm="1">
        <f t="array" ref="AK175">IF(B175="",0,IF(C175="",0,AJ175/_xlfn.XLOOKUP(B175&amp;C175,RMth&amp;RYr,RAr)))</f>
        <v>0</v>
      </c>
      <c r="AN175" s="146" t="str">
        <f t="shared" si="20"/>
        <v>A</v>
      </c>
    </row>
    <row r="176" spans="1:40" x14ac:dyDescent="0.35">
      <c r="B176" s="132" t="s">
        <v>128</v>
      </c>
      <c r="C176" s="44">
        <v>2023</v>
      </c>
      <c r="D176" s="44" t="s">
        <v>100</v>
      </c>
      <c r="E176" s="15" t="s">
        <v>39</v>
      </c>
      <c r="F176" s="108" t="s">
        <v>22</v>
      </c>
      <c r="G176" s="15" t="s">
        <v>159</v>
      </c>
      <c r="H176" s="44"/>
      <c r="I176" s="15" t="s">
        <v>94</v>
      </c>
      <c r="J176" s="15" t="s">
        <v>94</v>
      </c>
      <c r="K176" s="15" t="s">
        <v>160</v>
      </c>
      <c r="L176" s="15" t="s">
        <v>95</v>
      </c>
      <c r="M176" s="15" t="s">
        <v>94</v>
      </c>
      <c r="N176" s="15" t="s">
        <v>67</v>
      </c>
      <c r="O176" s="15" t="s">
        <v>161</v>
      </c>
      <c r="P176" s="15" t="s">
        <v>175</v>
      </c>
      <c r="Q176" s="42">
        <v>91.3</v>
      </c>
      <c r="R176" s="42">
        <v>85.8</v>
      </c>
      <c r="S176" s="42">
        <v>177.1</v>
      </c>
      <c r="T176" s="43">
        <v>177.1</v>
      </c>
      <c r="U176" s="44" t="s">
        <v>41</v>
      </c>
      <c r="V176" s="153">
        <v>30</v>
      </c>
      <c r="W176" s="45" cm="1">
        <f t="array" ref="W176">IF(U176="",0,_xlfn.XLOOKUP(E176&amp;U176&amp;F176,tab_act&amp;tab_mod&amp;tab_act1,tab_riz)*V176*T176/MGMT)</f>
        <v>0</v>
      </c>
      <c r="X176" s="42" cm="1">
        <f t="array" ref="X176">IF(U176="",0,_xlfn.XLOOKUP(E176&amp;U176&amp;F176,tab_act&amp;tab_mod&amp;tab_act1,tab_mc)*V176*T176/MGMT)</f>
        <v>0</v>
      </c>
      <c r="Y176" s="42" cm="1">
        <f t="array" ref="Y176">IF(U176="",0,_xlfn.XLOOKUP(E176&amp;U176&amp;F176,tab_act&amp;tab_mod&amp;tab_act1,tab_sor)*V176*T176/MGMT)</f>
        <v>0</v>
      </c>
      <c r="Z176" s="42" cm="1">
        <f t="array" ref="Z176">IF(U176="",0,_xlfn.XLOOKUP(E176&amp;U176&amp;F176,tab_act&amp;tab_mod&amp;tab_act1,tab_mg)*V176*T176/MGMT)</f>
        <v>0</v>
      </c>
      <c r="AA176" s="46" cm="1">
        <f t="array" ref="AA176">IF(U176="",0,IF(U176="hybrid-Sch",_xlfn.XLOOKUP(E176&amp;U176&amp;F176,tab_act&amp;tab_mod&amp;tab_act1,tab_ls)*SchLS*T176/MGMT,_xlfn.XLOOKUP(E176&amp;U176&amp;F176,tab_act&amp;tab_mod&amp;tab_act1,tab_ls)*V176*T176/MGMT))</f>
        <v>0</v>
      </c>
      <c r="AB176" s="46" cm="1">
        <f t="array" ref="AB176">IF(U176="",0,_xlfn.XLOOKUP(E176&amp;U176&amp;F176,tab_act&amp;tab_mod&amp;tab_act1,tab_hu)*V176*T176/MGMT)</f>
        <v>0</v>
      </c>
      <c r="AC176" s="46" cm="1">
        <f t="array" ref="AC176">IF(U176="",0,_xlfn.XLOOKUP(E176&amp;U176&amp;F176,tab_act&amp;tab_mod&amp;tab_act1,tab_mnp)*V176*T176/MGMT)</f>
        <v>0</v>
      </c>
      <c r="AD176" s="46" cm="1">
        <f t="array" ref="AD176">IF(U176="",0,_xlfn.XLOOKUP(E176&amp;U176&amp;F176,tab_act&amp;tab_mod&amp;tab_act1,tab_Psup)*V176*T176/MGMT)</f>
        <v>0</v>
      </c>
      <c r="AE176" s="46" cm="1">
        <f t="array" ref="AE176">IF(U176="",0,_xlfn.XLOOKUP(E176&amp;U176&amp;F176,tab_act&amp;tab_mod&amp;tab_act1,tab_csb1)*V176*T176/MGMT)</f>
        <v>0</v>
      </c>
      <c r="AF176" s="46" cm="1">
        <f t="array" ref="AF176">IF(U176="",0,_xlfn.XLOOKUP(E176&amp;U176&amp;F176,tab_act&amp;tab_mod&amp;tab_act1,tab_csb2)*V176*T176/MGMT)</f>
        <v>0</v>
      </c>
      <c r="AG176" s="109" cm="1">
        <f t="array" ref="AG176">IF(U176="",0,_xlfn.XLOOKUP(E176&amp;U176&amp;F176,tab_act&amp;tab_mod&amp;tab_act1,tab_pdoz)*V176*T176/MGMT)</f>
        <v>0.26565</v>
      </c>
      <c r="AH176" s="46" cm="1">
        <f t="array" ref="AH176">IF(U176="",0,_xlfn.XLOOKUP(E176&amp;U176&amp;F176,tab_act&amp;tab_mod&amp;tab_act1,tab_lns)*V176*T176/MGMT)</f>
        <v>0</v>
      </c>
      <c r="AI176" s="47">
        <f t="shared" si="18"/>
        <v>0.26565</v>
      </c>
      <c r="AJ176" s="48" cm="1">
        <f t="array" ref="AJ176">IF(U176="",0,_xlfn.XLOOKUP(E176&amp;U176&amp;F176,tab_act&amp;tab_mod&amp;tab_act1,tab_cash)*T176)</f>
        <v>0</v>
      </c>
      <c r="AK176" s="134" cm="1">
        <f t="array" ref="AK176">IF(B176="",0,IF(C176="",0,AJ176/_xlfn.XLOOKUP(B176&amp;C176,RMth&amp;RYr,RAr)))</f>
        <v>0</v>
      </c>
      <c r="AN176" s="146" t="str">
        <f t="shared" si="20"/>
        <v>A</v>
      </c>
    </row>
    <row r="177" spans="2:40" x14ac:dyDescent="0.35">
      <c r="B177" s="132" t="s">
        <v>128</v>
      </c>
      <c r="C177" s="44">
        <v>2023</v>
      </c>
      <c r="D177" s="44" t="s">
        <v>100</v>
      </c>
      <c r="E177" s="15" t="s">
        <v>39</v>
      </c>
      <c r="F177" s="108" t="s">
        <v>22</v>
      </c>
      <c r="G177" s="15" t="s">
        <v>159</v>
      </c>
      <c r="H177" s="44"/>
      <c r="I177" s="15" t="s">
        <v>94</v>
      </c>
      <c r="J177" s="15" t="s">
        <v>94</v>
      </c>
      <c r="K177" s="15" t="s">
        <v>160</v>
      </c>
      <c r="L177" s="15" t="s">
        <v>95</v>
      </c>
      <c r="M177" s="15" t="s">
        <v>94</v>
      </c>
      <c r="N177" s="15" t="s">
        <v>67</v>
      </c>
      <c r="O177" s="15" t="s">
        <v>161</v>
      </c>
      <c r="P177" s="15" t="s">
        <v>176</v>
      </c>
      <c r="Q177" s="42">
        <v>42.9</v>
      </c>
      <c r="R177" s="42">
        <v>51.7</v>
      </c>
      <c r="S177" s="42">
        <v>94.6</v>
      </c>
      <c r="T177" s="43">
        <v>94.6</v>
      </c>
      <c r="U177" s="44" t="s">
        <v>41</v>
      </c>
      <c r="V177" s="153">
        <v>30</v>
      </c>
      <c r="W177" s="45" cm="1">
        <f t="array" ref="W177">IF(U177="",0,_xlfn.XLOOKUP(E177&amp;U177&amp;F177,tab_act&amp;tab_mod&amp;tab_act1,tab_riz)*V177*T177/MGMT)</f>
        <v>0</v>
      </c>
      <c r="X177" s="42" cm="1">
        <f t="array" ref="X177">IF(U177="",0,_xlfn.XLOOKUP(E177&amp;U177&amp;F177,tab_act&amp;tab_mod&amp;tab_act1,tab_mc)*V177*T177/MGMT)</f>
        <v>0</v>
      </c>
      <c r="Y177" s="42" cm="1">
        <f t="array" ref="Y177">IF(U177="",0,_xlfn.XLOOKUP(E177&amp;U177&amp;F177,tab_act&amp;tab_mod&amp;tab_act1,tab_sor)*V177*T177/MGMT)</f>
        <v>0</v>
      </c>
      <c r="Z177" s="42" cm="1">
        <f t="array" ref="Z177">IF(U177="",0,_xlfn.XLOOKUP(E177&amp;U177&amp;F177,tab_act&amp;tab_mod&amp;tab_act1,tab_mg)*V177*T177/MGMT)</f>
        <v>0</v>
      </c>
      <c r="AA177" s="46" cm="1">
        <f t="array" ref="AA177">IF(U177="",0,IF(U177="hybrid-Sch",_xlfn.XLOOKUP(E177&amp;U177&amp;F177,tab_act&amp;tab_mod&amp;tab_act1,tab_ls)*SchLS*T177/MGMT,_xlfn.XLOOKUP(E177&amp;U177&amp;F177,tab_act&amp;tab_mod&amp;tab_act1,tab_ls)*V177*T177/MGMT))</f>
        <v>0</v>
      </c>
      <c r="AB177" s="46" cm="1">
        <f t="array" ref="AB177">IF(U177="",0,_xlfn.XLOOKUP(E177&amp;U177&amp;F177,tab_act&amp;tab_mod&amp;tab_act1,tab_hu)*V177*T177/MGMT)</f>
        <v>0</v>
      </c>
      <c r="AC177" s="46" cm="1">
        <f t="array" ref="AC177">IF(U177="",0,_xlfn.XLOOKUP(E177&amp;U177&amp;F177,tab_act&amp;tab_mod&amp;tab_act1,tab_mnp)*V177*T177/MGMT)</f>
        <v>0</v>
      </c>
      <c r="AD177" s="46" cm="1">
        <f t="array" ref="AD177">IF(U177="",0,_xlfn.XLOOKUP(E177&amp;U177&amp;F177,tab_act&amp;tab_mod&amp;tab_act1,tab_Psup)*V177*T177/MGMT)</f>
        <v>0</v>
      </c>
      <c r="AE177" s="46" cm="1">
        <f t="array" ref="AE177">IF(U177="",0,_xlfn.XLOOKUP(E177&amp;U177&amp;F177,tab_act&amp;tab_mod&amp;tab_act1,tab_csb1)*V177*T177/MGMT)</f>
        <v>0</v>
      </c>
      <c r="AF177" s="46" cm="1">
        <f t="array" ref="AF177">IF(U177="",0,_xlfn.XLOOKUP(E177&amp;U177&amp;F177,tab_act&amp;tab_mod&amp;tab_act1,tab_csb2)*V177*T177/MGMT)</f>
        <v>0</v>
      </c>
      <c r="AG177" s="109" cm="1">
        <f t="array" ref="AG177">IF(U177="",0,_xlfn.XLOOKUP(E177&amp;U177&amp;F177,tab_act&amp;tab_mod&amp;tab_act1,tab_pdoz)*V177*T177/MGMT)</f>
        <v>0.1419</v>
      </c>
      <c r="AH177" s="46" cm="1">
        <f t="array" ref="AH177">IF(U177="",0,_xlfn.XLOOKUP(E177&amp;U177&amp;F177,tab_act&amp;tab_mod&amp;tab_act1,tab_lns)*V177*T177/MGMT)</f>
        <v>0</v>
      </c>
      <c r="AI177" s="47">
        <f t="shared" si="18"/>
        <v>0.1419</v>
      </c>
      <c r="AJ177" s="48" cm="1">
        <f t="array" ref="AJ177">IF(U177="",0,_xlfn.XLOOKUP(E177&amp;U177&amp;F177,tab_act&amp;tab_mod&amp;tab_act1,tab_cash)*T177)</f>
        <v>0</v>
      </c>
      <c r="AK177" s="134" cm="1">
        <f t="array" ref="AK177">IF(B177="",0,IF(C177="",0,AJ177/_xlfn.XLOOKUP(B177&amp;C177,RMth&amp;RYr,RAr)))</f>
        <v>0</v>
      </c>
      <c r="AN177" s="146" t="str">
        <f t="shared" si="20"/>
        <v>A</v>
      </c>
    </row>
    <row r="178" spans="2:40" x14ac:dyDescent="0.35">
      <c r="B178" s="132" t="s">
        <v>128</v>
      </c>
      <c r="C178" s="44">
        <v>2023</v>
      </c>
      <c r="D178" s="44" t="s">
        <v>100</v>
      </c>
      <c r="E178" s="15" t="s">
        <v>39</v>
      </c>
      <c r="F178" s="108" t="s">
        <v>22</v>
      </c>
      <c r="G178" s="15" t="s">
        <v>159</v>
      </c>
      <c r="H178" s="44"/>
      <c r="I178" s="15" t="s">
        <v>94</v>
      </c>
      <c r="J178" s="15" t="s">
        <v>94</v>
      </c>
      <c r="K178" s="15" t="s">
        <v>160</v>
      </c>
      <c r="L178" s="15" t="s">
        <v>95</v>
      </c>
      <c r="M178" s="15" t="s">
        <v>94</v>
      </c>
      <c r="N178" s="15" t="s">
        <v>67</v>
      </c>
      <c r="O178" s="15" t="s">
        <v>161</v>
      </c>
      <c r="P178" s="15" t="s">
        <v>177</v>
      </c>
      <c r="Q178" s="42">
        <v>72.599999999999994</v>
      </c>
      <c r="R178" s="42">
        <v>88</v>
      </c>
      <c r="S178" s="42">
        <v>160.6</v>
      </c>
      <c r="T178" s="43">
        <v>160.6</v>
      </c>
      <c r="U178" s="44" t="s">
        <v>41</v>
      </c>
      <c r="V178" s="153">
        <v>30</v>
      </c>
      <c r="W178" s="45" cm="1">
        <f t="array" ref="W178">IF(U178="",0,_xlfn.XLOOKUP(E178&amp;U178&amp;F178,tab_act&amp;tab_mod&amp;tab_act1,tab_riz)*V178*T178/MGMT)</f>
        <v>0</v>
      </c>
      <c r="X178" s="42" cm="1">
        <f t="array" ref="X178">IF(U178="",0,_xlfn.XLOOKUP(E178&amp;U178&amp;F178,tab_act&amp;tab_mod&amp;tab_act1,tab_mc)*V178*T178/MGMT)</f>
        <v>0</v>
      </c>
      <c r="Y178" s="42" cm="1">
        <f t="array" ref="Y178">IF(U178="",0,_xlfn.XLOOKUP(E178&amp;U178&amp;F178,tab_act&amp;tab_mod&amp;tab_act1,tab_sor)*V178*T178/MGMT)</f>
        <v>0</v>
      </c>
      <c r="Z178" s="42" cm="1">
        <f t="array" ref="Z178">IF(U178="",0,_xlfn.XLOOKUP(E178&amp;U178&amp;F178,tab_act&amp;tab_mod&amp;tab_act1,tab_mg)*V178*T178/MGMT)</f>
        <v>0</v>
      </c>
      <c r="AA178" s="46" cm="1">
        <f t="array" ref="AA178">IF(U178="",0,IF(U178="hybrid-Sch",_xlfn.XLOOKUP(E178&amp;U178&amp;F178,tab_act&amp;tab_mod&amp;tab_act1,tab_ls)*SchLS*T178/MGMT,_xlfn.XLOOKUP(E178&amp;U178&amp;F178,tab_act&amp;tab_mod&amp;tab_act1,tab_ls)*V178*T178/MGMT))</f>
        <v>0</v>
      </c>
      <c r="AB178" s="46" cm="1">
        <f t="array" ref="AB178">IF(U178="",0,_xlfn.XLOOKUP(E178&amp;U178&amp;F178,tab_act&amp;tab_mod&amp;tab_act1,tab_hu)*V178*T178/MGMT)</f>
        <v>0</v>
      </c>
      <c r="AC178" s="46" cm="1">
        <f t="array" ref="AC178">IF(U178="",0,_xlfn.XLOOKUP(E178&amp;U178&amp;F178,tab_act&amp;tab_mod&amp;tab_act1,tab_mnp)*V178*T178/MGMT)</f>
        <v>0</v>
      </c>
      <c r="AD178" s="46" cm="1">
        <f t="array" ref="AD178">IF(U178="",0,_xlfn.XLOOKUP(E178&amp;U178&amp;F178,tab_act&amp;tab_mod&amp;tab_act1,tab_Psup)*V178*T178/MGMT)</f>
        <v>0</v>
      </c>
      <c r="AE178" s="46" cm="1">
        <f t="array" ref="AE178">IF(U178="",0,_xlfn.XLOOKUP(E178&amp;U178&amp;F178,tab_act&amp;tab_mod&amp;tab_act1,tab_csb1)*V178*T178/MGMT)</f>
        <v>0</v>
      </c>
      <c r="AF178" s="46" cm="1">
        <f t="array" ref="AF178">IF(U178="",0,_xlfn.XLOOKUP(E178&amp;U178&amp;F178,tab_act&amp;tab_mod&amp;tab_act1,tab_csb2)*V178*T178/MGMT)</f>
        <v>0</v>
      </c>
      <c r="AG178" s="109" cm="1">
        <f t="array" ref="AG178">IF(U178="",0,_xlfn.XLOOKUP(E178&amp;U178&amp;F178,tab_act&amp;tab_mod&amp;tab_act1,tab_pdoz)*V178*T178/MGMT)</f>
        <v>0.2409</v>
      </c>
      <c r="AH178" s="46" cm="1">
        <f t="array" ref="AH178">IF(U178="",0,_xlfn.XLOOKUP(E178&amp;U178&amp;F178,tab_act&amp;tab_mod&amp;tab_act1,tab_lns)*V178*T178/MGMT)</f>
        <v>0</v>
      </c>
      <c r="AI178" s="47">
        <f t="shared" si="18"/>
        <v>0.2409</v>
      </c>
      <c r="AJ178" s="48" cm="1">
        <f t="array" ref="AJ178">IF(U178="",0,_xlfn.XLOOKUP(E178&amp;U178&amp;F178,tab_act&amp;tab_mod&amp;tab_act1,tab_cash)*T178)</f>
        <v>0</v>
      </c>
      <c r="AK178" s="134" cm="1">
        <f t="array" ref="AK178">IF(B178="",0,IF(C178="",0,AJ178/_xlfn.XLOOKUP(B178&amp;C178,RMth&amp;RYr,RAr)))</f>
        <v>0</v>
      </c>
      <c r="AN178" s="146" t="str">
        <f t="shared" si="20"/>
        <v>A</v>
      </c>
    </row>
    <row r="179" spans="2:40" x14ac:dyDescent="0.35">
      <c r="B179" s="132" t="s">
        <v>128</v>
      </c>
      <c r="C179" s="44">
        <v>2023</v>
      </c>
      <c r="D179" s="44" t="s">
        <v>100</v>
      </c>
      <c r="E179" s="15" t="s">
        <v>39</v>
      </c>
      <c r="F179" s="108" t="s">
        <v>22</v>
      </c>
      <c r="G179" s="15" t="s">
        <v>159</v>
      </c>
      <c r="H179" s="44"/>
      <c r="I179" s="15" t="s">
        <v>94</v>
      </c>
      <c r="J179" s="15" t="s">
        <v>94</v>
      </c>
      <c r="K179" s="15" t="s">
        <v>160</v>
      </c>
      <c r="L179" s="15" t="s">
        <v>95</v>
      </c>
      <c r="M179" s="15" t="s">
        <v>94</v>
      </c>
      <c r="N179" s="15" t="s">
        <v>67</v>
      </c>
      <c r="O179" s="15" t="s">
        <v>161</v>
      </c>
      <c r="P179" s="15" t="s">
        <v>178</v>
      </c>
      <c r="Q179" s="42">
        <v>152.9</v>
      </c>
      <c r="R179" s="42">
        <v>154</v>
      </c>
      <c r="S179" s="42">
        <v>306.89999999999998</v>
      </c>
      <c r="T179" s="43">
        <v>306.89999999999998</v>
      </c>
      <c r="U179" s="44" t="s">
        <v>41</v>
      </c>
      <c r="V179" s="153">
        <v>30</v>
      </c>
      <c r="W179" s="45" cm="1">
        <f t="array" ref="W179">IF(U179="",0,_xlfn.XLOOKUP(E179&amp;U179&amp;F179,tab_act&amp;tab_mod&amp;tab_act1,tab_riz)*V179*T179/MGMT)</f>
        <v>0</v>
      </c>
      <c r="X179" s="42" cm="1">
        <f t="array" ref="X179">IF(U179="",0,_xlfn.XLOOKUP(E179&amp;U179&amp;F179,tab_act&amp;tab_mod&amp;tab_act1,tab_mc)*V179*T179/MGMT)</f>
        <v>0</v>
      </c>
      <c r="Y179" s="42" cm="1">
        <f t="array" ref="Y179">IF(U179="",0,_xlfn.XLOOKUP(E179&amp;U179&amp;F179,tab_act&amp;tab_mod&amp;tab_act1,tab_sor)*V179*T179/MGMT)</f>
        <v>0</v>
      </c>
      <c r="Z179" s="42" cm="1">
        <f t="array" ref="Z179">IF(U179="",0,_xlfn.XLOOKUP(E179&amp;U179&amp;F179,tab_act&amp;tab_mod&amp;tab_act1,tab_mg)*V179*T179/MGMT)</f>
        <v>0</v>
      </c>
      <c r="AA179" s="46" cm="1">
        <f t="array" ref="AA179">IF(U179="",0,IF(U179="hybrid-Sch",_xlfn.XLOOKUP(E179&amp;U179&amp;F179,tab_act&amp;tab_mod&amp;tab_act1,tab_ls)*SchLS*T179/MGMT,_xlfn.XLOOKUP(E179&amp;U179&amp;F179,tab_act&amp;tab_mod&amp;tab_act1,tab_ls)*V179*T179/MGMT))</f>
        <v>0</v>
      </c>
      <c r="AB179" s="46" cm="1">
        <f t="array" ref="AB179">IF(U179="",0,_xlfn.XLOOKUP(E179&amp;U179&amp;F179,tab_act&amp;tab_mod&amp;tab_act1,tab_hu)*V179*T179/MGMT)</f>
        <v>0</v>
      </c>
      <c r="AC179" s="46" cm="1">
        <f t="array" ref="AC179">IF(U179="",0,_xlfn.XLOOKUP(E179&amp;U179&amp;F179,tab_act&amp;tab_mod&amp;tab_act1,tab_mnp)*V179*T179/MGMT)</f>
        <v>0</v>
      </c>
      <c r="AD179" s="46" cm="1">
        <f t="array" ref="AD179">IF(U179="",0,_xlfn.XLOOKUP(E179&amp;U179&amp;F179,tab_act&amp;tab_mod&amp;tab_act1,tab_Psup)*V179*T179/MGMT)</f>
        <v>0</v>
      </c>
      <c r="AE179" s="46" cm="1">
        <f t="array" ref="AE179">IF(U179="",0,_xlfn.XLOOKUP(E179&amp;U179&amp;F179,tab_act&amp;tab_mod&amp;tab_act1,tab_csb1)*V179*T179/MGMT)</f>
        <v>0</v>
      </c>
      <c r="AF179" s="46" cm="1">
        <f t="array" ref="AF179">IF(U179="",0,_xlfn.XLOOKUP(E179&amp;U179&amp;F179,tab_act&amp;tab_mod&amp;tab_act1,tab_csb2)*V179*T179/MGMT)</f>
        <v>0</v>
      </c>
      <c r="AG179" s="109" cm="1">
        <f t="array" ref="AG179">IF(U179="",0,_xlfn.XLOOKUP(E179&amp;U179&amp;F179,tab_act&amp;tab_mod&amp;tab_act1,tab_pdoz)*V179*T179/MGMT)</f>
        <v>0.46034999999999993</v>
      </c>
      <c r="AH179" s="46" cm="1">
        <f t="array" ref="AH179">IF(U179="",0,_xlfn.XLOOKUP(E179&amp;U179&amp;F179,tab_act&amp;tab_mod&amp;tab_act1,tab_lns)*V179*T179/MGMT)</f>
        <v>0</v>
      </c>
      <c r="AI179" s="47">
        <f t="shared" si="18"/>
        <v>0.46034999999999993</v>
      </c>
      <c r="AJ179" s="48" cm="1">
        <f t="array" ref="AJ179">IF(U179="",0,_xlfn.XLOOKUP(E179&amp;U179&amp;F179,tab_act&amp;tab_mod&amp;tab_act1,tab_cash)*T179)</f>
        <v>0</v>
      </c>
      <c r="AK179" s="134" cm="1">
        <f t="array" ref="AK179">IF(B179="",0,IF(C179="",0,AJ179/_xlfn.XLOOKUP(B179&amp;C179,RMth&amp;RYr,RAr)))</f>
        <v>0</v>
      </c>
      <c r="AN179" s="146" t="str">
        <f t="shared" si="20"/>
        <v>A</v>
      </c>
    </row>
    <row r="180" spans="2:40" x14ac:dyDescent="0.35">
      <c r="B180" s="132" t="s">
        <v>128</v>
      </c>
      <c r="C180" s="44">
        <v>2023</v>
      </c>
      <c r="D180" s="44" t="s">
        <v>100</v>
      </c>
      <c r="E180" s="15" t="s">
        <v>39</v>
      </c>
      <c r="F180" s="108" t="s">
        <v>22</v>
      </c>
      <c r="G180" s="15" t="s">
        <v>159</v>
      </c>
      <c r="H180" s="44"/>
      <c r="I180" s="15" t="s">
        <v>94</v>
      </c>
      <c r="J180" s="15" t="s">
        <v>94</v>
      </c>
      <c r="K180" s="15" t="s">
        <v>160</v>
      </c>
      <c r="L180" s="15" t="s">
        <v>95</v>
      </c>
      <c r="M180" s="15" t="s">
        <v>94</v>
      </c>
      <c r="N180" s="15" t="s">
        <v>67</v>
      </c>
      <c r="O180" s="15" t="s">
        <v>161</v>
      </c>
      <c r="P180" s="15" t="s">
        <v>179</v>
      </c>
      <c r="Q180" s="42">
        <v>48.4</v>
      </c>
      <c r="R180" s="42">
        <v>56.1</v>
      </c>
      <c r="S180" s="42">
        <v>104.5</v>
      </c>
      <c r="T180" s="43">
        <v>104.5</v>
      </c>
      <c r="U180" s="44" t="s">
        <v>41</v>
      </c>
      <c r="V180" s="153">
        <v>30</v>
      </c>
      <c r="W180" s="45" cm="1">
        <f t="array" ref="W180">IF(U180="",0,_xlfn.XLOOKUP(E180&amp;U180&amp;F180,tab_act&amp;tab_mod&amp;tab_act1,tab_riz)*V180*T180/MGMT)</f>
        <v>0</v>
      </c>
      <c r="X180" s="42" cm="1">
        <f t="array" ref="X180">IF(U180="",0,_xlfn.XLOOKUP(E180&amp;U180&amp;F180,tab_act&amp;tab_mod&amp;tab_act1,tab_mc)*V180*T180/MGMT)</f>
        <v>0</v>
      </c>
      <c r="Y180" s="42" cm="1">
        <f t="array" ref="Y180">IF(U180="",0,_xlfn.XLOOKUP(E180&amp;U180&amp;F180,tab_act&amp;tab_mod&amp;tab_act1,tab_sor)*V180*T180/MGMT)</f>
        <v>0</v>
      </c>
      <c r="Z180" s="42" cm="1">
        <f t="array" ref="Z180">IF(U180="",0,_xlfn.XLOOKUP(E180&amp;U180&amp;F180,tab_act&amp;tab_mod&amp;tab_act1,tab_mg)*V180*T180/MGMT)</f>
        <v>0</v>
      </c>
      <c r="AA180" s="46" cm="1">
        <f t="array" ref="AA180">IF(U180="",0,IF(U180="hybrid-Sch",_xlfn.XLOOKUP(E180&amp;U180&amp;F180,tab_act&amp;tab_mod&amp;tab_act1,tab_ls)*SchLS*T180/MGMT,_xlfn.XLOOKUP(E180&amp;U180&amp;F180,tab_act&amp;tab_mod&amp;tab_act1,tab_ls)*V180*T180/MGMT))</f>
        <v>0</v>
      </c>
      <c r="AB180" s="46" cm="1">
        <f t="array" ref="AB180">IF(U180="",0,_xlfn.XLOOKUP(E180&amp;U180&amp;F180,tab_act&amp;tab_mod&amp;tab_act1,tab_hu)*V180*T180/MGMT)</f>
        <v>0</v>
      </c>
      <c r="AC180" s="46" cm="1">
        <f t="array" ref="AC180">IF(U180="",0,_xlfn.XLOOKUP(E180&amp;U180&amp;F180,tab_act&amp;tab_mod&amp;tab_act1,tab_mnp)*V180*T180/MGMT)</f>
        <v>0</v>
      </c>
      <c r="AD180" s="46" cm="1">
        <f t="array" ref="AD180">IF(U180="",0,_xlfn.XLOOKUP(E180&amp;U180&amp;F180,tab_act&amp;tab_mod&amp;tab_act1,tab_Psup)*V180*T180/MGMT)</f>
        <v>0</v>
      </c>
      <c r="AE180" s="46" cm="1">
        <f t="array" ref="AE180">IF(U180="",0,_xlfn.XLOOKUP(E180&amp;U180&amp;F180,tab_act&amp;tab_mod&amp;tab_act1,tab_csb1)*V180*T180/MGMT)</f>
        <v>0</v>
      </c>
      <c r="AF180" s="46" cm="1">
        <f t="array" ref="AF180">IF(U180="",0,_xlfn.XLOOKUP(E180&amp;U180&amp;F180,tab_act&amp;tab_mod&amp;tab_act1,tab_csb2)*V180*T180/MGMT)</f>
        <v>0</v>
      </c>
      <c r="AG180" s="109" cm="1">
        <f t="array" ref="AG180">IF(U180="",0,_xlfn.XLOOKUP(E180&amp;U180&amp;F180,tab_act&amp;tab_mod&amp;tab_act1,tab_pdoz)*V180*T180/MGMT)</f>
        <v>0.15675</v>
      </c>
      <c r="AH180" s="46" cm="1">
        <f t="array" ref="AH180">IF(U180="",0,_xlfn.XLOOKUP(E180&amp;U180&amp;F180,tab_act&amp;tab_mod&amp;tab_act1,tab_lns)*V180*T180/MGMT)</f>
        <v>0</v>
      </c>
      <c r="AI180" s="47">
        <f t="shared" si="18"/>
        <v>0.15675</v>
      </c>
      <c r="AJ180" s="48" cm="1">
        <f t="array" ref="AJ180">IF(U180="",0,_xlfn.XLOOKUP(E180&amp;U180&amp;F180,tab_act&amp;tab_mod&amp;tab_act1,tab_cash)*T180)</f>
        <v>0</v>
      </c>
      <c r="AK180" s="134" cm="1">
        <f t="array" ref="AK180">IF(B180="",0,IF(C180="",0,AJ180/_xlfn.XLOOKUP(B180&amp;C180,RMth&amp;RYr,RAr)))</f>
        <v>0</v>
      </c>
      <c r="AN180" s="146" t="str">
        <f t="shared" si="20"/>
        <v>A</v>
      </c>
    </row>
    <row r="181" spans="2:40" x14ac:dyDescent="0.35">
      <c r="B181" s="132" t="s">
        <v>128</v>
      </c>
      <c r="C181" s="44">
        <v>2023</v>
      </c>
      <c r="D181" s="44" t="s">
        <v>100</v>
      </c>
      <c r="E181" s="15" t="s">
        <v>39</v>
      </c>
      <c r="F181" s="108" t="s">
        <v>22</v>
      </c>
      <c r="G181" s="15" t="s">
        <v>159</v>
      </c>
      <c r="H181" s="44"/>
      <c r="I181" s="15" t="s">
        <v>94</v>
      </c>
      <c r="J181" s="15" t="s">
        <v>94</v>
      </c>
      <c r="K181" s="15" t="s">
        <v>160</v>
      </c>
      <c r="L181" s="15" t="s">
        <v>95</v>
      </c>
      <c r="M181" s="15" t="s">
        <v>94</v>
      </c>
      <c r="N181" s="15" t="s">
        <v>67</v>
      </c>
      <c r="O181" s="15" t="s">
        <v>161</v>
      </c>
      <c r="P181" s="15" t="s">
        <v>180</v>
      </c>
      <c r="Q181" s="42">
        <v>125.4</v>
      </c>
      <c r="R181" s="42">
        <v>149.6</v>
      </c>
      <c r="S181" s="42">
        <v>275</v>
      </c>
      <c r="T181" s="43">
        <v>275</v>
      </c>
      <c r="U181" s="44" t="s">
        <v>41</v>
      </c>
      <c r="V181" s="153">
        <v>30</v>
      </c>
      <c r="W181" s="45" cm="1">
        <f t="array" ref="W181">IF(U181="",0,_xlfn.XLOOKUP(E181&amp;U181&amp;F181,tab_act&amp;tab_mod&amp;tab_act1,tab_riz)*V181*T181/MGMT)</f>
        <v>0</v>
      </c>
      <c r="X181" s="42" cm="1">
        <f t="array" ref="X181">IF(U181="",0,_xlfn.XLOOKUP(E181&amp;U181&amp;F181,tab_act&amp;tab_mod&amp;tab_act1,tab_mc)*V181*T181/MGMT)</f>
        <v>0</v>
      </c>
      <c r="Y181" s="42" cm="1">
        <f t="array" ref="Y181">IF(U181="",0,_xlfn.XLOOKUP(E181&amp;U181&amp;F181,tab_act&amp;tab_mod&amp;tab_act1,tab_sor)*V181*T181/MGMT)</f>
        <v>0</v>
      </c>
      <c r="Z181" s="42" cm="1">
        <f t="array" ref="Z181">IF(U181="",0,_xlfn.XLOOKUP(E181&amp;U181&amp;F181,tab_act&amp;tab_mod&amp;tab_act1,tab_mg)*V181*T181/MGMT)</f>
        <v>0</v>
      </c>
      <c r="AA181" s="46" cm="1">
        <f t="array" ref="AA181">IF(U181="",0,IF(U181="hybrid-Sch",_xlfn.XLOOKUP(E181&amp;U181&amp;F181,tab_act&amp;tab_mod&amp;tab_act1,tab_ls)*SchLS*T181/MGMT,_xlfn.XLOOKUP(E181&amp;U181&amp;F181,tab_act&amp;tab_mod&amp;tab_act1,tab_ls)*V181*T181/MGMT))</f>
        <v>0</v>
      </c>
      <c r="AB181" s="46" cm="1">
        <f t="array" ref="AB181">IF(U181="",0,_xlfn.XLOOKUP(E181&amp;U181&amp;F181,tab_act&amp;tab_mod&amp;tab_act1,tab_hu)*V181*T181/MGMT)</f>
        <v>0</v>
      </c>
      <c r="AC181" s="46" cm="1">
        <f t="array" ref="AC181">IF(U181="",0,_xlfn.XLOOKUP(E181&amp;U181&amp;F181,tab_act&amp;tab_mod&amp;tab_act1,tab_mnp)*V181*T181/MGMT)</f>
        <v>0</v>
      </c>
      <c r="AD181" s="46" cm="1">
        <f t="array" ref="AD181">IF(U181="",0,_xlfn.XLOOKUP(E181&amp;U181&amp;F181,tab_act&amp;tab_mod&amp;tab_act1,tab_Psup)*V181*T181/MGMT)</f>
        <v>0</v>
      </c>
      <c r="AE181" s="46" cm="1">
        <f t="array" ref="AE181">IF(U181="",0,_xlfn.XLOOKUP(E181&amp;U181&amp;F181,tab_act&amp;tab_mod&amp;tab_act1,tab_csb1)*V181*T181/MGMT)</f>
        <v>0</v>
      </c>
      <c r="AF181" s="46" cm="1">
        <f t="array" ref="AF181">IF(U181="",0,_xlfn.XLOOKUP(E181&amp;U181&amp;F181,tab_act&amp;tab_mod&amp;tab_act1,tab_csb2)*V181*T181/MGMT)</f>
        <v>0</v>
      </c>
      <c r="AG181" s="109" cm="1">
        <f t="array" ref="AG181">IF(U181="",0,_xlfn.XLOOKUP(E181&amp;U181&amp;F181,tab_act&amp;tab_mod&amp;tab_act1,tab_pdoz)*V181*T181/MGMT)</f>
        <v>0.41249999999999998</v>
      </c>
      <c r="AH181" s="46" cm="1">
        <f t="array" ref="AH181">IF(U181="",0,_xlfn.XLOOKUP(E181&amp;U181&amp;F181,tab_act&amp;tab_mod&amp;tab_act1,tab_lns)*V181*T181/MGMT)</f>
        <v>0</v>
      </c>
      <c r="AI181" s="47">
        <f t="shared" si="18"/>
        <v>0.41249999999999998</v>
      </c>
      <c r="AJ181" s="48" cm="1">
        <f t="array" ref="AJ181">IF(U181="",0,_xlfn.XLOOKUP(E181&amp;U181&amp;F181,tab_act&amp;tab_mod&amp;tab_act1,tab_cash)*T181)</f>
        <v>0</v>
      </c>
      <c r="AK181" s="134" cm="1">
        <f t="array" ref="AK181">IF(B181="",0,IF(C181="",0,AJ181/_xlfn.XLOOKUP(B181&amp;C181,RMth&amp;RYr,RAr)))</f>
        <v>0</v>
      </c>
      <c r="AN181" s="146" t="str">
        <f t="shared" si="20"/>
        <v>A</v>
      </c>
    </row>
    <row r="182" spans="2:40" x14ac:dyDescent="0.35">
      <c r="B182" s="132" t="s">
        <v>128</v>
      </c>
      <c r="C182" s="44">
        <v>2023</v>
      </c>
      <c r="D182" s="44" t="s">
        <v>100</v>
      </c>
      <c r="E182" s="15" t="s">
        <v>39</v>
      </c>
      <c r="F182" s="108" t="s">
        <v>22</v>
      </c>
      <c r="G182" s="15" t="s">
        <v>159</v>
      </c>
      <c r="H182" s="44"/>
      <c r="I182" s="15" t="s">
        <v>94</v>
      </c>
      <c r="J182" s="15" t="s">
        <v>94</v>
      </c>
      <c r="K182" s="15" t="s">
        <v>160</v>
      </c>
      <c r="L182" s="15" t="s">
        <v>95</v>
      </c>
      <c r="M182" s="15" t="s">
        <v>94</v>
      </c>
      <c r="N182" s="15" t="s">
        <v>67</v>
      </c>
      <c r="O182" s="15" t="s">
        <v>161</v>
      </c>
      <c r="P182" s="15" t="s">
        <v>181</v>
      </c>
      <c r="Q182" s="42">
        <v>48.4</v>
      </c>
      <c r="R182" s="42">
        <v>61.6</v>
      </c>
      <c r="S182" s="42">
        <v>110</v>
      </c>
      <c r="T182" s="43">
        <v>110</v>
      </c>
      <c r="U182" s="44" t="s">
        <v>41</v>
      </c>
      <c r="V182" s="153">
        <v>30</v>
      </c>
      <c r="W182" s="45" cm="1">
        <f t="array" ref="W182">IF(U182="",0,_xlfn.XLOOKUP(E182&amp;U182&amp;F182,tab_act&amp;tab_mod&amp;tab_act1,tab_riz)*V182*T182/MGMT)</f>
        <v>0</v>
      </c>
      <c r="X182" s="42" cm="1">
        <f t="array" ref="X182">IF(U182="",0,_xlfn.XLOOKUP(E182&amp;U182&amp;F182,tab_act&amp;tab_mod&amp;tab_act1,tab_mc)*V182*T182/MGMT)</f>
        <v>0</v>
      </c>
      <c r="Y182" s="42" cm="1">
        <f t="array" ref="Y182">IF(U182="",0,_xlfn.XLOOKUP(E182&amp;U182&amp;F182,tab_act&amp;tab_mod&amp;tab_act1,tab_sor)*V182*T182/MGMT)</f>
        <v>0</v>
      </c>
      <c r="Z182" s="42" cm="1">
        <f t="array" ref="Z182">IF(U182="",0,_xlfn.XLOOKUP(E182&amp;U182&amp;F182,tab_act&amp;tab_mod&amp;tab_act1,tab_mg)*V182*T182/MGMT)</f>
        <v>0</v>
      </c>
      <c r="AA182" s="46" cm="1">
        <f t="array" ref="AA182">IF(U182="",0,IF(U182="hybrid-Sch",_xlfn.XLOOKUP(E182&amp;U182&amp;F182,tab_act&amp;tab_mod&amp;tab_act1,tab_ls)*SchLS*T182/MGMT,_xlfn.XLOOKUP(E182&amp;U182&amp;F182,tab_act&amp;tab_mod&amp;tab_act1,tab_ls)*V182*T182/MGMT))</f>
        <v>0</v>
      </c>
      <c r="AB182" s="46" cm="1">
        <f t="array" ref="AB182">IF(U182="",0,_xlfn.XLOOKUP(E182&amp;U182&amp;F182,tab_act&amp;tab_mod&amp;tab_act1,tab_hu)*V182*T182/MGMT)</f>
        <v>0</v>
      </c>
      <c r="AC182" s="46" cm="1">
        <f t="array" ref="AC182">IF(U182="",0,_xlfn.XLOOKUP(E182&amp;U182&amp;F182,tab_act&amp;tab_mod&amp;tab_act1,tab_mnp)*V182*T182/MGMT)</f>
        <v>0</v>
      </c>
      <c r="AD182" s="46" cm="1">
        <f t="array" ref="AD182">IF(U182="",0,_xlfn.XLOOKUP(E182&amp;U182&amp;F182,tab_act&amp;tab_mod&amp;tab_act1,tab_Psup)*V182*T182/MGMT)</f>
        <v>0</v>
      </c>
      <c r="AE182" s="46" cm="1">
        <f t="array" ref="AE182">IF(U182="",0,_xlfn.XLOOKUP(E182&amp;U182&amp;F182,tab_act&amp;tab_mod&amp;tab_act1,tab_csb1)*V182*T182/MGMT)</f>
        <v>0</v>
      </c>
      <c r="AF182" s="46" cm="1">
        <f t="array" ref="AF182">IF(U182="",0,_xlfn.XLOOKUP(E182&amp;U182&amp;F182,tab_act&amp;tab_mod&amp;tab_act1,tab_csb2)*V182*T182/MGMT)</f>
        <v>0</v>
      </c>
      <c r="AG182" s="109" cm="1">
        <f t="array" ref="AG182">IF(U182="",0,_xlfn.XLOOKUP(E182&amp;U182&amp;F182,tab_act&amp;tab_mod&amp;tab_act1,tab_pdoz)*V182*T182/MGMT)</f>
        <v>0.16500000000000001</v>
      </c>
      <c r="AH182" s="46" cm="1">
        <f t="array" ref="AH182">IF(U182="",0,_xlfn.XLOOKUP(E182&amp;U182&amp;F182,tab_act&amp;tab_mod&amp;tab_act1,tab_lns)*V182*T182/MGMT)</f>
        <v>0</v>
      </c>
      <c r="AI182" s="47">
        <f t="shared" si="18"/>
        <v>0.16500000000000001</v>
      </c>
      <c r="AJ182" s="48" cm="1">
        <f t="array" ref="AJ182">IF(U182="",0,_xlfn.XLOOKUP(E182&amp;U182&amp;F182,tab_act&amp;tab_mod&amp;tab_act1,tab_cash)*T182)</f>
        <v>0</v>
      </c>
      <c r="AK182" s="134" cm="1">
        <f t="array" ref="AK182">IF(B182="",0,IF(C182="",0,AJ182/_xlfn.XLOOKUP(B182&amp;C182,RMth&amp;RYr,RAr)))</f>
        <v>0</v>
      </c>
      <c r="AN182" s="146" t="str">
        <f t="shared" si="20"/>
        <v>A</v>
      </c>
    </row>
    <row r="183" spans="2:40" x14ac:dyDescent="0.35">
      <c r="B183" s="132" t="s">
        <v>128</v>
      </c>
      <c r="C183" s="44">
        <v>2023</v>
      </c>
      <c r="D183" s="44" t="s">
        <v>100</v>
      </c>
      <c r="E183" s="15" t="s">
        <v>39</v>
      </c>
      <c r="F183" s="108" t="s">
        <v>22</v>
      </c>
      <c r="G183" s="15" t="s">
        <v>159</v>
      </c>
      <c r="H183" s="44"/>
      <c r="I183" s="15" t="s">
        <v>94</v>
      </c>
      <c r="J183" s="15" t="s">
        <v>94</v>
      </c>
      <c r="K183" s="15" t="s">
        <v>160</v>
      </c>
      <c r="L183" s="15" t="s">
        <v>95</v>
      </c>
      <c r="M183" s="15" t="s">
        <v>94</v>
      </c>
      <c r="N183" s="15" t="s">
        <v>67</v>
      </c>
      <c r="O183" s="15" t="s">
        <v>182</v>
      </c>
      <c r="P183" s="15" t="s">
        <v>183</v>
      </c>
      <c r="Q183" s="42">
        <v>101.2</v>
      </c>
      <c r="R183" s="42">
        <v>78.099999999999994</v>
      </c>
      <c r="S183" s="42">
        <v>179.3</v>
      </c>
      <c r="T183" s="43">
        <v>179.3</v>
      </c>
      <c r="U183" s="44" t="s">
        <v>41</v>
      </c>
      <c r="V183" s="153">
        <v>30</v>
      </c>
      <c r="W183" s="45" cm="1">
        <f t="array" ref="W183">IF(U183="",0,_xlfn.XLOOKUP(E183&amp;U183&amp;F183,tab_act&amp;tab_mod&amp;tab_act1,tab_riz)*V183*T183/MGMT)</f>
        <v>0</v>
      </c>
      <c r="X183" s="42" cm="1">
        <f t="array" ref="X183">IF(U183="",0,_xlfn.XLOOKUP(E183&amp;U183&amp;F183,tab_act&amp;tab_mod&amp;tab_act1,tab_mc)*V183*T183/MGMT)</f>
        <v>0</v>
      </c>
      <c r="Y183" s="42" cm="1">
        <f t="array" ref="Y183">IF(U183="",0,_xlfn.XLOOKUP(E183&amp;U183&amp;F183,tab_act&amp;tab_mod&amp;tab_act1,tab_sor)*V183*T183/MGMT)</f>
        <v>0</v>
      </c>
      <c r="Z183" s="42" cm="1">
        <f t="array" ref="Z183">IF(U183="",0,_xlfn.XLOOKUP(E183&amp;U183&amp;F183,tab_act&amp;tab_mod&amp;tab_act1,tab_mg)*V183*T183/MGMT)</f>
        <v>0</v>
      </c>
      <c r="AA183" s="46" cm="1">
        <f t="array" ref="AA183">IF(U183="",0,IF(U183="hybrid-Sch",_xlfn.XLOOKUP(E183&amp;U183&amp;F183,tab_act&amp;tab_mod&amp;tab_act1,tab_ls)*SchLS*T183/MGMT,_xlfn.XLOOKUP(E183&amp;U183&amp;F183,tab_act&amp;tab_mod&amp;tab_act1,tab_ls)*V183*T183/MGMT))</f>
        <v>0</v>
      </c>
      <c r="AB183" s="46" cm="1">
        <f t="array" ref="AB183">IF(U183="",0,_xlfn.XLOOKUP(E183&amp;U183&amp;F183,tab_act&amp;tab_mod&amp;tab_act1,tab_hu)*V183*T183/MGMT)</f>
        <v>0</v>
      </c>
      <c r="AC183" s="46" cm="1">
        <f t="array" ref="AC183">IF(U183="",0,_xlfn.XLOOKUP(E183&amp;U183&amp;F183,tab_act&amp;tab_mod&amp;tab_act1,tab_mnp)*V183*T183/MGMT)</f>
        <v>0</v>
      </c>
      <c r="AD183" s="46" cm="1">
        <f t="array" ref="AD183">IF(U183="",0,_xlfn.XLOOKUP(E183&amp;U183&amp;F183,tab_act&amp;tab_mod&amp;tab_act1,tab_Psup)*V183*T183/MGMT)</f>
        <v>0</v>
      </c>
      <c r="AE183" s="46" cm="1">
        <f t="array" ref="AE183">IF(U183="",0,_xlfn.XLOOKUP(E183&amp;U183&amp;F183,tab_act&amp;tab_mod&amp;tab_act1,tab_csb1)*V183*T183/MGMT)</f>
        <v>0</v>
      </c>
      <c r="AF183" s="46" cm="1">
        <f t="array" ref="AF183">IF(U183="",0,_xlfn.XLOOKUP(E183&amp;U183&amp;F183,tab_act&amp;tab_mod&amp;tab_act1,tab_csb2)*V183*T183/MGMT)</f>
        <v>0</v>
      </c>
      <c r="AG183" s="109" cm="1">
        <f t="array" ref="AG183">IF(U183="",0,_xlfn.XLOOKUP(E183&amp;U183&amp;F183,tab_act&amp;tab_mod&amp;tab_act1,tab_pdoz)*V183*T183/MGMT)</f>
        <v>0.26895000000000002</v>
      </c>
      <c r="AH183" s="46" cm="1">
        <f t="array" ref="AH183">IF(U183="",0,_xlfn.XLOOKUP(E183&amp;U183&amp;F183,tab_act&amp;tab_mod&amp;tab_act1,tab_lns)*V183*T183/MGMT)</f>
        <v>0</v>
      </c>
      <c r="AI183" s="47">
        <f t="shared" si="18"/>
        <v>0.26895000000000002</v>
      </c>
      <c r="AJ183" s="48" cm="1">
        <f t="array" ref="AJ183">IF(U183="",0,_xlfn.XLOOKUP(E183&amp;U183&amp;F183,tab_act&amp;tab_mod&amp;tab_act1,tab_cash)*T183)</f>
        <v>0</v>
      </c>
      <c r="AK183" s="134" cm="1">
        <f t="array" ref="AK183">IF(B183="",0,IF(C183="",0,AJ183/_xlfn.XLOOKUP(B183&amp;C183,RMth&amp;RYr,RAr)))</f>
        <v>0</v>
      </c>
      <c r="AN183" s="146" t="str">
        <f t="shared" si="20"/>
        <v>A</v>
      </c>
    </row>
    <row r="184" spans="2:40" x14ac:dyDescent="0.35">
      <c r="B184" s="132" t="s">
        <v>128</v>
      </c>
      <c r="C184" s="44">
        <v>2023</v>
      </c>
      <c r="D184" s="44" t="s">
        <v>100</v>
      </c>
      <c r="E184" s="15" t="s">
        <v>39</v>
      </c>
      <c r="F184" s="108" t="s">
        <v>22</v>
      </c>
      <c r="G184" s="15" t="s">
        <v>159</v>
      </c>
      <c r="H184" s="44"/>
      <c r="I184" s="15" t="s">
        <v>94</v>
      </c>
      <c r="J184" s="15" t="s">
        <v>94</v>
      </c>
      <c r="K184" s="15" t="s">
        <v>160</v>
      </c>
      <c r="L184" s="15" t="s">
        <v>95</v>
      </c>
      <c r="M184" s="15" t="s">
        <v>94</v>
      </c>
      <c r="N184" s="15" t="s">
        <v>67</v>
      </c>
      <c r="O184" s="15" t="s">
        <v>182</v>
      </c>
      <c r="P184" s="15" t="s">
        <v>184</v>
      </c>
      <c r="Q184" s="42">
        <v>46.2</v>
      </c>
      <c r="R184" s="42">
        <v>57.2</v>
      </c>
      <c r="S184" s="42">
        <v>103.4</v>
      </c>
      <c r="T184" s="43">
        <v>103.4</v>
      </c>
      <c r="U184" s="44" t="s">
        <v>41</v>
      </c>
      <c r="V184" s="153">
        <v>30</v>
      </c>
      <c r="W184" s="45" cm="1">
        <f t="array" ref="W184">IF(U184="",0,_xlfn.XLOOKUP(E184&amp;U184&amp;F184,tab_act&amp;tab_mod&amp;tab_act1,tab_riz)*V184*T184/MGMT)</f>
        <v>0</v>
      </c>
      <c r="X184" s="42" cm="1">
        <f t="array" ref="X184">IF(U184="",0,_xlfn.XLOOKUP(E184&amp;U184&amp;F184,tab_act&amp;tab_mod&amp;tab_act1,tab_mc)*V184*T184/MGMT)</f>
        <v>0</v>
      </c>
      <c r="Y184" s="42" cm="1">
        <f t="array" ref="Y184">IF(U184="",0,_xlfn.XLOOKUP(E184&amp;U184&amp;F184,tab_act&amp;tab_mod&amp;tab_act1,tab_sor)*V184*T184/MGMT)</f>
        <v>0</v>
      </c>
      <c r="Z184" s="42" cm="1">
        <f t="array" ref="Z184">IF(U184="",0,_xlfn.XLOOKUP(E184&amp;U184&amp;F184,tab_act&amp;tab_mod&amp;tab_act1,tab_mg)*V184*T184/MGMT)</f>
        <v>0</v>
      </c>
      <c r="AA184" s="46" cm="1">
        <f t="array" ref="AA184">IF(U184="",0,IF(U184="hybrid-Sch",_xlfn.XLOOKUP(E184&amp;U184&amp;F184,tab_act&amp;tab_mod&amp;tab_act1,tab_ls)*SchLS*T184/MGMT,_xlfn.XLOOKUP(E184&amp;U184&amp;F184,tab_act&amp;tab_mod&amp;tab_act1,tab_ls)*V184*T184/MGMT))</f>
        <v>0</v>
      </c>
      <c r="AB184" s="46" cm="1">
        <f t="array" ref="AB184">IF(U184="",0,_xlfn.XLOOKUP(E184&amp;U184&amp;F184,tab_act&amp;tab_mod&amp;tab_act1,tab_hu)*V184*T184/MGMT)</f>
        <v>0</v>
      </c>
      <c r="AC184" s="46" cm="1">
        <f t="array" ref="AC184">IF(U184="",0,_xlfn.XLOOKUP(E184&amp;U184&amp;F184,tab_act&amp;tab_mod&amp;tab_act1,tab_mnp)*V184*T184/MGMT)</f>
        <v>0</v>
      </c>
      <c r="AD184" s="46" cm="1">
        <f t="array" ref="AD184">IF(U184="",0,_xlfn.XLOOKUP(E184&amp;U184&amp;F184,tab_act&amp;tab_mod&amp;tab_act1,tab_Psup)*V184*T184/MGMT)</f>
        <v>0</v>
      </c>
      <c r="AE184" s="46" cm="1">
        <f t="array" ref="AE184">IF(U184="",0,_xlfn.XLOOKUP(E184&amp;U184&amp;F184,tab_act&amp;tab_mod&amp;tab_act1,tab_csb1)*V184*T184/MGMT)</f>
        <v>0</v>
      </c>
      <c r="AF184" s="46" cm="1">
        <f t="array" ref="AF184">IF(U184="",0,_xlfn.XLOOKUP(E184&amp;U184&amp;F184,tab_act&amp;tab_mod&amp;tab_act1,tab_csb2)*V184*T184/MGMT)</f>
        <v>0</v>
      </c>
      <c r="AG184" s="109" cm="1">
        <f t="array" ref="AG184">IF(U184="",0,_xlfn.XLOOKUP(E184&amp;U184&amp;F184,tab_act&amp;tab_mod&amp;tab_act1,tab_pdoz)*V184*T184/MGMT)</f>
        <v>0.15509999999999999</v>
      </c>
      <c r="AH184" s="46" cm="1">
        <f t="array" ref="AH184">IF(U184="",0,_xlfn.XLOOKUP(E184&amp;U184&amp;F184,tab_act&amp;tab_mod&amp;tab_act1,tab_lns)*V184*T184/MGMT)</f>
        <v>0</v>
      </c>
      <c r="AI184" s="47">
        <f t="shared" si="18"/>
        <v>0.15509999999999999</v>
      </c>
      <c r="AJ184" s="48" cm="1">
        <f t="array" ref="AJ184">IF(U184="",0,_xlfn.XLOOKUP(E184&amp;U184&amp;F184,tab_act&amp;tab_mod&amp;tab_act1,tab_cash)*T184)</f>
        <v>0</v>
      </c>
      <c r="AK184" s="134" cm="1">
        <f t="array" ref="AK184">IF(B184="",0,IF(C184="",0,AJ184/_xlfn.XLOOKUP(B184&amp;C184,RMth&amp;RYr,RAr)))</f>
        <v>0</v>
      </c>
      <c r="AN184" s="146" t="str">
        <f t="shared" si="20"/>
        <v>A</v>
      </c>
    </row>
    <row r="185" spans="2:40" x14ac:dyDescent="0.35">
      <c r="B185" s="132" t="s">
        <v>128</v>
      </c>
      <c r="C185" s="44">
        <v>2023</v>
      </c>
      <c r="D185" s="44" t="s">
        <v>100</v>
      </c>
      <c r="E185" s="15" t="s">
        <v>39</v>
      </c>
      <c r="F185" s="108" t="s">
        <v>22</v>
      </c>
      <c r="G185" s="15" t="s">
        <v>159</v>
      </c>
      <c r="H185" s="44"/>
      <c r="I185" s="15" t="s">
        <v>94</v>
      </c>
      <c r="J185" s="15" t="s">
        <v>94</v>
      </c>
      <c r="K185" s="15" t="s">
        <v>160</v>
      </c>
      <c r="L185" s="15" t="s">
        <v>95</v>
      </c>
      <c r="M185" s="15" t="s">
        <v>94</v>
      </c>
      <c r="N185" s="15" t="s">
        <v>67</v>
      </c>
      <c r="O185" s="15" t="s">
        <v>182</v>
      </c>
      <c r="P185" s="15" t="s">
        <v>185</v>
      </c>
      <c r="Q185" s="42">
        <v>136.4</v>
      </c>
      <c r="R185" s="42">
        <v>191.4</v>
      </c>
      <c r="S185" s="42">
        <v>327.8</v>
      </c>
      <c r="T185" s="43">
        <v>327.8</v>
      </c>
      <c r="U185" s="44" t="s">
        <v>41</v>
      </c>
      <c r="V185" s="153">
        <v>30</v>
      </c>
      <c r="W185" s="45" cm="1">
        <f t="array" ref="W185">IF(U185="",0,_xlfn.XLOOKUP(E185&amp;U185&amp;F185,tab_act&amp;tab_mod&amp;tab_act1,tab_riz)*V185*T185/MGMT)</f>
        <v>0</v>
      </c>
      <c r="X185" s="42" cm="1">
        <f t="array" ref="X185">IF(U185="",0,_xlfn.XLOOKUP(E185&amp;U185&amp;F185,tab_act&amp;tab_mod&amp;tab_act1,tab_mc)*V185*T185/MGMT)</f>
        <v>0</v>
      </c>
      <c r="Y185" s="42" cm="1">
        <f t="array" ref="Y185">IF(U185="",0,_xlfn.XLOOKUP(E185&amp;U185&amp;F185,tab_act&amp;tab_mod&amp;tab_act1,tab_sor)*V185*T185/MGMT)</f>
        <v>0</v>
      </c>
      <c r="Z185" s="42" cm="1">
        <f t="array" ref="Z185">IF(U185="",0,_xlfn.XLOOKUP(E185&amp;U185&amp;F185,tab_act&amp;tab_mod&amp;tab_act1,tab_mg)*V185*T185/MGMT)</f>
        <v>0</v>
      </c>
      <c r="AA185" s="46" cm="1">
        <f t="array" ref="AA185">IF(U185="",0,IF(U185="hybrid-Sch",_xlfn.XLOOKUP(E185&amp;U185&amp;F185,tab_act&amp;tab_mod&amp;tab_act1,tab_ls)*SchLS*T185/MGMT,_xlfn.XLOOKUP(E185&amp;U185&amp;F185,tab_act&amp;tab_mod&amp;tab_act1,tab_ls)*V185*T185/MGMT))</f>
        <v>0</v>
      </c>
      <c r="AB185" s="46" cm="1">
        <f t="array" ref="AB185">IF(U185="",0,_xlfn.XLOOKUP(E185&amp;U185&amp;F185,tab_act&amp;tab_mod&amp;tab_act1,tab_hu)*V185*T185/MGMT)</f>
        <v>0</v>
      </c>
      <c r="AC185" s="46" cm="1">
        <f t="array" ref="AC185">IF(U185="",0,_xlfn.XLOOKUP(E185&amp;U185&amp;F185,tab_act&amp;tab_mod&amp;tab_act1,tab_mnp)*V185*T185/MGMT)</f>
        <v>0</v>
      </c>
      <c r="AD185" s="46" cm="1">
        <f t="array" ref="AD185">IF(U185="",0,_xlfn.XLOOKUP(E185&amp;U185&amp;F185,tab_act&amp;tab_mod&amp;tab_act1,tab_Psup)*V185*T185/MGMT)</f>
        <v>0</v>
      </c>
      <c r="AE185" s="46" cm="1">
        <f t="array" ref="AE185">IF(U185="",0,_xlfn.XLOOKUP(E185&amp;U185&amp;F185,tab_act&amp;tab_mod&amp;tab_act1,tab_csb1)*V185*T185/MGMT)</f>
        <v>0</v>
      </c>
      <c r="AF185" s="46" cm="1">
        <f t="array" ref="AF185">IF(U185="",0,_xlfn.XLOOKUP(E185&amp;U185&amp;F185,tab_act&amp;tab_mod&amp;tab_act1,tab_csb2)*V185*T185/MGMT)</f>
        <v>0</v>
      </c>
      <c r="AG185" s="109" cm="1">
        <f t="array" ref="AG185">IF(U185="",0,_xlfn.XLOOKUP(E185&amp;U185&amp;F185,tab_act&amp;tab_mod&amp;tab_act1,tab_pdoz)*V185*T185/MGMT)</f>
        <v>0.49170000000000003</v>
      </c>
      <c r="AH185" s="46" cm="1">
        <f t="array" ref="AH185">IF(U185="",0,_xlfn.XLOOKUP(E185&amp;U185&amp;F185,tab_act&amp;tab_mod&amp;tab_act1,tab_lns)*V185*T185/MGMT)</f>
        <v>0</v>
      </c>
      <c r="AI185" s="47">
        <f t="shared" si="18"/>
        <v>0.49170000000000003</v>
      </c>
      <c r="AJ185" s="48" cm="1">
        <f t="array" ref="AJ185">IF(U185="",0,_xlfn.XLOOKUP(E185&amp;U185&amp;F185,tab_act&amp;tab_mod&amp;tab_act1,tab_cash)*T185)</f>
        <v>0</v>
      </c>
      <c r="AK185" s="134" cm="1">
        <f t="array" ref="AK185">IF(B185="",0,IF(C185="",0,AJ185/_xlfn.XLOOKUP(B185&amp;C185,RMth&amp;RYr,RAr)))</f>
        <v>0</v>
      </c>
      <c r="AN185" s="146" t="str">
        <f t="shared" si="20"/>
        <v>A</v>
      </c>
    </row>
    <row r="186" spans="2:40" x14ac:dyDescent="0.35">
      <c r="B186" s="132" t="s">
        <v>128</v>
      </c>
      <c r="C186" s="44">
        <v>2023</v>
      </c>
      <c r="D186" s="44" t="s">
        <v>100</v>
      </c>
      <c r="E186" s="15" t="s">
        <v>39</v>
      </c>
      <c r="F186" s="108" t="s">
        <v>22</v>
      </c>
      <c r="G186" s="15" t="s">
        <v>159</v>
      </c>
      <c r="H186" s="44"/>
      <c r="I186" s="15" t="s">
        <v>94</v>
      </c>
      <c r="J186" s="15" t="s">
        <v>94</v>
      </c>
      <c r="K186" s="15" t="s">
        <v>160</v>
      </c>
      <c r="L186" s="15" t="s">
        <v>95</v>
      </c>
      <c r="M186" s="15" t="s">
        <v>94</v>
      </c>
      <c r="N186" s="15" t="s">
        <v>67</v>
      </c>
      <c r="O186" s="15" t="s">
        <v>182</v>
      </c>
      <c r="P186" s="15" t="s">
        <v>186</v>
      </c>
      <c r="Q186" s="42">
        <v>114.4</v>
      </c>
      <c r="R186" s="42">
        <v>134.19999999999999</v>
      </c>
      <c r="S186" s="42">
        <v>248.6</v>
      </c>
      <c r="T186" s="43">
        <v>248.6</v>
      </c>
      <c r="U186" s="44" t="s">
        <v>41</v>
      </c>
      <c r="V186" s="153">
        <v>30</v>
      </c>
      <c r="W186" s="45" cm="1">
        <f t="array" ref="W186">IF(U186="",0,_xlfn.XLOOKUP(E186&amp;U186&amp;F186,tab_act&amp;tab_mod&amp;tab_act1,tab_riz)*V186*T186/MGMT)</f>
        <v>0</v>
      </c>
      <c r="X186" s="42" cm="1">
        <f t="array" ref="X186">IF(U186="",0,_xlfn.XLOOKUP(E186&amp;U186&amp;F186,tab_act&amp;tab_mod&amp;tab_act1,tab_mc)*V186*T186/MGMT)</f>
        <v>0</v>
      </c>
      <c r="Y186" s="42" cm="1">
        <f t="array" ref="Y186">IF(U186="",0,_xlfn.XLOOKUP(E186&amp;U186&amp;F186,tab_act&amp;tab_mod&amp;tab_act1,tab_sor)*V186*T186/MGMT)</f>
        <v>0</v>
      </c>
      <c r="Z186" s="42" cm="1">
        <f t="array" ref="Z186">IF(U186="",0,_xlfn.XLOOKUP(E186&amp;U186&amp;F186,tab_act&amp;tab_mod&amp;tab_act1,tab_mg)*V186*T186/MGMT)</f>
        <v>0</v>
      </c>
      <c r="AA186" s="46" cm="1">
        <f t="array" ref="AA186">IF(U186="",0,IF(U186="hybrid-Sch",_xlfn.XLOOKUP(E186&amp;U186&amp;F186,tab_act&amp;tab_mod&amp;tab_act1,tab_ls)*SchLS*T186/MGMT,_xlfn.XLOOKUP(E186&amp;U186&amp;F186,tab_act&amp;tab_mod&amp;tab_act1,tab_ls)*V186*T186/MGMT))</f>
        <v>0</v>
      </c>
      <c r="AB186" s="46" cm="1">
        <f t="array" ref="AB186">IF(U186="",0,_xlfn.XLOOKUP(E186&amp;U186&amp;F186,tab_act&amp;tab_mod&amp;tab_act1,tab_hu)*V186*T186/MGMT)</f>
        <v>0</v>
      </c>
      <c r="AC186" s="46" cm="1">
        <f t="array" ref="AC186">IF(U186="",0,_xlfn.XLOOKUP(E186&amp;U186&amp;F186,tab_act&amp;tab_mod&amp;tab_act1,tab_mnp)*V186*T186/MGMT)</f>
        <v>0</v>
      </c>
      <c r="AD186" s="46" cm="1">
        <f t="array" ref="AD186">IF(U186="",0,_xlfn.XLOOKUP(E186&amp;U186&amp;F186,tab_act&amp;tab_mod&amp;tab_act1,tab_Psup)*V186*T186/MGMT)</f>
        <v>0</v>
      </c>
      <c r="AE186" s="46" cm="1">
        <f t="array" ref="AE186">IF(U186="",0,_xlfn.XLOOKUP(E186&amp;U186&amp;F186,tab_act&amp;tab_mod&amp;tab_act1,tab_csb1)*V186*T186/MGMT)</f>
        <v>0</v>
      </c>
      <c r="AF186" s="46" cm="1">
        <f t="array" ref="AF186">IF(U186="",0,_xlfn.XLOOKUP(E186&amp;U186&amp;F186,tab_act&amp;tab_mod&amp;tab_act1,tab_csb2)*V186*T186/MGMT)</f>
        <v>0</v>
      </c>
      <c r="AG186" s="109" cm="1">
        <f t="array" ref="AG186">IF(U186="",0,_xlfn.XLOOKUP(E186&amp;U186&amp;F186,tab_act&amp;tab_mod&amp;tab_act1,tab_pdoz)*V186*T186/MGMT)</f>
        <v>0.37290000000000001</v>
      </c>
      <c r="AH186" s="46" cm="1">
        <f t="array" ref="AH186">IF(U186="",0,_xlfn.XLOOKUP(E186&amp;U186&amp;F186,tab_act&amp;tab_mod&amp;tab_act1,tab_lns)*V186*T186/MGMT)</f>
        <v>0</v>
      </c>
      <c r="AI186" s="47">
        <f t="shared" si="18"/>
        <v>0.37290000000000001</v>
      </c>
      <c r="AJ186" s="48" cm="1">
        <f t="array" ref="AJ186">IF(U186="",0,_xlfn.XLOOKUP(E186&amp;U186&amp;F186,tab_act&amp;tab_mod&amp;tab_act1,tab_cash)*T186)</f>
        <v>0</v>
      </c>
      <c r="AK186" s="134" cm="1">
        <f t="array" ref="AK186">IF(B186="",0,IF(C186="",0,AJ186/_xlfn.XLOOKUP(B186&amp;C186,RMth&amp;RYr,RAr)))</f>
        <v>0</v>
      </c>
      <c r="AN186" s="146" t="str">
        <f t="shared" si="20"/>
        <v>A</v>
      </c>
    </row>
    <row r="187" spans="2:40" x14ac:dyDescent="0.35">
      <c r="B187" s="132" t="s">
        <v>128</v>
      </c>
      <c r="C187" s="44">
        <v>2023</v>
      </c>
      <c r="D187" s="44" t="s">
        <v>100</v>
      </c>
      <c r="E187" s="15" t="s">
        <v>39</v>
      </c>
      <c r="F187" s="108" t="s">
        <v>22</v>
      </c>
      <c r="G187" s="15" t="s">
        <v>159</v>
      </c>
      <c r="H187" s="44"/>
      <c r="I187" s="15" t="s">
        <v>94</v>
      </c>
      <c r="J187" s="15" t="s">
        <v>94</v>
      </c>
      <c r="K187" s="15" t="s">
        <v>160</v>
      </c>
      <c r="L187" s="15" t="s">
        <v>95</v>
      </c>
      <c r="M187" s="15" t="s">
        <v>94</v>
      </c>
      <c r="N187" s="15" t="s">
        <v>67</v>
      </c>
      <c r="O187" s="15" t="s">
        <v>182</v>
      </c>
      <c r="P187" s="15" t="s">
        <v>187</v>
      </c>
      <c r="Q187" s="42">
        <v>86.9</v>
      </c>
      <c r="R187" s="42">
        <v>133.1</v>
      </c>
      <c r="S187" s="42">
        <v>220</v>
      </c>
      <c r="T187" s="43">
        <v>220</v>
      </c>
      <c r="U187" s="44" t="s">
        <v>41</v>
      </c>
      <c r="V187" s="153">
        <v>30</v>
      </c>
      <c r="W187" s="45" cm="1">
        <f t="array" ref="W187">IF(U187="",0,_xlfn.XLOOKUP(E187&amp;U187&amp;F187,tab_act&amp;tab_mod&amp;tab_act1,tab_riz)*V187*T187/MGMT)</f>
        <v>0</v>
      </c>
      <c r="X187" s="42" cm="1">
        <f t="array" ref="X187">IF(U187="",0,_xlfn.XLOOKUP(E187&amp;U187&amp;F187,tab_act&amp;tab_mod&amp;tab_act1,tab_mc)*V187*T187/MGMT)</f>
        <v>0</v>
      </c>
      <c r="Y187" s="42" cm="1">
        <f t="array" ref="Y187">IF(U187="",0,_xlfn.XLOOKUP(E187&amp;U187&amp;F187,tab_act&amp;tab_mod&amp;tab_act1,tab_sor)*V187*T187/MGMT)</f>
        <v>0</v>
      </c>
      <c r="Z187" s="42" cm="1">
        <f t="array" ref="Z187">IF(U187="",0,_xlfn.XLOOKUP(E187&amp;U187&amp;F187,tab_act&amp;tab_mod&amp;tab_act1,tab_mg)*V187*T187/MGMT)</f>
        <v>0</v>
      </c>
      <c r="AA187" s="46" cm="1">
        <f t="array" ref="AA187">IF(U187="",0,IF(U187="hybrid-Sch",_xlfn.XLOOKUP(E187&amp;U187&amp;F187,tab_act&amp;tab_mod&amp;tab_act1,tab_ls)*SchLS*T187/MGMT,_xlfn.XLOOKUP(E187&amp;U187&amp;F187,tab_act&amp;tab_mod&amp;tab_act1,tab_ls)*V187*T187/MGMT))</f>
        <v>0</v>
      </c>
      <c r="AB187" s="46" cm="1">
        <f t="array" ref="AB187">IF(U187="",0,_xlfn.XLOOKUP(E187&amp;U187&amp;F187,tab_act&amp;tab_mod&amp;tab_act1,tab_hu)*V187*T187/MGMT)</f>
        <v>0</v>
      </c>
      <c r="AC187" s="46" cm="1">
        <f t="array" ref="AC187">IF(U187="",0,_xlfn.XLOOKUP(E187&amp;U187&amp;F187,tab_act&amp;tab_mod&amp;tab_act1,tab_mnp)*V187*T187/MGMT)</f>
        <v>0</v>
      </c>
      <c r="AD187" s="46" cm="1">
        <f t="array" ref="AD187">IF(U187="",0,_xlfn.XLOOKUP(E187&amp;U187&amp;F187,tab_act&amp;tab_mod&amp;tab_act1,tab_Psup)*V187*T187/MGMT)</f>
        <v>0</v>
      </c>
      <c r="AE187" s="46" cm="1">
        <f t="array" ref="AE187">IF(U187="",0,_xlfn.XLOOKUP(E187&amp;U187&amp;F187,tab_act&amp;tab_mod&amp;tab_act1,tab_csb1)*V187*T187/MGMT)</f>
        <v>0</v>
      </c>
      <c r="AF187" s="46" cm="1">
        <f t="array" ref="AF187">IF(U187="",0,_xlfn.XLOOKUP(E187&amp;U187&amp;F187,tab_act&amp;tab_mod&amp;tab_act1,tab_csb2)*V187*T187/MGMT)</f>
        <v>0</v>
      </c>
      <c r="AG187" s="109" cm="1">
        <f t="array" ref="AG187">IF(U187="",0,_xlfn.XLOOKUP(E187&amp;U187&amp;F187,tab_act&amp;tab_mod&amp;tab_act1,tab_pdoz)*V187*T187/MGMT)</f>
        <v>0.33</v>
      </c>
      <c r="AH187" s="46" cm="1">
        <f t="array" ref="AH187">IF(U187="",0,_xlfn.XLOOKUP(E187&amp;U187&amp;F187,tab_act&amp;tab_mod&amp;tab_act1,tab_lns)*V187*T187/MGMT)</f>
        <v>0</v>
      </c>
      <c r="AI187" s="47">
        <f t="shared" si="18"/>
        <v>0.33</v>
      </c>
      <c r="AJ187" s="48" cm="1">
        <f t="array" ref="AJ187">IF(U187="",0,_xlfn.XLOOKUP(E187&amp;U187&amp;F187,tab_act&amp;tab_mod&amp;tab_act1,tab_cash)*T187)</f>
        <v>0</v>
      </c>
      <c r="AK187" s="134" cm="1">
        <f t="array" ref="AK187">IF(B187="",0,IF(C187="",0,AJ187/_xlfn.XLOOKUP(B187&amp;C187,RMth&amp;RYr,RAr)))</f>
        <v>0</v>
      </c>
      <c r="AN187" s="146" t="str">
        <f t="shared" si="20"/>
        <v>A</v>
      </c>
    </row>
    <row r="188" spans="2:40" x14ac:dyDescent="0.35">
      <c r="B188" s="132" t="s">
        <v>128</v>
      </c>
      <c r="C188" s="44">
        <v>2023</v>
      </c>
      <c r="D188" s="44" t="s">
        <v>100</v>
      </c>
      <c r="E188" s="15" t="s">
        <v>39</v>
      </c>
      <c r="F188" s="108" t="s">
        <v>22</v>
      </c>
      <c r="G188" s="15" t="s">
        <v>159</v>
      </c>
      <c r="H188" s="44"/>
      <c r="I188" s="15" t="s">
        <v>94</v>
      </c>
      <c r="J188" s="15" t="s">
        <v>94</v>
      </c>
      <c r="K188" s="15" t="s">
        <v>160</v>
      </c>
      <c r="L188" s="15" t="s">
        <v>95</v>
      </c>
      <c r="M188" s="15" t="s">
        <v>94</v>
      </c>
      <c r="N188" s="15" t="s">
        <v>67</v>
      </c>
      <c r="O188" s="15" t="s">
        <v>182</v>
      </c>
      <c r="P188" s="15" t="s">
        <v>188</v>
      </c>
      <c r="Q188" s="42">
        <v>61.6</v>
      </c>
      <c r="R188" s="42">
        <v>77</v>
      </c>
      <c r="S188" s="42">
        <v>138.6</v>
      </c>
      <c r="T188" s="43">
        <v>138.6</v>
      </c>
      <c r="U188" s="44" t="s">
        <v>41</v>
      </c>
      <c r="V188" s="153">
        <v>30</v>
      </c>
      <c r="W188" s="45" cm="1">
        <f t="array" ref="W188">IF(U188="",0,_xlfn.XLOOKUP(E188&amp;U188&amp;F188,tab_act&amp;tab_mod&amp;tab_act1,tab_riz)*V188*T188/MGMT)</f>
        <v>0</v>
      </c>
      <c r="X188" s="42" cm="1">
        <f t="array" ref="X188">IF(U188="",0,_xlfn.XLOOKUP(E188&amp;U188&amp;F188,tab_act&amp;tab_mod&amp;tab_act1,tab_mc)*V188*T188/MGMT)</f>
        <v>0</v>
      </c>
      <c r="Y188" s="42" cm="1">
        <f t="array" ref="Y188">IF(U188="",0,_xlfn.XLOOKUP(E188&amp;U188&amp;F188,tab_act&amp;tab_mod&amp;tab_act1,tab_sor)*V188*T188/MGMT)</f>
        <v>0</v>
      </c>
      <c r="Z188" s="42" cm="1">
        <f t="array" ref="Z188">IF(U188="",0,_xlfn.XLOOKUP(E188&amp;U188&amp;F188,tab_act&amp;tab_mod&amp;tab_act1,tab_mg)*V188*T188/MGMT)</f>
        <v>0</v>
      </c>
      <c r="AA188" s="46" cm="1">
        <f t="array" ref="AA188">IF(U188="",0,IF(U188="hybrid-Sch",_xlfn.XLOOKUP(E188&amp;U188&amp;F188,tab_act&amp;tab_mod&amp;tab_act1,tab_ls)*SchLS*T188/MGMT,_xlfn.XLOOKUP(E188&amp;U188&amp;F188,tab_act&amp;tab_mod&amp;tab_act1,tab_ls)*V188*T188/MGMT))</f>
        <v>0</v>
      </c>
      <c r="AB188" s="46" cm="1">
        <f t="array" ref="AB188">IF(U188="",0,_xlfn.XLOOKUP(E188&amp;U188&amp;F188,tab_act&amp;tab_mod&amp;tab_act1,tab_hu)*V188*T188/MGMT)</f>
        <v>0</v>
      </c>
      <c r="AC188" s="46" cm="1">
        <f t="array" ref="AC188">IF(U188="",0,_xlfn.XLOOKUP(E188&amp;U188&amp;F188,tab_act&amp;tab_mod&amp;tab_act1,tab_mnp)*V188*T188/MGMT)</f>
        <v>0</v>
      </c>
      <c r="AD188" s="46" cm="1">
        <f t="array" ref="AD188">IF(U188="",0,_xlfn.XLOOKUP(E188&amp;U188&amp;F188,tab_act&amp;tab_mod&amp;tab_act1,tab_Psup)*V188*T188/MGMT)</f>
        <v>0</v>
      </c>
      <c r="AE188" s="46" cm="1">
        <f t="array" ref="AE188">IF(U188="",0,_xlfn.XLOOKUP(E188&amp;U188&amp;F188,tab_act&amp;tab_mod&amp;tab_act1,tab_csb1)*V188*T188/MGMT)</f>
        <v>0</v>
      </c>
      <c r="AF188" s="46" cm="1">
        <f t="array" ref="AF188">IF(U188="",0,_xlfn.XLOOKUP(E188&amp;U188&amp;F188,tab_act&amp;tab_mod&amp;tab_act1,tab_csb2)*V188*T188/MGMT)</f>
        <v>0</v>
      </c>
      <c r="AG188" s="109" cm="1">
        <f t="array" ref="AG188">IF(U188="",0,_xlfn.XLOOKUP(E188&amp;U188&amp;F188,tab_act&amp;tab_mod&amp;tab_act1,tab_pdoz)*V188*T188/MGMT)</f>
        <v>0.2079</v>
      </c>
      <c r="AH188" s="46" cm="1">
        <f t="array" ref="AH188">IF(U188="",0,_xlfn.XLOOKUP(E188&amp;U188&amp;F188,tab_act&amp;tab_mod&amp;tab_act1,tab_lns)*V188*T188/MGMT)</f>
        <v>0</v>
      </c>
      <c r="AI188" s="47">
        <f t="shared" si="18"/>
        <v>0.2079</v>
      </c>
      <c r="AJ188" s="48" cm="1">
        <f t="array" ref="AJ188">IF(U188="",0,_xlfn.XLOOKUP(E188&amp;U188&amp;F188,tab_act&amp;tab_mod&amp;tab_act1,tab_cash)*T188)</f>
        <v>0</v>
      </c>
      <c r="AK188" s="134" cm="1">
        <f t="array" ref="AK188">IF(B188="",0,IF(C188="",0,AJ188/_xlfn.XLOOKUP(B188&amp;C188,RMth&amp;RYr,RAr)))</f>
        <v>0</v>
      </c>
      <c r="AN188" s="146" t="str">
        <f t="shared" si="20"/>
        <v>A</v>
      </c>
    </row>
    <row r="189" spans="2:40" x14ac:dyDescent="0.35">
      <c r="B189" s="132" t="s">
        <v>128</v>
      </c>
      <c r="C189" s="44">
        <v>2023</v>
      </c>
      <c r="D189" s="44" t="s">
        <v>100</v>
      </c>
      <c r="E189" s="15" t="s">
        <v>39</v>
      </c>
      <c r="F189" s="108" t="s">
        <v>22</v>
      </c>
      <c r="G189" s="15" t="s">
        <v>159</v>
      </c>
      <c r="H189" s="44"/>
      <c r="I189" s="15" t="s">
        <v>94</v>
      </c>
      <c r="J189" s="15" t="s">
        <v>94</v>
      </c>
      <c r="K189" s="15" t="s">
        <v>160</v>
      </c>
      <c r="L189" s="15" t="s">
        <v>95</v>
      </c>
      <c r="M189" s="15" t="s">
        <v>94</v>
      </c>
      <c r="N189" s="15" t="s">
        <v>67</v>
      </c>
      <c r="O189" s="15" t="s">
        <v>182</v>
      </c>
      <c r="P189" s="15" t="s">
        <v>189</v>
      </c>
      <c r="Q189" s="42">
        <v>77</v>
      </c>
      <c r="R189" s="42">
        <v>82.5</v>
      </c>
      <c r="S189" s="42">
        <v>159.5</v>
      </c>
      <c r="T189" s="43">
        <v>159.5</v>
      </c>
      <c r="U189" s="44" t="s">
        <v>41</v>
      </c>
      <c r="V189" s="153">
        <v>30</v>
      </c>
      <c r="W189" s="45" cm="1">
        <f t="array" ref="W189">IF(U189="",0,_xlfn.XLOOKUP(E189&amp;U189&amp;F189,tab_act&amp;tab_mod&amp;tab_act1,tab_riz)*V189*T189/MGMT)</f>
        <v>0</v>
      </c>
      <c r="X189" s="42" cm="1">
        <f t="array" ref="X189">IF(U189="",0,_xlfn.XLOOKUP(E189&amp;U189&amp;F189,tab_act&amp;tab_mod&amp;tab_act1,tab_mc)*V189*T189/MGMT)</f>
        <v>0</v>
      </c>
      <c r="Y189" s="42" cm="1">
        <f t="array" ref="Y189">IF(U189="",0,_xlfn.XLOOKUP(E189&amp;U189&amp;F189,tab_act&amp;tab_mod&amp;tab_act1,tab_sor)*V189*T189/MGMT)</f>
        <v>0</v>
      </c>
      <c r="Z189" s="42" cm="1">
        <f t="array" ref="Z189">IF(U189="",0,_xlfn.XLOOKUP(E189&amp;U189&amp;F189,tab_act&amp;tab_mod&amp;tab_act1,tab_mg)*V189*T189/MGMT)</f>
        <v>0</v>
      </c>
      <c r="AA189" s="46" cm="1">
        <f t="array" ref="AA189">IF(U189="",0,IF(U189="hybrid-Sch",_xlfn.XLOOKUP(E189&amp;U189&amp;F189,tab_act&amp;tab_mod&amp;tab_act1,tab_ls)*SchLS*T189/MGMT,_xlfn.XLOOKUP(E189&amp;U189&amp;F189,tab_act&amp;tab_mod&amp;tab_act1,tab_ls)*V189*T189/MGMT))</f>
        <v>0</v>
      </c>
      <c r="AB189" s="46" cm="1">
        <f t="array" ref="AB189">IF(U189="",0,_xlfn.XLOOKUP(E189&amp;U189&amp;F189,tab_act&amp;tab_mod&amp;tab_act1,tab_hu)*V189*T189/MGMT)</f>
        <v>0</v>
      </c>
      <c r="AC189" s="46" cm="1">
        <f t="array" ref="AC189">IF(U189="",0,_xlfn.XLOOKUP(E189&amp;U189&amp;F189,tab_act&amp;tab_mod&amp;tab_act1,tab_mnp)*V189*T189/MGMT)</f>
        <v>0</v>
      </c>
      <c r="AD189" s="46" cm="1">
        <f t="array" ref="AD189">IF(U189="",0,_xlfn.XLOOKUP(E189&amp;U189&amp;F189,tab_act&amp;tab_mod&amp;tab_act1,tab_Psup)*V189*T189/MGMT)</f>
        <v>0</v>
      </c>
      <c r="AE189" s="46" cm="1">
        <f t="array" ref="AE189">IF(U189="",0,_xlfn.XLOOKUP(E189&amp;U189&amp;F189,tab_act&amp;tab_mod&amp;tab_act1,tab_csb1)*V189*T189/MGMT)</f>
        <v>0</v>
      </c>
      <c r="AF189" s="46" cm="1">
        <f t="array" ref="AF189">IF(U189="",0,_xlfn.XLOOKUP(E189&amp;U189&amp;F189,tab_act&amp;tab_mod&amp;tab_act1,tab_csb2)*V189*T189/MGMT)</f>
        <v>0</v>
      </c>
      <c r="AG189" s="109" cm="1">
        <f t="array" ref="AG189">IF(U189="",0,_xlfn.XLOOKUP(E189&amp;U189&amp;F189,tab_act&amp;tab_mod&amp;tab_act1,tab_pdoz)*V189*T189/MGMT)</f>
        <v>0.23924999999999999</v>
      </c>
      <c r="AH189" s="46" cm="1">
        <f t="array" ref="AH189">IF(U189="",0,_xlfn.XLOOKUP(E189&amp;U189&amp;F189,tab_act&amp;tab_mod&amp;tab_act1,tab_lns)*V189*T189/MGMT)</f>
        <v>0</v>
      </c>
      <c r="AI189" s="47">
        <f t="shared" si="18"/>
        <v>0.23924999999999999</v>
      </c>
      <c r="AJ189" s="48" cm="1">
        <f t="array" ref="AJ189">IF(U189="",0,_xlfn.XLOOKUP(E189&amp;U189&amp;F189,tab_act&amp;tab_mod&amp;tab_act1,tab_cash)*T189)</f>
        <v>0</v>
      </c>
      <c r="AK189" s="134" cm="1">
        <f t="array" ref="AK189">IF(B189="",0,IF(C189="",0,AJ189/_xlfn.XLOOKUP(B189&amp;C189,RMth&amp;RYr,RAr)))</f>
        <v>0</v>
      </c>
      <c r="AN189" s="146" t="str">
        <f t="shared" si="20"/>
        <v>A</v>
      </c>
    </row>
    <row r="190" spans="2:40" x14ac:dyDescent="0.35">
      <c r="B190" s="132" t="s">
        <v>128</v>
      </c>
      <c r="C190" s="44">
        <v>2023</v>
      </c>
      <c r="D190" s="44" t="s">
        <v>100</v>
      </c>
      <c r="E190" s="15" t="s">
        <v>39</v>
      </c>
      <c r="F190" s="108" t="s">
        <v>22</v>
      </c>
      <c r="G190" s="15" t="s">
        <v>159</v>
      </c>
      <c r="H190" s="44"/>
      <c r="I190" s="15" t="s">
        <v>94</v>
      </c>
      <c r="J190" s="15" t="s">
        <v>94</v>
      </c>
      <c r="K190" s="15" t="s">
        <v>160</v>
      </c>
      <c r="L190" s="15" t="s">
        <v>95</v>
      </c>
      <c r="M190" s="15" t="s">
        <v>94</v>
      </c>
      <c r="N190" s="15" t="s">
        <v>67</v>
      </c>
      <c r="O190" s="15" t="s">
        <v>182</v>
      </c>
      <c r="P190" s="15" t="s">
        <v>190</v>
      </c>
      <c r="Q190" s="42">
        <v>250.8</v>
      </c>
      <c r="R190" s="42">
        <v>147.4</v>
      </c>
      <c r="S190" s="42">
        <v>398.20000000000005</v>
      </c>
      <c r="T190" s="43">
        <v>398.20000000000005</v>
      </c>
      <c r="U190" s="44" t="s">
        <v>41</v>
      </c>
      <c r="V190" s="153">
        <v>30</v>
      </c>
      <c r="W190" s="45" cm="1">
        <f t="array" ref="W190">IF(U190="",0,_xlfn.XLOOKUP(E190&amp;U190&amp;F190,tab_act&amp;tab_mod&amp;tab_act1,tab_riz)*V190*T190/MGMT)</f>
        <v>0</v>
      </c>
      <c r="X190" s="42" cm="1">
        <f t="array" ref="X190">IF(U190="",0,_xlfn.XLOOKUP(E190&amp;U190&amp;F190,tab_act&amp;tab_mod&amp;tab_act1,tab_mc)*V190*T190/MGMT)</f>
        <v>0</v>
      </c>
      <c r="Y190" s="42" cm="1">
        <f t="array" ref="Y190">IF(U190="",0,_xlfn.XLOOKUP(E190&amp;U190&amp;F190,tab_act&amp;tab_mod&amp;tab_act1,tab_sor)*V190*T190/MGMT)</f>
        <v>0</v>
      </c>
      <c r="Z190" s="42" cm="1">
        <f t="array" ref="Z190">IF(U190="",0,_xlfn.XLOOKUP(E190&amp;U190&amp;F190,tab_act&amp;tab_mod&amp;tab_act1,tab_mg)*V190*T190/MGMT)</f>
        <v>0</v>
      </c>
      <c r="AA190" s="46" cm="1">
        <f t="array" ref="AA190">IF(U190="",0,IF(U190="hybrid-Sch",_xlfn.XLOOKUP(E190&amp;U190&amp;F190,tab_act&amp;tab_mod&amp;tab_act1,tab_ls)*SchLS*T190/MGMT,_xlfn.XLOOKUP(E190&amp;U190&amp;F190,tab_act&amp;tab_mod&amp;tab_act1,tab_ls)*V190*T190/MGMT))</f>
        <v>0</v>
      </c>
      <c r="AB190" s="46" cm="1">
        <f t="array" ref="AB190">IF(U190="",0,_xlfn.XLOOKUP(E190&amp;U190&amp;F190,tab_act&amp;tab_mod&amp;tab_act1,tab_hu)*V190*T190/MGMT)</f>
        <v>0</v>
      </c>
      <c r="AC190" s="46" cm="1">
        <f t="array" ref="AC190">IF(U190="",0,_xlfn.XLOOKUP(E190&amp;U190&amp;F190,tab_act&amp;tab_mod&amp;tab_act1,tab_mnp)*V190*T190/MGMT)</f>
        <v>0</v>
      </c>
      <c r="AD190" s="46" cm="1">
        <f t="array" ref="AD190">IF(U190="",0,_xlfn.XLOOKUP(E190&amp;U190&amp;F190,tab_act&amp;tab_mod&amp;tab_act1,tab_Psup)*V190*T190/MGMT)</f>
        <v>0</v>
      </c>
      <c r="AE190" s="46" cm="1">
        <f t="array" ref="AE190">IF(U190="",0,_xlfn.XLOOKUP(E190&amp;U190&amp;F190,tab_act&amp;tab_mod&amp;tab_act1,tab_csb1)*V190*T190/MGMT)</f>
        <v>0</v>
      </c>
      <c r="AF190" s="46" cm="1">
        <f t="array" ref="AF190">IF(U190="",0,_xlfn.XLOOKUP(E190&amp;U190&amp;F190,tab_act&amp;tab_mod&amp;tab_act1,tab_csb2)*V190*T190/MGMT)</f>
        <v>0</v>
      </c>
      <c r="AG190" s="109" cm="1">
        <f t="array" ref="AG190">IF(U190="",0,_xlfn.XLOOKUP(E190&amp;U190&amp;F190,tab_act&amp;tab_mod&amp;tab_act1,tab_pdoz)*V190*T190/MGMT)</f>
        <v>0.59730000000000016</v>
      </c>
      <c r="AH190" s="46" cm="1">
        <f t="array" ref="AH190">IF(U190="",0,_xlfn.XLOOKUP(E190&amp;U190&amp;F190,tab_act&amp;tab_mod&amp;tab_act1,tab_lns)*V190*T190/MGMT)</f>
        <v>0</v>
      </c>
      <c r="AI190" s="47">
        <f t="shared" si="18"/>
        <v>0.59730000000000016</v>
      </c>
      <c r="AJ190" s="48" cm="1">
        <f t="array" ref="AJ190">IF(U190="",0,_xlfn.XLOOKUP(E190&amp;U190&amp;F190,tab_act&amp;tab_mod&amp;tab_act1,tab_cash)*T190)</f>
        <v>0</v>
      </c>
      <c r="AK190" s="134" cm="1">
        <f t="array" ref="AK190">IF(B190="",0,IF(C190="",0,AJ190/_xlfn.XLOOKUP(B190&amp;C190,RMth&amp;RYr,RAr)))</f>
        <v>0</v>
      </c>
      <c r="AN190" s="146" t="str">
        <f t="shared" si="20"/>
        <v>A</v>
      </c>
    </row>
    <row r="191" spans="2:40" x14ac:dyDescent="0.35">
      <c r="B191" s="132" t="s">
        <v>128</v>
      </c>
      <c r="C191" s="44">
        <v>2023</v>
      </c>
      <c r="D191" s="44" t="s">
        <v>100</v>
      </c>
      <c r="E191" s="15" t="s">
        <v>39</v>
      </c>
      <c r="F191" s="108" t="s">
        <v>22</v>
      </c>
      <c r="G191" s="15" t="s">
        <v>159</v>
      </c>
      <c r="H191" s="44"/>
      <c r="I191" s="15" t="s">
        <v>94</v>
      </c>
      <c r="J191" s="15" t="s">
        <v>94</v>
      </c>
      <c r="K191" s="15" t="s">
        <v>160</v>
      </c>
      <c r="L191" s="15" t="s">
        <v>95</v>
      </c>
      <c r="M191" s="15" t="s">
        <v>94</v>
      </c>
      <c r="N191" s="15" t="s">
        <v>67</v>
      </c>
      <c r="O191" s="15" t="s">
        <v>182</v>
      </c>
      <c r="P191" s="15" t="s">
        <v>191</v>
      </c>
      <c r="Q191" s="42">
        <v>81.400000000000006</v>
      </c>
      <c r="R191" s="42">
        <v>72.599999999999994</v>
      </c>
      <c r="S191" s="42">
        <v>154</v>
      </c>
      <c r="T191" s="43">
        <v>154</v>
      </c>
      <c r="U191" s="44" t="s">
        <v>41</v>
      </c>
      <c r="V191" s="153">
        <v>30</v>
      </c>
      <c r="W191" s="45" cm="1">
        <f t="array" ref="W191">IF(U191="",0,_xlfn.XLOOKUP(E191&amp;U191&amp;F191,tab_act&amp;tab_mod&amp;tab_act1,tab_riz)*V191*T191/MGMT)</f>
        <v>0</v>
      </c>
      <c r="X191" s="42" cm="1">
        <f t="array" ref="X191">IF(U191="",0,_xlfn.XLOOKUP(E191&amp;U191&amp;F191,tab_act&amp;tab_mod&amp;tab_act1,tab_mc)*V191*T191/MGMT)</f>
        <v>0</v>
      </c>
      <c r="Y191" s="42" cm="1">
        <f t="array" ref="Y191">IF(U191="",0,_xlfn.XLOOKUP(E191&amp;U191&amp;F191,tab_act&amp;tab_mod&amp;tab_act1,tab_sor)*V191*T191/MGMT)</f>
        <v>0</v>
      </c>
      <c r="Z191" s="42" cm="1">
        <f t="array" ref="Z191">IF(U191="",0,_xlfn.XLOOKUP(E191&amp;U191&amp;F191,tab_act&amp;tab_mod&amp;tab_act1,tab_mg)*V191*T191/MGMT)</f>
        <v>0</v>
      </c>
      <c r="AA191" s="46" cm="1">
        <f t="array" ref="AA191">IF(U191="",0,IF(U191="hybrid-Sch",_xlfn.XLOOKUP(E191&amp;U191&amp;F191,tab_act&amp;tab_mod&amp;tab_act1,tab_ls)*SchLS*T191/MGMT,_xlfn.XLOOKUP(E191&amp;U191&amp;F191,tab_act&amp;tab_mod&amp;tab_act1,tab_ls)*V191*T191/MGMT))</f>
        <v>0</v>
      </c>
      <c r="AB191" s="46" cm="1">
        <f t="array" ref="AB191">IF(U191="",0,_xlfn.XLOOKUP(E191&amp;U191&amp;F191,tab_act&amp;tab_mod&amp;tab_act1,tab_hu)*V191*T191/MGMT)</f>
        <v>0</v>
      </c>
      <c r="AC191" s="46" cm="1">
        <f t="array" ref="AC191">IF(U191="",0,_xlfn.XLOOKUP(E191&amp;U191&amp;F191,tab_act&amp;tab_mod&amp;tab_act1,tab_mnp)*V191*T191/MGMT)</f>
        <v>0</v>
      </c>
      <c r="AD191" s="46" cm="1">
        <f t="array" ref="AD191">IF(U191="",0,_xlfn.XLOOKUP(E191&amp;U191&amp;F191,tab_act&amp;tab_mod&amp;tab_act1,tab_Psup)*V191*T191/MGMT)</f>
        <v>0</v>
      </c>
      <c r="AE191" s="46" cm="1">
        <f t="array" ref="AE191">IF(U191="",0,_xlfn.XLOOKUP(E191&amp;U191&amp;F191,tab_act&amp;tab_mod&amp;tab_act1,tab_csb1)*V191*T191/MGMT)</f>
        <v>0</v>
      </c>
      <c r="AF191" s="46" cm="1">
        <f t="array" ref="AF191">IF(U191="",0,_xlfn.XLOOKUP(E191&amp;U191&amp;F191,tab_act&amp;tab_mod&amp;tab_act1,tab_csb2)*V191*T191/MGMT)</f>
        <v>0</v>
      </c>
      <c r="AG191" s="109" cm="1">
        <f t="array" ref="AG191">IF(U191="",0,_xlfn.XLOOKUP(E191&amp;U191&amp;F191,tab_act&amp;tab_mod&amp;tab_act1,tab_pdoz)*V191*T191/MGMT)</f>
        <v>0.23100000000000001</v>
      </c>
      <c r="AH191" s="46" cm="1">
        <f t="array" ref="AH191">IF(U191="",0,_xlfn.XLOOKUP(E191&amp;U191&amp;F191,tab_act&amp;tab_mod&amp;tab_act1,tab_lns)*V191*T191/MGMT)</f>
        <v>0</v>
      </c>
      <c r="AI191" s="47">
        <f t="shared" si="18"/>
        <v>0.23100000000000001</v>
      </c>
      <c r="AJ191" s="48" cm="1">
        <f t="array" ref="AJ191">IF(U191="",0,_xlfn.XLOOKUP(E191&amp;U191&amp;F191,tab_act&amp;tab_mod&amp;tab_act1,tab_cash)*T191)</f>
        <v>0</v>
      </c>
      <c r="AK191" s="134" cm="1">
        <f t="array" ref="AK191">IF(B191="",0,IF(C191="",0,AJ191/_xlfn.XLOOKUP(B191&amp;C191,RMth&amp;RYr,RAr)))</f>
        <v>0</v>
      </c>
      <c r="AN191" s="146" t="str">
        <f t="shared" si="20"/>
        <v>A</v>
      </c>
    </row>
    <row r="192" spans="2:40" x14ac:dyDescent="0.35">
      <c r="B192" s="132" t="s">
        <v>128</v>
      </c>
      <c r="C192" s="44">
        <v>2023</v>
      </c>
      <c r="D192" s="44" t="s">
        <v>100</v>
      </c>
      <c r="E192" s="15" t="s">
        <v>39</v>
      </c>
      <c r="F192" s="108" t="s">
        <v>22</v>
      </c>
      <c r="G192" s="15" t="s">
        <v>159</v>
      </c>
      <c r="H192" s="44"/>
      <c r="I192" s="15" t="s">
        <v>94</v>
      </c>
      <c r="J192" s="15" t="s">
        <v>94</v>
      </c>
      <c r="K192" s="15" t="s">
        <v>160</v>
      </c>
      <c r="L192" s="15" t="s">
        <v>95</v>
      </c>
      <c r="M192" s="15" t="s">
        <v>94</v>
      </c>
      <c r="N192" s="15" t="s">
        <v>67</v>
      </c>
      <c r="O192" s="15" t="s">
        <v>182</v>
      </c>
      <c r="P192" s="15" t="s">
        <v>192</v>
      </c>
      <c r="Q192" s="42">
        <v>50.6</v>
      </c>
      <c r="R192" s="42">
        <v>36.299999999999997</v>
      </c>
      <c r="S192" s="42">
        <v>86.9</v>
      </c>
      <c r="T192" s="43">
        <v>86.9</v>
      </c>
      <c r="U192" s="44" t="s">
        <v>41</v>
      </c>
      <c r="V192" s="153">
        <v>30</v>
      </c>
      <c r="W192" s="45" cm="1">
        <f t="array" ref="W192">IF(U192="",0,_xlfn.XLOOKUP(E192&amp;U192&amp;F192,tab_act&amp;tab_mod&amp;tab_act1,tab_riz)*V192*T192/MGMT)</f>
        <v>0</v>
      </c>
      <c r="X192" s="42" cm="1">
        <f t="array" ref="X192">IF(U192="",0,_xlfn.XLOOKUP(E192&amp;U192&amp;F192,tab_act&amp;tab_mod&amp;tab_act1,tab_mc)*V192*T192/MGMT)</f>
        <v>0</v>
      </c>
      <c r="Y192" s="42" cm="1">
        <f t="array" ref="Y192">IF(U192="",0,_xlfn.XLOOKUP(E192&amp;U192&amp;F192,tab_act&amp;tab_mod&amp;tab_act1,tab_sor)*V192*T192/MGMT)</f>
        <v>0</v>
      </c>
      <c r="Z192" s="42" cm="1">
        <f t="array" ref="Z192">IF(U192="",0,_xlfn.XLOOKUP(E192&amp;U192&amp;F192,tab_act&amp;tab_mod&amp;tab_act1,tab_mg)*V192*T192/MGMT)</f>
        <v>0</v>
      </c>
      <c r="AA192" s="46" cm="1">
        <f t="array" ref="AA192">IF(U192="",0,IF(U192="hybrid-Sch",_xlfn.XLOOKUP(E192&amp;U192&amp;F192,tab_act&amp;tab_mod&amp;tab_act1,tab_ls)*SchLS*T192/MGMT,_xlfn.XLOOKUP(E192&amp;U192&amp;F192,tab_act&amp;tab_mod&amp;tab_act1,tab_ls)*V192*T192/MGMT))</f>
        <v>0</v>
      </c>
      <c r="AB192" s="46" cm="1">
        <f t="array" ref="AB192">IF(U192="",0,_xlfn.XLOOKUP(E192&amp;U192&amp;F192,tab_act&amp;tab_mod&amp;tab_act1,tab_hu)*V192*T192/MGMT)</f>
        <v>0</v>
      </c>
      <c r="AC192" s="46" cm="1">
        <f t="array" ref="AC192">IF(U192="",0,_xlfn.XLOOKUP(E192&amp;U192&amp;F192,tab_act&amp;tab_mod&amp;tab_act1,tab_mnp)*V192*T192/MGMT)</f>
        <v>0</v>
      </c>
      <c r="AD192" s="46" cm="1">
        <f t="array" ref="AD192">IF(U192="",0,_xlfn.XLOOKUP(E192&amp;U192&amp;F192,tab_act&amp;tab_mod&amp;tab_act1,tab_Psup)*V192*T192/MGMT)</f>
        <v>0</v>
      </c>
      <c r="AE192" s="46" cm="1">
        <f t="array" ref="AE192">IF(U192="",0,_xlfn.XLOOKUP(E192&amp;U192&amp;F192,tab_act&amp;tab_mod&amp;tab_act1,tab_csb1)*V192*T192/MGMT)</f>
        <v>0</v>
      </c>
      <c r="AF192" s="46" cm="1">
        <f t="array" ref="AF192">IF(U192="",0,_xlfn.XLOOKUP(E192&amp;U192&amp;F192,tab_act&amp;tab_mod&amp;tab_act1,tab_csb2)*V192*T192/MGMT)</f>
        <v>0</v>
      </c>
      <c r="AG192" s="109" cm="1">
        <f t="array" ref="AG192">IF(U192="",0,_xlfn.XLOOKUP(E192&amp;U192&amp;F192,tab_act&amp;tab_mod&amp;tab_act1,tab_pdoz)*V192*T192/MGMT)</f>
        <v>0.13035000000000002</v>
      </c>
      <c r="AH192" s="46" cm="1">
        <f t="array" ref="AH192">IF(U192="",0,_xlfn.XLOOKUP(E192&amp;U192&amp;F192,tab_act&amp;tab_mod&amp;tab_act1,tab_lns)*V192*T192/MGMT)</f>
        <v>0</v>
      </c>
      <c r="AI192" s="47">
        <f t="shared" si="18"/>
        <v>0.13035000000000002</v>
      </c>
      <c r="AJ192" s="48" cm="1">
        <f t="array" ref="AJ192">IF(U192="",0,_xlfn.XLOOKUP(E192&amp;U192&amp;F192,tab_act&amp;tab_mod&amp;tab_act1,tab_cash)*T192)</f>
        <v>0</v>
      </c>
      <c r="AK192" s="134" cm="1">
        <f t="array" ref="AK192">IF(B192="",0,IF(C192="",0,AJ192/_xlfn.XLOOKUP(B192&amp;C192,RMth&amp;RYr,RAr)))</f>
        <v>0</v>
      </c>
      <c r="AN192" s="146" t="str">
        <f t="shared" si="20"/>
        <v>A</v>
      </c>
    </row>
    <row r="193" spans="2:40" x14ac:dyDescent="0.35">
      <c r="B193" s="132" t="s">
        <v>128</v>
      </c>
      <c r="C193" s="44">
        <v>2023</v>
      </c>
      <c r="D193" s="44" t="s">
        <v>100</v>
      </c>
      <c r="E193" s="15" t="s">
        <v>39</v>
      </c>
      <c r="F193" s="108" t="s">
        <v>22</v>
      </c>
      <c r="G193" s="15" t="s">
        <v>159</v>
      </c>
      <c r="H193" s="44"/>
      <c r="I193" s="15" t="s">
        <v>94</v>
      </c>
      <c r="J193" s="15" t="s">
        <v>94</v>
      </c>
      <c r="K193" s="15" t="s">
        <v>160</v>
      </c>
      <c r="L193" s="15" t="s">
        <v>95</v>
      </c>
      <c r="M193" s="15" t="s">
        <v>94</v>
      </c>
      <c r="N193" s="15" t="s">
        <v>67</v>
      </c>
      <c r="O193" s="15" t="s">
        <v>182</v>
      </c>
      <c r="P193" s="15" t="s">
        <v>193</v>
      </c>
      <c r="Q193" s="42">
        <v>71.5</v>
      </c>
      <c r="R193" s="42">
        <v>108.9</v>
      </c>
      <c r="S193" s="42">
        <v>180.4</v>
      </c>
      <c r="T193" s="43">
        <v>180.4</v>
      </c>
      <c r="U193" s="44" t="s">
        <v>41</v>
      </c>
      <c r="V193" s="153">
        <v>30</v>
      </c>
      <c r="W193" s="45" cm="1">
        <f t="array" ref="W193">IF(U193="",0,_xlfn.XLOOKUP(E193&amp;U193&amp;F193,tab_act&amp;tab_mod&amp;tab_act1,tab_riz)*V193*T193/MGMT)</f>
        <v>0</v>
      </c>
      <c r="X193" s="42" cm="1">
        <f t="array" ref="X193">IF(U193="",0,_xlfn.XLOOKUP(E193&amp;U193&amp;F193,tab_act&amp;tab_mod&amp;tab_act1,tab_mc)*V193*T193/MGMT)</f>
        <v>0</v>
      </c>
      <c r="Y193" s="42" cm="1">
        <f t="array" ref="Y193">IF(U193="",0,_xlfn.XLOOKUP(E193&amp;U193&amp;F193,tab_act&amp;tab_mod&amp;tab_act1,tab_sor)*V193*T193/MGMT)</f>
        <v>0</v>
      </c>
      <c r="Z193" s="42" cm="1">
        <f t="array" ref="Z193">IF(U193="",0,_xlfn.XLOOKUP(E193&amp;U193&amp;F193,tab_act&amp;tab_mod&amp;tab_act1,tab_mg)*V193*T193/MGMT)</f>
        <v>0</v>
      </c>
      <c r="AA193" s="46" cm="1">
        <f t="array" ref="AA193">IF(U193="",0,IF(U193="hybrid-Sch",_xlfn.XLOOKUP(E193&amp;U193&amp;F193,tab_act&amp;tab_mod&amp;tab_act1,tab_ls)*SchLS*T193/MGMT,_xlfn.XLOOKUP(E193&amp;U193&amp;F193,tab_act&amp;tab_mod&amp;tab_act1,tab_ls)*V193*T193/MGMT))</f>
        <v>0</v>
      </c>
      <c r="AB193" s="46" cm="1">
        <f t="array" ref="AB193">IF(U193="",0,_xlfn.XLOOKUP(E193&amp;U193&amp;F193,tab_act&amp;tab_mod&amp;tab_act1,tab_hu)*V193*T193/MGMT)</f>
        <v>0</v>
      </c>
      <c r="AC193" s="46" cm="1">
        <f t="array" ref="AC193">IF(U193="",0,_xlfn.XLOOKUP(E193&amp;U193&amp;F193,tab_act&amp;tab_mod&amp;tab_act1,tab_mnp)*V193*T193/MGMT)</f>
        <v>0</v>
      </c>
      <c r="AD193" s="46" cm="1">
        <f t="array" ref="AD193">IF(U193="",0,_xlfn.XLOOKUP(E193&amp;U193&amp;F193,tab_act&amp;tab_mod&amp;tab_act1,tab_Psup)*V193*T193/MGMT)</f>
        <v>0</v>
      </c>
      <c r="AE193" s="46" cm="1">
        <f t="array" ref="AE193">IF(U193="",0,_xlfn.XLOOKUP(E193&amp;U193&amp;F193,tab_act&amp;tab_mod&amp;tab_act1,tab_csb1)*V193*T193/MGMT)</f>
        <v>0</v>
      </c>
      <c r="AF193" s="46" cm="1">
        <f t="array" ref="AF193">IF(U193="",0,_xlfn.XLOOKUP(E193&amp;U193&amp;F193,tab_act&amp;tab_mod&amp;tab_act1,tab_csb2)*V193*T193/MGMT)</f>
        <v>0</v>
      </c>
      <c r="AG193" s="109" cm="1">
        <f t="array" ref="AG193">IF(U193="",0,_xlfn.XLOOKUP(E193&amp;U193&amp;F193,tab_act&amp;tab_mod&amp;tab_act1,tab_pdoz)*V193*T193/MGMT)</f>
        <v>0.27060000000000001</v>
      </c>
      <c r="AH193" s="46" cm="1">
        <f t="array" ref="AH193">IF(U193="",0,_xlfn.XLOOKUP(E193&amp;U193&amp;F193,tab_act&amp;tab_mod&amp;tab_act1,tab_lns)*V193*T193/MGMT)</f>
        <v>0</v>
      </c>
      <c r="AI193" s="47">
        <f t="shared" si="18"/>
        <v>0.27060000000000001</v>
      </c>
      <c r="AJ193" s="48" cm="1">
        <f t="array" ref="AJ193">IF(U193="",0,_xlfn.XLOOKUP(E193&amp;U193&amp;F193,tab_act&amp;tab_mod&amp;tab_act1,tab_cash)*T193)</f>
        <v>0</v>
      </c>
      <c r="AK193" s="134" cm="1">
        <f t="array" ref="AK193">IF(B193="",0,IF(C193="",0,AJ193/_xlfn.XLOOKUP(B193&amp;C193,RMth&amp;RYr,RAr)))</f>
        <v>0</v>
      </c>
      <c r="AN193" s="146" t="str">
        <f t="shared" si="20"/>
        <v>A</v>
      </c>
    </row>
    <row r="194" spans="2:40" x14ac:dyDescent="0.35">
      <c r="B194" s="132" t="s">
        <v>128</v>
      </c>
      <c r="C194" s="44">
        <v>2023</v>
      </c>
      <c r="D194" s="44" t="s">
        <v>100</v>
      </c>
      <c r="E194" s="15" t="s">
        <v>39</v>
      </c>
      <c r="F194" s="108" t="s">
        <v>22</v>
      </c>
      <c r="G194" s="15" t="s">
        <v>159</v>
      </c>
      <c r="H194" s="44"/>
      <c r="I194" s="15" t="s">
        <v>94</v>
      </c>
      <c r="J194" s="15" t="s">
        <v>94</v>
      </c>
      <c r="K194" s="15" t="s">
        <v>160</v>
      </c>
      <c r="L194" s="15" t="s">
        <v>95</v>
      </c>
      <c r="M194" s="15" t="s">
        <v>94</v>
      </c>
      <c r="N194" s="15" t="s">
        <v>67</v>
      </c>
      <c r="O194" s="15" t="s">
        <v>182</v>
      </c>
      <c r="P194" s="15" t="s">
        <v>194</v>
      </c>
      <c r="Q194" s="42">
        <v>95.7</v>
      </c>
      <c r="R194" s="42">
        <v>107.8</v>
      </c>
      <c r="S194" s="42">
        <v>203.5</v>
      </c>
      <c r="T194" s="43">
        <v>203.5</v>
      </c>
      <c r="U194" s="44" t="s">
        <v>41</v>
      </c>
      <c r="V194" s="153">
        <v>30</v>
      </c>
      <c r="W194" s="45" cm="1">
        <f t="array" ref="W194">IF(U194="",0,_xlfn.XLOOKUP(E194&amp;U194&amp;F194,tab_act&amp;tab_mod&amp;tab_act1,tab_riz)*V194*T194/MGMT)</f>
        <v>0</v>
      </c>
      <c r="X194" s="42" cm="1">
        <f t="array" ref="X194">IF(U194="",0,_xlfn.XLOOKUP(E194&amp;U194&amp;F194,tab_act&amp;tab_mod&amp;tab_act1,tab_mc)*V194*T194/MGMT)</f>
        <v>0</v>
      </c>
      <c r="Y194" s="42" cm="1">
        <f t="array" ref="Y194">IF(U194="",0,_xlfn.XLOOKUP(E194&amp;U194&amp;F194,tab_act&amp;tab_mod&amp;tab_act1,tab_sor)*V194*T194/MGMT)</f>
        <v>0</v>
      </c>
      <c r="Z194" s="42" cm="1">
        <f t="array" ref="Z194">IF(U194="",0,_xlfn.XLOOKUP(E194&amp;U194&amp;F194,tab_act&amp;tab_mod&amp;tab_act1,tab_mg)*V194*T194/MGMT)</f>
        <v>0</v>
      </c>
      <c r="AA194" s="46" cm="1">
        <f t="array" ref="AA194">IF(U194="",0,IF(U194="hybrid-Sch",_xlfn.XLOOKUP(E194&amp;U194&amp;F194,tab_act&amp;tab_mod&amp;tab_act1,tab_ls)*SchLS*T194/MGMT,_xlfn.XLOOKUP(E194&amp;U194&amp;F194,tab_act&amp;tab_mod&amp;tab_act1,tab_ls)*V194*T194/MGMT))</f>
        <v>0</v>
      </c>
      <c r="AB194" s="46" cm="1">
        <f t="array" ref="AB194">IF(U194="",0,_xlfn.XLOOKUP(E194&amp;U194&amp;F194,tab_act&amp;tab_mod&amp;tab_act1,tab_hu)*V194*T194/MGMT)</f>
        <v>0</v>
      </c>
      <c r="AC194" s="46" cm="1">
        <f t="array" ref="AC194">IF(U194="",0,_xlfn.XLOOKUP(E194&amp;U194&amp;F194,tab_act&amp;tab_mod&amp;tab_act1,tab_mnp)*V194*T194/MGMT)</f>
        <v>0</v>
      </c>
      <c r="AD194" s="46" cm="1">
        <f t="array" ref="AD194">IF(U194="",0,_xlfn.XLOOKUP(E194&amp;U194&amp;F194,tab_act&amp;tab_mod&amp;tab_act1,tab_Psup)*V194*T194/MGMT)</f>
        <v>0</v>
      </c>
      <c r="AE194" s="46" cm="1">
        <f t="array" ref="AE194">IF(U194="",0,_xlfn.XLOOKUP(E194&amp;U194&amp;F194,tab_act&amp;tab_mod&amp;tab_act1,tab_csb1)*V194*T194/MGMT)</f>
        <v>0</v>
      </c>
      <c r="AF194" s="46" cm="1">
        <f t="array" ref="AF194">IF(U194="",0,_xlfn.XLOOKUP(E194&amp;U194&amp;F194,tab_act&amp;tab_mod&amp;tab_act1,tab_csb2)*V194*T194/MGMT)</f>
        <v>0</v>
      </c>
      <c r="AG194" s="109" cm="1">
        <f t="array" ref="AG194">IF(U194="",0,_xlfn.XLOOKUP(E194&amp;U194&amp;F194,tab_act&amp;tab_mod&amp;tab_act1,tab_pdoz)*V194*T194/MGMT)</f>
        <v>0.30525000000000002</v>
      </c>
      <c r="AH194" s="46" cm="1">
        <f t="array" ref="AH194">IF(U194="",0,_xlfn.XLOOKUP(E194&amp;U194&amp;F194,tab_act&amp;tab_mod&amp;tab_act1,tab_lns)*V194*T194/MGMT)</f>
        <v>0</v>
      </c>
      <c r="AI194" s="47">
        <f t="shared" si="18"/>
        <v>0.30525000000000002</v>
      </c>
      <c r="AJ194" s="48" cm="1">
        <f t="array" ref="AJ194">IF(U194="",0,_xlfn.XLOOKUP(E194&amp;U194&amp;F194,tab_act&amp;tab_mod&amp;tab_act1,tab_cash)*T194)</f>
        <v>0</v>
      </c>
      <c r="AK194" s="134" cm="1">
        <f t="array" ref="AK194">IF(B194="",0,IF(C194="",0,AJ194/_xlfn.XLOOKUP(B194&amp;C194,RMth&amp;RYr,RAr)))</f>
        <v>0</v>
      </c>
      <c r="AN194" s="146" t="str">
        <f t="shared" si="20"/>
        <v>A</v>
      </c>
    </row>
    <row r="195" spans="2:40" x14ac:dyDescent="0.35">
      <c r="B195" s="132" t="s">
        <v>128</v>
      </c>
      <c r="C195" s="44">
        <v>2023</v>
      </c>
      <c r="D195" s="44" t="s">
        <v>100</v>
      </c>
      <c r="E195" s="15" t="s">
        <v>39</v>
      </c>
      <c r="F195" s="108" t="s">
        <v>22</v>
      </c>
      <c r="G195" s="15" t="s">
        <v>159</v>
      </c>
      <c r="H195" s="44"/>
      <c r="I195" s="15" t="s">
        <v>94</v>
      </c>
      <c r="J195" s="15" t="s">
        <v>94</v>
      </c>
      <c r="K195" s="15" t="s">
        <v>160</v>
      </c>
      <c r="L195" s="15" t="s">
        <v>95</v>
      </c>
      <c r="M195" s="15" t="s">
        <v>94</v>
      </c>
      <c r="N195" s="15" t="s">
        <v>67</v>
      </c>
      <c r="O195" s="15" t="s">
        <v>182</v>
      </c>
      <c r="P195" s="15" t="s">
        <v>195</v>
      </c>
      <c r="Q195" s="42">
        <v>71.5</v>
      </c>
      <c r="R195" s="42">
        <v>71.5</v>
      </c>
      <c r="S195" s="42">
        <v>143</v>
      </c>
      <c r="T195" s="43">
        <v>143</v>
      </c>
      <c r="U195" s="44" t="s">
        <v>41</v>
      </c>
      <c r="V195" s="153">
        <v>30</v>
      </c>
      <c r="W195" s="45" cm="1">
        <f t="array" ref="W195">IF(U195="",0,_xlfn.XLOOKUP(E195&amp;U195&amp;F195,tab_act&amp;tab_mod&amp;tab_act1,tab_riz)*V195*T195/MGMT)</f>
        <v>0</v>
      </c>
      <c r="X195" s="42" cm="1">
        <f t="array" ref="X195">IF(U195="",0,_xlfn.XLOOKUP(E195&amp;U195&amp;F195,tab_act&amp;tab_mod&amp;tab_act1,tab_mc)*V195*T195/MGMT)</f>
        <v>0</v>
      </c>
      <c r="Y195" s="42" cm="1">
        <f t="array" ref="Y195">IF(U195="",0,_xlfn.XLOOKUP(E195&amp;U195&amp;F195,tab_act&amp;tab_mod&amp;tab_act1,tab_sor)*V195*T195/MGMT)</f>
        <v>0</v>
      </c>
      <c r="Z195" s="42" cm="1">
        <f t="array" ref="Z195">IF(U195="",0,_xlfn.XLOOKUP(E195&amp;U195&amp;F195,tab_act&amp;tab_mod&amp;tab_act1,tab_mg)*V195*T195/MGMT)</f>
        <v>0</v>
      </c>
      <c r="AA195" s="46" cm="1">
        <f t="array" ref="AA195">IF(U195="",0,IF(U195="hybrid-Sch",_xlfn.XLOOKUP(E195&amp;U195&amp;F195,tab_act&amp;tab_mod&amp;tab_act1,tab_ls)*SchLS*T195/MGMT,_xlfn.XLOOKUP(E195&amp;U195&amp;F195,tab_act&amp;tab_mod&amp;tab_act1,tab_ls)*V195*T195/MGMT))</f>
        <v>0</v>
      </c>
      <c r="AB195" s="46" cm="1">
        <f t="array" ref="AB195">IF(U195="",0,_xlfn.XLOOKUP(E195&amp;U195&amp;F195,tab_act&amp;tab_mod&amp;tab_act1,tab_hu)*V195*T195/MGMT)</f>
        <v>0</v>
      </c>
      <c r="AC195" s="46" cm="1">
        <f t="array" ref="AC195">IF(U195="",0,_xlfn.XLOOKUP(E195&amp;U195&amp;F195,tab_act&amp;tab_mod&amp;tab_act1,tab_mnp)*V195*T195/MGMT)</f>
        <v>0</v>
      </c>
      <c r="AD195" s="46" cm="1">
        <f t="array" ref="AD195">IF(U195="",0,_xlfn.XLOOKUP(E195&amp;U195&amp;F195,tab_act&amp;tab_mod&amp;tab_act1,tab_Psup)*V195*T195/MGMT)</f>
        <v>0</v>
      </c>
      <c r="AE195" s="46" cm="1">
        <f t="array" ref="AE195">IF(U195="",0,_xlfn.XLOOKUP(E195&amp;U195&amp;F195,tab_act&amp;tab_mod&amp;tab_act1,tab_csb1)*V195*T195/MGMT)</f>
        <v>0</v>
      </c>
      <c r="AF195" s="46" cm="1">
        <f t="array" ref="AF195">IF(U195="",0,_xlfn.XLOOKUP(E195&amp;U195&amp;F195,tab_act&amp;tab_mod&amp;tab_act1,tab_csb2)*V195*T195/MGMT)</f>
        <v>0</v>
      </c>
      <c r="AG195" s="109" cm="1">
        <f t="array" ref="AG195">IF(U195="",0,_xlfn.XLOOKUP(E195&amp;U195&amp;F195,tab_act&amp;tab_mod&amp;tab_act1,tab_pdoz)*V195*T195/MGMT)</f>
        <v>0.2145</v>
      </c>
      <c r="AH195" s="46" cm="1">
        <f t="array" ref="AH195">IF(U195="",0,_xlfn.XLOOKUP(E195&amp;U195&amp;F195,tab_act&amp;tab_mod&amp;tab_act1,tab_lns)*V195*T195/MGMT)</f>
        <v>0</v>
      </c>
      <c r="AI195" s="47">
        <f t="shared" si="18"/>
        <v>0.2145</v>
      </c>
      <c r="AJ195" s="48" cm="1">
        <f t="array" ref="AJ195">IF(U195="",0,_xlfn.XLOOKUP(E195&amp;U195&amp;F195,tab_act&amp;tab_mod&amp;tab_act1,tab_cash)*T195)</f>
        <v>0</v>
      </c>
      <c r="AK195" s="134" cm="1">
        <f t="array" ref="AK195">IF(B195="",0,IF(C195="",0,AJ195/_xlfn.XLOOKUP(B195&amp;C195,RMth&amp;RYr,RAr)))</f>
        <v>0</v>
      </c>
      <c r="AN195" s="146" t="str">
        <f t="shared" si="20"/>
        <v>A</v>
      </c>
    </row>
    <row r="196" spans="2:40" x14ac:dyDescent="0.35">
      <c r="B196" s="132" t="s">
        <v>128</v>
      </c>
      <c r="C196" s="44">
        <v>2023</v>
      </c>
      <c r="D196" s="44" t="s">
        <v>100</v>
      </c>
      <c r="E196" s="15" t="s">
        <v>39</v>
      </c>
      <c r="F196" s="108" t="s">
        <v>22</v>
      </c>
      <c r="G196" s="15" t="s">
        <v>159</v>
      </c>
      <c r="H196" s="44"/>
      <c r="I196" s="15" t="s">
        <v>94</v>
      </c>
      <c r="J196" s="15" t="s">
        <v>94</v>
      </c>
      <c r="K196" s="15" t="s">
        <v>160</v>
      </c>
      <c r="L196" s="15" t="s">
        <v>95</v>
      </c>
      <c r="M196" s="15" t="s">
        <v>94</v>
      </c>
      <c r="N196" s="15" t="s">
        <v>67</v>
      </c>
      <c r="O196" s="15" t="s">
        <v>182</v>
      </c>
      <c r="P196" s="15" t="s">
        <v>196</v>
      </c>
      <c r="Q196" s="42">
        <v>165</v>
      </c>
      <c r="R196" s="42">
        <v>211.2</v>
      </c>
      <c r="S196" s="42">
        <v>376.2</v>
      </c>
      <c r="T196" s="43">
        <v>376.2</v>
      </c>
      <c r="U196" s="44" t="s">
        <v>41</v>
      </c>
      <c r="V196" s="153">
        <v>30</v>
      </c>
      <c r="W196" s="45" cm="1">
        <f t="array" ref="W196">IF(U196="",0,_xlfn.XLOOKUP(E196&amp;U196&amp;F196,tab_act&amp;tab_mod&amp;tab_act1,tab_riz)*V196*T196/MGMT)</f>
        <v>0</v>
      </c>
      <c r="X196" s="42" cm="1">
        <f t="array" ref="X196">IF(U196="",0,_xlfn.XLOOKUP(E196&amp;U196&amp;F196,tab_act&amp;tab_mod&amp;tab_act1,tab_mc)*V196*T196/MGMT)</f>
        <v>0</v>
      </c>
      <c r="Y196" s="42" cm="1">
        <f t="array" ref="Y196">IF(U196="",0,_xlfn.XLOOKUP(E196&amp;U196&amp;F196,tab_act&amp;tab_mod&amp;tab_act1,tab_sor)*V196*T196/MGMT)</f>
        <v>0</v>
      </c>
      <c r="Z196" s="42" cm="1">
        <f t="array" ref="Z196">IF(U196="",0,_xlfn.XLOOKUP(E196&amp;U196&amp;F196,tab_act&amp;tab_mod&amp;tab_act1,tab_mg)*V196*T196/MGMT)</f>
        <v>0</v>
      </c>
      <c r="AA196" s="46" cm="1">
        <f t="array" ref="AA196">IF(U196="",0,IF(U196="hybrid-Sch",_xlfn.XLOOKUP(E196&amp;U196&amp;F196,tab_act&amp;tab_mod&amp;tab_act1,tab_ls)*SchLS*T196/MGMT,_xlfn.XLOOKUP(E196&amp;U196&amp;F196,tab_act&amp;tab_mod&amp;tab_act1,tab_ls)*V196*T196/MGMT))</f>
        <v>0</v>
      </c>
      <c r="AB196" s="46" cm="1">
        <f t="array" ref="AB196">IF(U196="",0,_xlfn.XLOOKUP(E196&amp;U196&amp;F196,tab_act&amp;tab_mod&amp;tab_act1,tab_hu)*V196*T196/MGMT)</f>
        <v>0</v>
      </c>
      <c r="AC196" s="46" cm="1">
        <f t="array" ref="AC196">IF(U196="",0,_xlfn.XLOOKUP(E196&amp;U196&amp;F196,tab_act&amp;tab_mod&amp;tab_act1,tab_mnp)*V196*T196/MGMT)</f>
        <v>0</v>
      </c>
      <c r="AD196" s="46" cm="1">
        <f t="array" ref="AD196">IF(U196="",0,_xlfn.XLOOKUP(E196&amp;U196&amp;F196,tab_act&amp;tab_mod&amp;tab_act1,tab_Psup)*V196*T196/MGMT)</f>
        <v>0</v>
      </c>
      <c r="AE196" s="46" cm="1">
        <f t="array" ref="AE196">IF(U196="",0,_xlfn.XLOOKUP(E196&amp;U196&amp;F196,tab_act&amp;tab_mod&amp;tab_act1,tab_csb1)*V196*T196/MGMT)</f>
        <v>0</v>
      </c>
      <c r="AF196" s="46" cm="1">
        <f t="array" ref="AF196">IF(U196="",0,_xlfn.XLOOKUP(E196&amp;U196&amp;F196,tab_act&amp;tab_mod&amp;tab_act1,tab_csb2)*V196*T196/MGMT)</f>
        <v>0</v>
      </c>
      <c r="AG196" s="109" cm="1">
        <f t="array" ref="AG196">IF(U196="",0,_xlfn.XLOOKUP(E196&amp;U196&amp;F196,tab_act&amp;tab_mod&amp;tab_act1,tab_pdoz)*V196*T196/MGMT)</f>
        <v>0.56430000000000002</v>
      </c>
      <c r="AH196" s="46" cm="1">
        <f t="array" ref="AH196">IF(U196="",0,_xlfn.XLOOKUP(E196&amp;U196&amp;F196,tab_act&amp;tab_mod&amp;tab_act1,tab_lns)*V196*T196/MGMT)</f>
        <v>0</v>
      </c>
      <c r="AI196" s="47">
        <f t="shared" ref="AI196:AI259" si="21">SUM(W196:AH196)</f>
        <v>0.56430000000000002</v>
      </c>
      <c r="AJ196" s="48" cm="1">
        <f t="array" ref="AJ196">IF(U196="",0,_xlfn.XLOOKUP(E196&amp;U196&amp;F196,tab_act&amp;tab_mod&amp;tab_act1,tab_cash)*T196)</f>
        <v>0</v>
      </c>
      <c r="AK196" s="134" cm="1">
        <f t="array" ref="AK196">IF(B196="",0,IF(C196="",0,AJ196/_xlfn.XLOOKUP(B196&amp;C196,RMth&amp;RYr,RAr)))</f>
        <v>0</v>
      </c>
      <c r="AN196" s="146" t="str">
        <f t="shared" ref="AN196:AN259" si="22">IF(V196="","IA",IF(V196=0,"IA","A"))</f>
        <v>A</v>
      </c>
    </row>
    <row r="197" spans="2:40" x14ac:dyDescent="0.35">
      <c r="B197" s="132" t="s">
        <v>128</v>
      </c>
      <c r="C197" s="44">
        <v>2023</v>
      </c>
      <c r="D197" s="44" t="s">
        <v>100</v>
      </c>
      <c r="E197" s="15" t="s">
        <v>39</v>
      </c>
      <c r="F197" s="108" t="s">
        <v>22</v>
      </c>
      <c r="G197" s="15" t="s">
        <v>159</v>
      </c>
      <c r="H197" s="44"/>
      <c r="I197" s="15" t="s">
        <v>94</v>
      </c>
      <c r="J197" s="15" t="s">
        <v>94</v>
      </c>
      <c r="K197" s="15" t="s">
        <v>160</v>
      </c>
      <c r="L197" s="15" t="s">
        <v>95</v>
      </c>
      <c r="M197" s="15" t="s">
        <v>94</v>
      </c>
      <c r="N197" s="15" t="s">
        <v>67</v>
      </c>
      <c r="O197" s="15" t="s">
        <v>182</v>
      </c>
      <c r="P197" s="15" t="s">
        <v>197</v>
      </c>
      <c r="Q197" s="42">
        <v>61.6</v>
      </c>
      <c r="R197" s="42">
        <v>73.7</v>
      </c>
      <c r="S197" s="42">
        <v>135.30000000000001</v>
      </c>
      <c r="T197" s="43">
        <v>135.30000000000001</v>
      </c>
      <c r="U197" s="44" t="s">
        <v>41</v>
      </c>
      <c r="V197" s="153">
        <v>30</v>
      </c>
      <c r="W197" s="45" cm="1">
        <f t="array" ref="W197">IF(U197="",0,_xlfn.XLOOKUP(E197&amp;U197&amp;F197,tab_act&amp;tab_mod&amp;tab_act1,tab_riz)*V197*T197/MGMT)</f>
        <v>0</v>
      </c>
      <c r="X197" s="42" cm="1">
        <f t="array" ref="X197">IF(U197="",0,_xlfn.XLOOKUP(E197&amp;U197&amp;F197,tab_act&amp;tab_mod&amp;tab_act1,tab_mc)*V197*T197/MGMT)</f>
        <v>0</v>
      </c>
      <c r="Y197" s="42" cm="1">
        <f t="array" ref="Y197">IF(U197="",0,_xlfn.XLOOKUP(E197&amp;U197&amp;F197,tab_act&amp;tab_mod&amp;tab_act1,tab_sor)*V197*T197/MGMT)</f>
        <v>0</v>
      </c>
      <c r="Z197" s="42" cm="1">
        <f t="array" ref="Z197">IF(U197="",0,_xlfn.XLOOKUP(E197&amp;U197&amp;F197,tab_act&amp;tab_mod&amp;tab_act1,tab_mg)*V197*T197/MGMT)</f>
        <v>0</v>
      </c>
      <c r="AA197" s="46" cm="1">
        <f t="array" ref="AA197">IF(U197="",0,IF(U197="hybrid-Sch",_xlfn.XLOOKUP(E197&amp;U197&amp;F197,tab_act&amp;tab_mod&amp;tab_act1,tab_ls)*SchLS*T197/MGMT,_xlfn.XLOOKUP(E197&amp;U197&amp;F197,tab_act&amp;tab_mod&amp;tab_act1,tab_ls)*V197*T197/MGMT))</f>
        <v>0</v>
      </c>
      <c r="AB197" s="46" cm="1">
        <f t="array" ref="AB197">IF(U197="",0,_xlfn.XLOOKUP(E197&amp;U197&amp;F197,tab_act&amp;tab_mod&amp;tab_act1,tab_hu)*V197*T197/MGMT)</f>
        <v>0</v>
      </c>
      <c r="AC197" s="46" cm="1">
        <f t="array" ref="AC197">IF(U197="",0,_xlfn.XLOOKUP(E197&amp;U197&amp;F197,tab_act&amp;tab_mod&amp;tab_act1,tab_mnp)*V197*T197/MGMT)</f>
        <v>0</v>
      </c>
      <c r="AD197" s="46" cm="1">
        <f t="array" ref="AD197">IF(U197="",0,_xlfn.XLOOKUP(E197&amp;U197&amp;F197,tab_act&amp;tab_mod&amp;tab_act1,tab_Psup)*V197*T197/MGMT)</f>
        <v>0</v>
      </c>
      <c r="AE197" s="46" cm="1">
        <f t="array" ref="AE197">IF(U197="",0,_xlfn.XLOOKUP(E197&amp;U197&amp;F197,tab_act&amp;tab_mod&amp;tab_act1,tab_csb1)*V197*T197/MGMT)</f>
        <v>0</v>
      </c>
      <c r="AF197" s="46" cm="1">
        <f t="array" ref="AF197">IF(U197="",0,_xlfn.XLOOKUP(E197&amp;U197&amp;F197,tab_act&amp;tab_mod&amp;tab_act1,tab_csb2)*V197*T197/MGMT)</f>
        <v>0</v>
      </c>
      <c r="AG197" s="109" cm="1">
        <f t="array" ref="AG197">IF(U197="",0,_xlfn.XLOOKUP(E197&amp;U197&amp;F197,tab_act&amp;tab_mod&amp;tab_act1,tab_pdoz)*V197*T197/MGMT)</f>
        <v>0.20295000000000002</v>
      </c>
      <c r="AH197" s="46" cm="1">
        <f t="array" ref="AH197">IF(U197="",0,_xlfn.XLOOKUP(E197&amp;U197&amp;F197,tab_act&amp;tab_mod&amp;tab_act1,tab_lns)*V197*T197/MGMT)</f>
        <v>0</v>
      </c>
      <c r="AI197" s="47">
        <f t="shared" si="21"/>
        <v>0.20295000000000002</v>
      </c>
      <c r="AJ197" s="48" cm="1">
        <f t="array" ref="AJ197">IF(U197="",0,_xlfn.XLOOKUP(E197&amp;U197&amp;F197,tab_act&amp;tab_mod&amp;tab_act1,tab_cash)*T197)</f>
        <v>0</v>
      </c>
      <c r="AK197" s="134" cm="1">
        <f t="array" ref="AK197">IF(B197="",0,IF(C197="",0,AJ197/_xlfn.XLOOKUP(B197&amp;C197,RMth&amp;RYr,RAr)))</f>
        <v>0</v>
      </c>
      <c r="AN197" s="146" t="str">
        <f t="shared" si="22"/>
        <v>A</v>
      </c>
    </row>
    <row r="198" spans="2:40" x14ac:dyDescent="0.35">
      <c r="B198" s="132" t="s">
        <v>128</v>
      </c>
      <c r="C198" s="44">
        <v>2023</v>
      </c>
      <c r="D198" s="44" t="s">
        <v>100</v>
      </c>
      <c r="E198" s="15" t="s">
        <v>39</v>
      </c>
      <c r="F198" s="108" t="s">
        <v>22</v>
      </c>
      <c r="G198" s="15" t="s">
        <v>159</v>
      </c>
      <c r="H198" s="44"/>
      <c r="I198" s="15" t="s">
        <v>94</v>
      </c>
      <c r="J198" s="15" t="s">
        <v>94</v>
      </c>
      <c r="K198" s="15" t="s">
        <v>160</v>
      </c>
      <c r="L198" s="15" t="s">
        <v>95</v>
      </c>
      <c r="M198" s="15" t="s">
        <v>94</v>
      </c>
      <c r="N198" s="15" t="s">
        <v>67</v>
      </c>
      <c r="O198" s="15" t="s">
        <v>182</v>
      </c>
      <c r="P198" s="15" t="s">
        <v>198</v>
      </c>
      <c r="Q198" s="42">
        <v>163.9</v>
      </c>
      <c r="R198" s="42">
        <v>146.30000000000001</v>
      </c>
      <c r="S198" s="42">
        <v>310.20000000000005</v>
      </c>
      <c r="T198" s="43">
        <v>310.20000000000005</v>
      </c>
      <c r="U198" s="44" t="s">
        <v>41</v>
      </c>
      <c r="V198" s="153">
        <v>30</v>
      </c>
      <c r="W198" s="45" cm="1">
        <f t="array" ref="W198">IF(U198="",0,_xlfn.XLOOKUP(E198&amp;U198&amp;F198,tab_act&amp;tab_mod&amp;tab_act1,tab_riz)*V198*T198/MGMT)</f>
        <v>0</v>
      </c>
      <c r="X198" s="42" cm="1">
        <f t="array" ref="X198">IF(U198="",0,_xlfn.XLOOKUP(E198&amp;U198&amp;F198,tab_act&amp;tab_mod&amp;tab_act1,tab_mc)*V198*T198/MGMT)</f>
        <v>0</v>
      </c>
      <c r="Y198" s="42" cm="1">
        <f t="array" ref="Y198">IF(U198="",0,_xlfn.XLOOKUP(E198&amp;U198&amp;F198,tab_act&amp;tab_mod&amp;tab_act1,tab_sor)*V198*T198/MGMT)</f>
        <v>0</v>
      </c>
      <c r="Z198" s="42" cm="1">
        <f t="array" ref="Z198">IF(U198="",0,_xlfn.XLOOKUP(E198&amp;U198&amp;F198,tab_act&amp;tab_mod&amp;tab_act1,tab_mg)*V198*T198/MGMT)</f>
        <v>0</v>
      </c>
      <c r="AA198" s="46" cm="1">
        <f t="array" ref="AA198">IF(U198="",0,IF(U198="hybrid-Sch",_xlfn.XLOOKUP(E198&amp;U198&amp;F198,tab_act&amp;tab_mod&amp;tab_act1,tab_ls)*SchLS*T198/MGMT,_xlfn.XLOOKUP(E198&amp;U198&amp;F198,tab_act&amp;tab_mod&amp;tab_act1,tab_ls)*V198*T198/MGMT))</f>
        <v>0</v>
      </c>
      <c r="AB198" s="46" cm="1">
        <f t="array" ref="AB198">IF(U198="",0,_xlfn.XLOOKUP(E198&amp;U198&amp;F198,tab_act&amp;tab_mod&amp;tab_act1,tab_hu)*V198*T198/MGMT)</f>
        <v>0</v>
      </c>
      <c r="AC198" s="46" cm="1">
        <f t="array" ref="AC198">IF(U198="",0,_xlfn.XLOOKUP(E198&amp;U198&amp;F198,tab_act&amp;tab_mod&amp;tab_act1,tab_mnp)*V198*T198/MGMT)</f>
        <v>0</v>
      </c>
      <c r="AD198" s="46" cm="1">
        <f t="array" ref="AD198">IF(U198="",0,_xlfn.XLOOKUP(E198&amp;U198&amp;F198,tab_act&amp;tab_mod&amp;tab_act1,tab_Psup)*V198*T198/MGMT)</f>
        <v>0</v>
      </c>
      <c r="AE198" s="46" cm="1">
        <f t="array" ref="AE198">IF(U198="",0,_xlfn.XLOOKUP(E198&amp;U198&amp;F198,tab_act&amp;tab_mod&amp;tab_act1,tab_csb1)*V198*T198/MGMT)</f>
        <v>0</v>
      </c>
      <c r="AF198" s="46" cm="1">
        <f t="array" ref="AF198">IF(U198="",0,_xlfn.XLOOKUP(E198&amp;U198&amp;F198,tab_act&amp;tab_mod&amp;tab_act1,tab_csb2)*V198*T198/MGMT)</f>
        <v>0</v>
      </c>
      <c r="AG198" s="109" cm="1">
        <f t="array" ref="AG198">IF(U198="",0,_xlfn.XLOOKUP(E198&amp;U198&amp;F198,tab_act&amp;tab_mod&amp;tab_act1,tab_pdoz)*V198*T198/MGMT)</f>
        <v>0.46530000000000005</v>
      </c>
      <c r="AH198" s="46" cm="1">
        <f t="array" ref="AH198">IF(U198="",0,_xlfn.XLOOKUP(E198&amp;U198&amp;F198,tab_act&amp;tab_mod&amp;tab_act1,tab_lns)*V198*T198/MGMT)</f>
        <v>0</v>
      </c>
      <c r="AI198" s="47">
        <f t="shared" si="21"/>
        <v>0.46530000000000005</v>
      </c>
      <c r="AJ198" s="48" cm="1">
        <f t="array" ref="AJ198">IF(U198="",0,_xlfn.XLOOKUP(E198&amp;U198&amp;F198,tab_act&amp;tab_mod&amp;tab_act1,tab_cash)*T198)</f>
        <v>0</v>
      </c>
      <c r="AK198" s="134" cm="1">
        <f t="array" ref="AK198">IF(B198="",0,IF(C198="",0,AJ198/_xlfn.XLOOKUP(B198&amp;C198,RMth&amp;RYr,RAr)))</f>
        <v>0</v>
      </c>
      <c r="AN198" s="146" t="str">
        <f t="shared" si="22"/>
        <v>A</v>
      </c>
    </row>
    <row r="199" spans="2:40" x14ac:dyDescent="0.35">
      <c r="B199" s="132" t="s">
        <v>128</v>
      </c>
      <c r="C199" s="44">
        <v>2023</v>
      </c>
      <c r="D199" s="44" t="s">
        <v>100</v>
      </c>
      <c r="E199" s="15" t="s">
        <v>39</v>
      </c>
      <c r="F199" s="108" t="s">
        <v>22</v>
      </c>
      <c r="G199" s="15" t="s">
        <v>159</v>
      </c>
      <c r="H199" s="44"/>
      <c r="I199" s="15" t="s">
        <v>94</v>
      </c>
      <c r="J199" s="15" t="s">
        <v>94</v>
      </c>
      <c r="K199" s="15" t="s">
        <v>160</v>
      </c>
      <c r="L199" s="15" t="s">
        <v>95</v>
      </c>
      <c r="M199" s="15" t="s">
        <v>94</v>
      </c>
      <c r="N199" s="15" t="s">
        <v>67</v>
      </c>
      <c r="O199" s="15" t="s">
        <v>182</v>
      </c>
      <c r="P199" s="15" t="s">
        <v>199</v>
      </c>
      <c r="Q199" s="42">
        <v>26.4</v>
      </c>
      <c r="R199" s="42">
        <v>25.3</v>
      </c>
      <c r="S199" s="42">
        <v>51.7</v>
      </c>
      <c r="T199" s="43">
        <v>51.7</v>
      </c>
      <c r="U199" s="44" t="s">
        <v>41</v>
      </c>
      <c r="V199" s="153">
        <v>30</v>
      </c>
      <c r="W199" s="45" cm="1">
        <f t="array" ref="W199">IF(U199="",0,_xlfn.XLOOKUP(E199&amp;U199&amp;F199,tab_act&amp;tab_mod&amp;tab_act1,tab_riz)*V199*T199/MGMT)</f>
        <v>0</v>
      </c>
      <c r="X199" s="42" cm="1">
        <f t="array" ref="X199">IF(U199="",0,_xlfn.XLOOKUP(E199&amp;U199&amp;F199,tab_act&amp;tab_mod&amp;tab_act1,tab_mc)*V199*T199/MGMT)</f>
        <v>0</v>
      </c>
      <c r="Y199" s="42" cm="1">
        <f t="array" ref="Y199">IF(U199="",0,_xlfn.XLOOKUP(E199&amp;U199&amp;F199,tab_act&amp;tab_mod&amp;tab_act1,tab_sor)*V199*T199/MGMT)</f>
        <v>0</v>
      </c>
      <c r="Z199" s="42" cm="1">
        <f t="array" ref="Z199">IF(U199="",0,_xlfn.XLOOKUP(E199&amp;U199&amp;F199,tab_act&amp;tab_mod&amp;tab_act1,tab_mg)*V199*T199/MGMT)</f>
        <v>0</v>
      </c>
      <c r="AA199" s="46" cm="1">
        <f t="array" ref="AA199">IF(U199="",0,IF(U199="hybrid-Sch",_xlfn.XLOOKUP(E199&amp;U199&amp;F199,tab_act&amp;tab_mod&amp;tab_act1,tab_ls)*SchLS*T199/MGMT,_xlfn.XLOOKUP(E199&amp;U199&amp;F199,tab_act&amp;tab_mod&amp;tab_act1,tab_ls)*V199*T199/MGMT))</f>
        <v>0</v>
      </c>
      <c r="AB199" s="46" cm="1">
        <f t="array" ref="AB199">IF(U199="",0,_xlfn.XLOOKUP(E199&amp;U199&amp;F199,tab_act&amp;tab_mod&amp;tab_act1,tab_hu)*V199*T199/MGMT)</f>
        <v>0</v>
      </c>
      <c r="AC199" s="46" cm="1">
        <f t="array" ref="AC199">IF(U199="",0,_xlfn.XLOOKUP(E199&amp;U199&amp;F199,tab_act&amp;tab_mod&amp;tab_act1,tab_mnp)*V199*T199/MGMT)</f>
        <v>0</v>
      </c>
      <c r="AD199" s="46" cm="1">
        <f t="array" ref="AD199">IF(U199="",0,_xlfn.XLOOKUP(E199&amp;U199&amp;F199,tab_act&amp;tab_mod&amp;tab_act1,tab_Psup)*V199*T199/MGMT)</f>
        <v>0</v>
      </c>
      <c r="AE199" s="46" cm="1">
        <f t="array" ref="AE199">IF(U199="",0,_xlfn.XLOOKUP(E199&amp;U199&amp;F199,tab_act&amp;tab_mod&amp;tab_act1,tab_csb1)*V199*T199/MGMT)</f>
        <v>0</v>
      </c>
      <c r="AF199" s="46" cm="1">
        <f t="array" ref="AF199">IF(U199="",0,_xlfn.XLOOKUP(E199&amp;U199&amp;F199,tab_act&amp;tab_mod&amp;tab_act1,tab_csb2)*V199*T199/MGMT)</f>
        <v>0</v>
      </c>
      <c r="AG199" s="109" cm="1">
        <f t="array" ref="AG199">IF(U199="",0,_xlfn.XLOOKUP(E199&amp;U199&amp;F199,tab_act&amp;tab_mod&amp;tab_act1,tab_pdoz)*V199*T199/MGMT)</f>
        <v>7.7549999999999994E-2</v>
      </c>
      <c r="AH199" s="46" cm="1">
        <f t="array" ref="AH199">IF(U199="",0,_xlfn.XLOOKUP(E199&amp;U199&amp;F199,tab_act&amp;tab_mod&amp;tab_act1,tab_lns)*V199*T199/MGMT)</f>
        <v>0</v>
      </c>
      <c r="AI199" s="47">
        <f t="shared" si="21"/>
        <v>7.7549999999999994E-2</v>
      </c>
      <c r="AJ199" s="48" cm="1">
        <f t="array" ref="AJ199">IF(U199="",0,_xlfn.XLOOKUP(E199&amp;U199&amp;F199,tab_act&amp;tab_mod&amp;tab_act1,tab_cash)*T199)</f>
        <v>0</v>
      </c>
      <c r="AK199" s="134" cm="1">
        <f t="array" ref="AK199">IF(B199="",0,IF(C199="",0,AJ199/_xlfn.XLOOKUP(B199&amp;C199,RMth&amp;RYr,RAr)))</f>
        <v>0</v>
      </c>
      <c r="AN199" s="146" t="str">
        <f t="shared" si="22"/>
        <v>A</v>
      </c>
    </row>
    <row r="200" spans="2:40" x14ac:dyDescent="0.35">
      <c r="B200" s="132" t="s">
        <v>128</v>
      </c>
      <c r="C200" s="44">
        <v>2023</v>
      </c>
      <c r="D200" s="44" t="s">
        <v>100</v>
      </c>
      <c r="E200" s="15" t="s">
        <v>39</v>
      </c>
      <c r="F200" s="108" t="s">
        <v>22</v>
      </c>
      <c r="G200" s="15" t="s">
        <v>159</v>
      </c>
      <c r="H200" s="44"/>
      <c r="I200" s="15" t="s">
        <v>94</v>
      </c>
      <c r="J200" s="15" t="s">
        <v>94</v>
      </c>
      <c r="K200" s="15" t="s">
        <v>160</v>
      </c>
      <c r="L200" s="15" t="s">
        <v>95</v>
      </c>
      <c r="M200" s="15" t="s">
        <v>94</v>
      </c>
      <c r="N200" s="15" t="s">
        <v>67</v>
      </c>
      <c r="O200" s="15" t="s">
        <v>200</v>
      </c>
      <c r="P200" s="15" t="s">
        <v>201</v>
      </c>
      <c r="Q200" s="42">
        <v>146.30000000000001</v>
      </c>
      <c r="R200" s="42">
        <v>176</v>
      </c>
      <c r="S200" s="42">
        <v>322.3</v>
      </c>
      <c r="T200" s="43">
        <v>322.3</v>
      </c>
      <c r="U200" s="44" t="s">
        <v>41</v>
      </c>
      <c r="V200" s="153">
        <v>30</v>
      </c>
      <c r="W200" s="45" cm="1">
        <f t="array" ref="W200">IF(U200="",0,_xlfn.XLOOKUP(E200&amp;U200&amp;F200,tab_act&amp;tab_mod&amp;tab_act1,tab_riz)*V200*T200/MGMT)</f>
        <v>0</v>
      </c>
      <c r="X200" s="42" cm="1">
        <f t="array" ref="X200">IF(U200="",0,_xlfn.XLOOKUP(E200&amp;U200&amp;F200,tab_act&amp;tab_mod&amp;tab_act1,tab_mc)*V200*T200/MGMT)</f>
        <v>0</v>
      </c>
      <c r="Y200" s="42" cm="1">
        <f t="array" ref="Y200">IF(U200="",0,_xlfn.XLOOKUP(E200&amp;U200&amp;F200,tab_act&amp;tab_mod&amp;tab_act1,tab_sor)*V200*T200/MGMT)</f>
        <v>0</v>
      </c>
      <c r="Z200" s="42" cm="1">
        <f t="array" ref="Z200">IF(U200="",0,_xlfn.XLOOKUP(E200&amp;U200&amp;F200,tab_act&amp;tab_mod&amp;tab_act1,tab_mg)*V200*T200/MGMT)</f>
        <v>0</v>
      </c>
      <c r="AA200" s="46" cm="1">
        <f t="array" ref="AA200">IF(U200="",0,IF(U200="hybrid-Sch",_xlfn.XLOOKUP(E200&amp;U200&amp;F200,tab_act&amp;tab_mod&amp;tab_act1,tab_ls)*SchLS*T200/MGMT,_xlfn.XLOOKUP(E200&amp;U200&amp;F200,tab_act&amp;tab_mod&amp;tab_act1,tab_ls)*V200*T200/MGMT))</f>
        <v>0</v>
      </c>
      <c r="AB200" s="46" cm="1">
        <f t="array" ref="AB200">IF(U200="",0,_xlfn.XLOOKUP(E200&amp;U200&amp;F200,tab_act&amp;tab_mod&amp;tab_act1,tab_hu)*V200*T200/MGMT)</f>
        <v>0</v>
      </c>
      <c r="AC200" s="46" cm="1">
        <f t="array" ref="AC200">IF(U200="",0,_xlfn.XLOOKUP(E200&amp;U200&amp;F200,tab_act&amp;tab_mod&amp;tab_act1,tab_mnp)*V200*T200/MGMT)</f>
        <v>0</v>
      </c>
      <c r="AD200" s="46" cm="1">
        <f t="array" ref="AD200">IF(U200="",0,_xlfn.XLOOKUP(E200&amp;U200&amp;F200,tab_act&amp;tab_mod&amp;tab_act1,tab_Psup)*V200*T200/MGMT)</f>
        <v>0</v>
      </c>
      <c r="AE200" s="46" cm="1">
        <f t="array" ref="AE200">IF(U200="",0,_xlfn.XLOOKUP(E200&amp;U200&amp;F200,tab_act&amp;tab_mod&amp;tab_act1,tab_csb1)*V200*T200/MGMT)</f>
        <v>0</v>
      </c>
      <c r="AF200" s="46" cm="1">
        <f t="array" ref="AF200">IF(U200="",0,_xlfn.XLOOKUP(E200&amp;U200&amp;F200,tab_act&amp;tab_mod&amp;tab_act1,tab_csb2)*V200*T200/MGMT)</f>
        <v>0</v>
      </c>
      <c r="AG200" s="109" cm="1">
        <f t="array" ref="AG200">IF(U200="",0,_xlfn.XLOOKUP(E200&amp;U200&amp;F200,tab_act&amp;tab_mod&amp;tab_act1,tab_pdoz)*V200*T200/MGMT)</f>
        <v>0.48344999999999999</v>
      </c>
      <c r="AH200" s="46" cm="1">
        <f t="array" ref="AH200">IF(U200="",0,_xlfn.XLOOKUP(E200&amp;U200&amp;F200,tab_act&amp;tab_mod&amp;tab_act1,tab_lns)*V200*T200/MGMT)</f>
        <v>0</v>
      </c>
      <c r="AI200" s="47">
        <f t="shared" si="21"/>
        <v>0.48344999999999999</v>
      </c>
      <c r="AJ200" s="48" cm="1">
        <f t="array" ref="AJ200">IF(U200="",0,_xlfn.XLOOKUP(E200&amp;U200&amp;F200,tab_act&amp;tab_mod&amp;tab_act1,tab_cash)*T200)</f>
        <v>0</v>
      </c>
      <c r="AK200" s="134" cm="1">
        <f t="array" ref="AK200">IF(B200="",0,IF(C200="",0,AJ200/_xlfn.XLOOKUP(B200&amp;C200,RMth&amp;RYr,RAr)))</f>
        <v>0</v>
      </c>
      <c r="AN200" s="146" t="str">
        <f t="shared" si="22"/>
        <v>A</v>
      </c>
    </row>
    <row r="201" spans="2:40" x14ac:dyDescent="0.35">
      <c r="B201" s="132" t="s">
        <v>128</v>
      </c>
      <c r="C201" s="44">
        <v>2023</v>
      </c>
      <c r="D201" s="44" t="s">
        <v>100</v>
      </c>
      <c r="E201" s="15" t="s">
        <v>39</v>
      </c>
      <c r="F201" s="108" t="s">
        <v>22</v>
      </c>
      <c r="G201" s="15" t="s">
        <v>159</v>
      </c>
      <c r="H201" s="44"/>
      <c r="I201" s="15" t="s">
        <v>94</v>
      </c>
      <c r="J201" s="15" t="s">
        <v>94</v>
      </c>
      <c r="K201" s="15" t="s">
        <v>160</v>
      </c>
      <c r="L201" s="15" t="s">
        <v>95</v>
      </c>
      <c r="M201" s="15" t="s">
        <v>94</v>
      </c>
      <c r="N201" s="15" t="s">
        <v>67</v>
      </c>
      <c r="O201" s="15" t="s">
        <v>200</v>
      </c>
      <c r="P201" s="15" t="s">
        <v>202</v>
      </c>
      <c r="Q201" s="42">
        <v>114.4</v>
      </c>
      <c r="R201" s="42">
        <v>96.8</v>
      </c>
      <c r="S201" s="42">
        <v>211.2</v>
      </c>
      <c r="T201" s="43">
        <v>211.2</v>
      </c>
      <c r="U201" s="44" t="s">
        <v>41</v>
      </c>
      <c r="V201" s="153">
        <v>30</v>
      </c>
      <c r="W201" s="45" cm="1">
        <f t="array" ref="W201">IF(U201="",0,_xlfn.XLOOKUP(E201&amp;U201&amp;F201,tab_act&amp;tab_mod&amp;tab_act1,tab_riz)*V201*T201/MGMT)</f>
        <v>0</v>
      </c>
      <c r="X201" s="42" cm="1">
        <f t="array" ref="X201">IF(U201="",0,_xlfn.XLOOKUP(E201&amp;U201&amp;F201,tab_act&amp;tab_mod&amp;tab_act1,tab_mc)*V201*T201/MGMT)</f>
        <v>0</v>
      </c>
      <c r="Y201" s="42" cm="1">
        <f t="array" ref="Y201">IF(U201="",0,_xlfn.XLOOKUP(E201&amp;U201&amp;F201,tab_act&amp;tab_mod&amp;tab_act1,tab_sor)*V201*T201/MGMT)</f>
        <v>0</v>
      </c>
      <c r="Z201" s="42" cm="1">
        <f t="array" ref="Z201">IF(U201="",0,_xlfn.XLOOKUP(E201&amp;U201&amp;F201,tab_act&amp;tab_mod&amp;tab_act1,tab_mg)*V201*T201/MGMT)</f>
        <v>0</v>
      </c>
      <c r="AA201" s="46" cm="1">
        <f t="array" ref="AA201">IF(U201="",0,IF(U201="hybrid-Sch",_xlfn.XLOOKUP(E201&amp;U201&amp;F201,tab_act&amp;tab_mod&amp;tab_act1,tab_ls)*SchLS*T201/MGMT,_xlfn.XLOOKUP(E201&amp;U201&amp;F201,tab_act&amp;tab_mod&amp;tab_act1,tab_ls)*V201*T201/MGMT))</f>
        <v>0</v>
      </c>
      <c r="AB201" s="46" cm="1">
        <f t="array" ref="AB201">IF(U201="",0,_xlfn.XLOOKUP(E201&amp;U201&amp;F201,tab_act&amp;tab_mod&amp;tab_act1,tab_hu)*V201*T201/MGMT)</f>
        <v>0</v>
      </c>
      <c r="AC201" s="46" cm="1">
        <f t="array" ref="AC201">IF(U201="",0,_xlfn.XLOOKUP(E201&amp;U201&amp;F201,tab_act&amp;tab_mod&amp;tab_act1,tab_mnp)*V201*T201/MGMT)</f>
        <v>0</v>
      </c>
      <c r="AD201" s="46" cm="1">
        <f t="array" ref="AD201">IF(U201="",0,_xlfn.XLOOKUP(E201&amp;U201&amp;F201,tab_act&amp;tab_mod&amp;tab_act1,tab_Psup)*V201*T201/MGMT)</f>
        <v>0</v>
      </c>
      <c r="AE201" s="46" cm="1">
        <f t="array" ref="AE201">IF(U201="",0,_xlfn.XLOOKUP(E201&amp;U201&amp;F201,tab_act&amp;tab_mod&amp;tab_act1,tab_csb1)*V201*T201/MGMT)</f>
        <v>0</v>
      </c>
      <c r="AF201" s="46" cm="1">
        <f t="array" ref="AF201">IF(U201="",0,_xlfn.XLOOKUP(E201&amp;U201&amp;F201,tab_act&amp;tab_mod&amp;tab_act1,tab_csb2)*V201*T201/MGMT)</f>
        <v>0</v>
      </c>
      <c r="AG201" s="109" cm="1">
        <f t="array" ref="AG201">IF(U201="",0,_xlfn.XLOOKUP(E201&amp;U201&amp;F201,tab_act&amp;tab_mod&amp;tab_act1,tab_pdoz)*V201*T201/MGMT)</f>
        <v>0.31680000000000003</v>
      </c>
      <c r="AH201" s="46" cm="1">
        <f t="array" ref="AH201">IF(U201="",0,_xlfn.XLOOKUP(E201&amp;U201&amp;F201,tab_act&amp;tab_mod&amp;tab_act1,tab_lns)*V201*T201/MGMT)</f>
        <v>0</v>
      </c>
      <c r="AI201" s="47">
        <f t="shared" si="21"/>
        <v>0.31680000000000003</v>
      </c>
      <c r="AJ201" s="48" cm="1">
        <f t="array" ref="AJ201">IF(U201="",0,_xlfn.XLOOKUP(E201&amp;U201&amp;F201,tab_act&amp;tab_mod&amp;tab_act1,tab_cash)*T201)</f>
        <v>0</v>
      </c>
      <c r="AK201" s="134" cm="1">
        <f t="array" ref="AK201">IF(B201="",0,IF(C201="",0,AJ201/_xlfn.XLOOKUP(B201&amp;C201,RMth&amp;RYr,RAr)))</f>
        <v>0</v>
      </c>
      <c r="AN201" s="146" t="str">
        <f t="shared" si="22"/>
        <v>A</v>
      </c>
    </row>
    <row r="202" spans="2:40" x14ac:dyDescent="0.35">
      <c r="B202" s="132" t="s">
        <v>128</v>
      </c>
      <c r="C202" s="44">
        <v>2023</v>
      </c>
      <c r="D202" s="44" t="s">
        <v>100</v>
      </c>
      <c r="E202" s="15" t="s">
        <v>39</v>
      </c>
      <c r="F202" s="108" t="s">
        <v>22</v>
      </c>
      <c r="G202" s="15" t="s">
        <v>159</v>
      </c>
      <c r="H202" s="44"/>
      <c r="I202" s="15" t="s">
        <v>94</v>
      </c>
      <c r="J202" s="15" t="s">
        <v>94</v>
      </c>
      <c r="K202" s="15" t="s">
        <v>160</v>
      </c>
      <c r="L202" s="15" t="s">
        <v>95</v>
      </c>
      <c r="M202" s="15" t="s">
        <v>94</v>
      </c>
      <c r="N202" s="15" t="s">
        <v>67</v>
      </c>
      <c r="O202" s="15" t="s">
        <v>200</v>
      </c>
      <c r="P202" s="15" t="s">
        <v>203</v>
      </c>
      <c r="Q202" s="42">
        <v>238.7</v>
      </c>
      <c r="R202" s="42">
        <v>238.7</v>
      </c>
      <c r="S202" s="42">
        <v>477.4</v>
      </c>
      <c r="T202" s="43">
        <v>477.4</v>
      </c>
      <c r="U202" s="44" t="s">
        <v>41</v>
      </c>
      <c r="V202" s="153">
        <v>30</v>
      </c>
      <c r="W202" s="45" cm="1">
        <f t="array" ref="W202">IF(U202="",0,_xlfn.XLOOKUP(E202&amp;U202&amp;F202,tab_act&amp;tab_mod&amp;tab_act1,tab_riz)*V202*T202/MGMT)</f>
        <v>0</v>
      </c>
      <c r="X202" s="42" cm="1">
        <f t="array" ref="X202">IF(U202="",0,_xlfn.XLOOKUP(E202&amp;U202&amp;F202,tab_act&amp;tab_mod&amp;tab_act1,tab_mc)*V202*T202/MGMT)</f>
        <v>0</v>
      </c>
      <c r="Y202" s="42" cm="1">
        <f t="array" ref="Y202">IF(U202="",0,_xlfn.XLOOKUP(E202&amp;U202&amp;F202,tab_act&amp;tab_mod&amp;tab_act1,tab_sor)*V202*T202/MGMT)</f>
        <v>0</v>
      </c>
      <c r="Z202" s="42" cm="1">
        <f t="array" ref="Z202">IF(U202="",0,_xlfn.XLOOKUP(E202&amp;U202&amp;F202,tab_act&amp;tab_mod&amp;tab_act1,tab_mg)*V202*T202/MGMT)</f>
        <v>0</v>
      </c>
      <c r="AA202" s="46" cm="1">
        <f t="array" ref="AA202">IF(U202="",0,IF(U202="hybrid-Sch",_xlfn.XLOOKUP(E202&amp;U202&amp;F202,tab_act&amp;tab_mod&amp;tab_act1,tab_ls)*SchLS*T202/MGMT,_xlfn.XLOOKUP(E202&amp;U202&amp;F202,tab_act&amp;tab_mod&amp;tab_act1,tab_ls)*V202*T202/MGMT))</f>
        <v>0</v>
      </c>
      <c r="AB202" s="46" cm="1">
        <f t="array" ref="AB202">IF(U202="",0,_xlfn.XLOOKUP(E202&amp;U202&amp;F202,tab_act&amp;tab_mod&amp;tab_act1,tab_hu)*V202*T202/MGMT)</f>
        <v>0</v>
      </c>
      <c r="AC202" s="46" cm="1">
        <f t="array" ref="AC202">IF(U202="",0,_xlfn.XLOOKUP(E202&amp;U202&amp;F202,tab_act&amp;tab_mod&amp;tab_act1,tab_mnp)*V202*T202/MGMT)</f>
        <v>0</v>
      </c>
      <c r="AD202" s="46" cm="1">
        <f t="array" ref="AD202">IF(U202="",0,_xlfn.XLOOKUP(E202&amp;U202&amp;F202,tab_act&amp;tab_mod&amp;tab_act1,tab_Psup)*V202*T202/MGMT)</f>
        <v>0</v>
      </c>
      <c r="AE202" s="46" cm="1">
        <f t="array" ref="AE202">IF(U202="",0,_xlfn.XLOOKUP(E202&amp;U202&amp;F202,tab_act&amp;tab_mod&amp;tab_act1,tab_csb1)*V202*T202/MGMT)</f>
        <v>0</v>
      </c>
      <c r="AF202" s="46" cm="1">
        <f t="array" ref="AF202">IF(U202="",0,_xlfn.XLOOKUP(E202&amp;U202&amp;F202,tab_act&amp;tab_mod&amp;tab_act1,tab_csb2)*V202*T202/MGMT)</f>
        <v>0</v>
      </c>
      <c r="AG202" s="109" cm="1">
        <f t="array" ref="AG202">IF(U202="",0,_xlfn.XLOOKUP(E202&amp;U202&amp;F202,tab_act&amp;tab_mod&amp;tab_act1,tab_pdoz)*V202*T202/MGMT)</f>
        <v>0.71609999999999996</v>
      </c>
      <c r="AH202" s="46" cm="1">
        <f t="array" ref="AH202">IF(U202="",0,_xlfn.XLOOKUP(E202&amp;U202&amp;F202,tab_act&amp;tab_mod&amp;tab_act1,tab_lns)*V202*T202/MGMT)</f>
        <v>0</v>
      </c>
      <c r="AI202" s="47">
        <f t="shared" si="21"/>
        <v>0.71609999999999996</v>
      </c>
      <c r="AJ202" s="48" cm="1">
        <f t="array" ref="AJ202">IF(U202="",0,_xlfn.XLOOKUP(E202&amp;U202&amp;F202,tab_act&amp;tab_mod&amp;tab_act1,tab_cash)*T202)</f>
        <v>0</v>
      </c>
      <c r="AK202" s="134" cm="1">
        <f t="array" ref="AK202">IF(B202="",0,IF(C202="",0,AJ202/_xlfn.XLOOKUP(B202&amp;C202,RMth&amp;RYr,RAr)))</f>
        <v>0</v>
      </c>
      <c r="AN202" s="146" t="str">
        <f t="shared" si="22"/>
        <v>A</v>
      </c>
    </row>
    <row r="203" spans="2:40" x14ac:dyDescent="0.35">
      <c r="B203" s="132" t="s">
        <v>128</v>
      </c>
      <c r="C203" s="44">
        <v>2023</v>
      </c>
      <c r="D203" s="44" t="s">
        <v>100</v>
      </c>
      <c r="E203" s="15" t="s">
        <v>39</v>
      </c>
      <c r="F203" s="108" t="s">
        <v>22</v>
      </c>
      <c r="G203" s="15" t="s">
        <v>159</v>
      </c>
      <c r="H203" s="44"/>
      <c r="I203" s="15" t="s">
        <v>94</v>
      </c>
      <c r="J203" s="15" t="s">
        <v>94</v>
      </c>
      <c r="K203" s="15" t="s">
        <v>160</v>
      </c>
      <c r="L203" s="15" t="s">
        <v>95</v>
      </c>
      <c r="M203" s="15" t="s">
        <v>94</v>
      </c>
      <c r="N203" s="15" t="s">
        <v>67</v>
      </c>
      <c r="O203" s="15" t="s">
        <v>200</v>
      </c>
      <c r="P203" s="15" t="s">
        <v>204</v>
      </c>
      <c r="Q203" s="42">
        <v>163.9</v>
      </c>
      <c r="R203" s="42">
        <v>184.8</v>
      </c>
      <c r="S203" s="42">
        <v>348.70000000000005</v>
      </c>
      <c r="T203" s="43">
        <v>348.70000000000005</v>
      </c>
      <c r="U203" s="44" t="s">
        <v>41</v>
      </c>
      <c r="V203" s="153">
        <v>30</v>
      </c>
      <c r="W203" s="45" cm="1">
        <f t="array" ref="W203">IF(U203="",0,_xlfn.XLOOKUP(E203&amp;U203&amp;F203,tab_act&amp;tab_mod&amp;tab_act1,tab_riz)*V203*T203/MGMT)</f>
        <v>0</v>
      </c>
      <c r="X203" s="42" cm="1">
        <f t="array" ref="X203">IF(U203="",0,_xlfn.XLOOKUP(E203&amp;U203&amp;F203,tab_act&amp;tab_mod&amp;tab_act1,tab_mc)*V203*T203/MGMT)</f>
        <v>0</v>
      </c>
      <c r="Y203" s="42" cm="1">
        <f t="array" ref="Y203">IF(U203="",0,_xlfn.XLOOKUP(E203&amp;U203&amp;F203,tab_act&amp;tab_mod&amp;tab_act1,tab_sor)*V203*T203/MGMT)</f>
        <v>0</v>
      </c>
      <c r="Z203" s="42" cm="1">
        <f t="array" ref="Z203">IF(U203="",0,_xlfn.XLOOKUP(E203&amp;U203&amp;F203,tab_act&amp;tab_mod&amp;tab_act1,tab_mg)*V203*T203/MGMT)</f>
        <v>0</v>
      </c>
      <c r="AA203" s="46" cm="1">
        <f t="array" ref="AA203">IF(U203="",0,IF(U203="hybrid-Sch",_xlfn.XLOOKUP(E203&amp;U203&amp;F203,tab_act&amp;tab_mod&amp;tab_act1,tab_ls)*SchLS*T203/MGMT,_xlfn.XLOOKUP(E203&amp;U203&amp;F203,tab_act&amp;tab_mod&amp;tab_act1,tab_ls)*V203*T203/MGMT))</f>
        <v>0</v>
      </c>
      <c r="AB203" s="46" cm="1">
        <f t="array" ref="AB203">IF(U203="",0,_xlfn.XLOOKUP(E203&amp;U203&amp;F203,tab_act&amp;tab_mod&amp;tab_act1,tab_hu)*V203*T203/MGMT)</f>
        <v>0</v>
      </c>
      <c r="AC203" s="46" cm="1">
        <f t="array" ref="AC203">IF(U203="",0,_xlfn.XLOOKUP(E203&amp;U203&amp;F203,tab_act&amp;tab_mod&amp;tab_act1,tab_mnp)*V203*T203/MGMT)</f>
        <v>0</v>
      </c>
      <c r="AD203" s="46" cm="1">
        <f t="array" ref="AD203">IF(U203="",0,_xlfn.XLOOKUP(E203&amp;U203&amp;F203,tab_act&amp;tab_mod&amp;tab_act1,tab_Psup)*V203*T203/MGMT)</f>
        <v>0</v>
      </c>
      <c r="AE203" s="46" cm="1">
        <f t="array" ref="AE203">IF(U203="",0,_xlfn.XLOOKUP(E203&amp;U203&amp;F203,tab_act&amp;tab_mod&amp;tab_act1,tab_csb1)*V203*T203/MGMT)</f>
        <v>0</v>
      </c>
      <c r="AF203" s="46" cm="1">
        <f t="array" ref="AF203">IF(U203="",0,_xlfn.XLOOKUP(E203&amp;U203&amp;F203,tab_act&amp;tab_mod&amp;tab_act1,tab_csb2)*V203*T203/MGMT)</f>
        <v>0</v>
      </c>
      <c r="AG203" s="109" cm="1">
        <f t="array" ref="AG203">IF(U203="",0,_xlfn.XLOOKUP(E203&amp;U203&amp;F203,tab_act&amp;tab_mod&amp;tab_act1,tab_pdoz)*V203*T203/MGMT)</f>
        <v>0.52305000000000001</v>
      </c>
      <c r="AH203" s="46" cm="1">
        <f t="array" ref="AH203">IF(U203="",0,_xlfn.XLOOKUP(E203&amp;U203&amp;F203,tab_act&amp;tab_mod&amp;tab_act1,tab_lns)*V203*T203/MGMT)</f>
        <v>0</v>
      </c>
      <c r="AI203" s="47">
        <f t="shared" si="21"/>
        <v>0.52305000000000001</v>
      </c>
      <c r="AJ203" s="48" cm="1">
        <f t="array" ref="AJ203">IF(U203="",0,_xlfn.XLOOKUP(E203&amp;U203&amp;F203,tab_act&amp;tab_mod&amp;tab_act1,tab_cash)*T203)</f>
        <v>0</v>
      </c>
      <c r="AK203" s="134" cm="1">
        <f t="array" ref="AK203">IF(B203="",0,IF(C203="",0,AJ203/_xlfn.XLOOKUP(B203&amp;C203,RMth&amp;RYr,RAr)))</f>
        <v>0</v>
      </c>
      <c r="AN203" s="146" t="str">
        <f t="shared" si="22"/>
        <v>A</v>
      </c>
    </row>
    <row r="204" spans="2:40" x14ac:dyDescent="0.35">
      <c r="B204" s="132" t="s">
        <v>128</v>
      </c>
      <c r="C204" s="44">
        <v>2023</v>
      </c>
      <c r="D204" s="44" t="s">
        <v>100</v>
      </c>
      <c r="E204" s="15" t="s">
        <v>39</v>
      </c>
      <c r="F204" s="108" t="s">
        <v>22</v>
      </c>
      <c r="G204" s="15" t="s">
        <v>159</v>
      </c>
      <c r="H204" s="44"/>
      <c r="I204" s="15" t="s">
        <v>94</v>
      </c>
      <c r="J204" s="15" t="s">
        <v>94</v>
      </c>
      <c r="K204" s="15" t="s">
        <v>160</v>
      </c>
      <c r="L204" s="15" t="s">
        <v>95</v>
      </c>
      <c r="M204" s="15" t="s">
        <v>94</v>
      </c>
      <c r="N204" s="15" t="s">
        <v>67</v>
      </c>
      <c r="O204" s="15" t="s">
        <v>200</v>
      </c>
      <c r="P204" s="15" t="s">
        <v>205</v>
      </c>
      <c r="Q204" s="42">
        <v>51.7</v>
      </c>
      <c r="R204" s="42">
        <v>60.5</v>
      </c>
      <c r="S204" s="42">
        <v>112.2</v>
      </c>
      <c r="T204" s="43">
        <v>112.2</v>
      </c>
      <c r="U204" s="44" t="s">
        <v>41</v>
      </c>
      <c r="V204" s="153">
        <v>30</v>
      </c>
      <c r="W204" s="45" cm="1">
        <f t="array" ref="W204">IF(U204="",0,_xlfn.XLOOKUP(E204&amp;U204&amp;F204,tab_act&amp;tab_mod&amp;tab_act1,tab_riz)*V204*T204/MGMT)</f>
        <v>0</v>
      </c>
      <c r="X204" s="42" cm="1">
        <f t="array" ref="X204">IF(U204="",0,_xlfn.XLOOKUP(E204&amp;U204&amp;F204,tab_act&amp;tab_mod&amp;tab_act1,tab_mc)*V204*T204/MGMT)</f>
        <v>0</v>
      </c>
      <c r="Y204" s="42" cm="1">
        <f t="array" ref="Y204">IF(U204="",0,_xlfn.XLOOKUP(E204&amp;U204&amp;F204,tab_act&amp;tab_mod&amp;tab_act1,tab_sor)*V204*T204/MGMT)</f>
        <v>0</v>
      </c>
      <c r="Z204" s="42" cm="1">
        <f t="array" ref="Z204">IF(U204="",0,_xlfn.XLOOKUP(E204&amp;U204&amp;F204,tab_act&amp;tab_mod&amp;tab_act1,tab_mg)*V204*T204/MGMT)</f>
        <v>0</v>
      </c>
      <c r="AA204" s="46" cm="1">
        <f t="array" ref="AA204">IF(U204="",0,IF(U204="hybrid-Sch",_xlfn.XLOOKUP(E204&amp;U204&amp;F204,tab_act&amp;tab_mod&amp;tab_act1,tab_ls)*SchLS*T204/MGMT,_xlfn.XLOOKUP(E204&amp;U204&amp;F204,tab_act&amp;tab_mod&amp;tab_act1,tab_ls)*V204*T204/MGMT))</f>
        <v>0</v>
      </c>
      <c r="AB204" s="46" cm="1">
        <f t="array" ref="AB204">IF(U204="",0,_xlfn.XLOOKUP(E204&amp;U204&amp;F204,tab_act&amp;tab_mod&amp;tab_act1,tab_hu)*V204*T204/MGMT)</f>
        <v>0</v>
      </c>
      <c r="AC204" s="46" cm="1">
        <f t="array" ref="AC204">IF(U204="",0,_xlfn.XLOOKUP(E204&amp;U204&amp;F204,tab_act&amp;tab_mod&amp;tab_act1,tab_mnp)*V204*T204/MGMT)</f>
        <v>0</v>
      </c>
      <c r="AD204" s="46" cm="1">
        <f t="array" ref="AD204">IF(U204="",0,_xlfn.XLOOKUP(E204&amp;U204&amp;F204,tab_act&amp;tab_mod&amp;tab_act1,tab_Psup)*V204*T204/MGMT)</f>
        <v>0</v>
      </c>
      <c r="AE204" s="46" cm="1">
        <f t="array" ref="AE204">IF(U204="",0,_xlfn.XLOOKUP(E204&amp;U204&amp;F204,tab_act&amp;tab_mod&amp;tab_act1,tab_csb1)*V204*T204/MGMT)</f>
        <v>0</v>
      </c>
      <c r="AF204" s="46" cm="1">
        <f t="array" ref="AF204">IF(U204="",0,_xlfn.XLOOKUP(E204&amp;U204&amp;F204,tab_act&amp;tab_mod&amp;tab_act1,tab_csb2)*V204*T204/MGMT)</f>
        <v>0</v>
      </c>
      <c r="AG204" s="109" cm="1">
        <f t="array" ref="AG204">IF(U204="",0,_xlfn.XLOOKUP(E204&amp;U204&amp;F204,tab_act&amp;tab_mod&amp;tab_act1,tab_pdoz)*V204*T204/MGMT)</f>
        <v>0.16830000000000001</v>
      </c>
      <c r="AH204" s="46" cm="1">
        <f t="array" ref="AH204">IF(U204="",0,_xlfn.XLOOKUP(E204&amp;U204&amp;F204,tab_act&amp;tab_mod&amp;tab_act1,tab_lns)*V204*T204/MGMT)</f>
        <v>0</v>
      </c>
      <c r="AI204" s="47">
        <f t="shared" si="21"/>
        <v>0.16830000000000001</v>
      </c>
      <c r="AJ204" s="48" cm="1">
        <f t="array" ref="AJ204">IF(U204="",0,_xlfn.XLOOKUP(E204&amp;U204&amp;F204,tab_act&amp;tab_mod&amp;tab_act1,tab_cash)*T204)</f>
        <v>0</v>
      </c>
      <c r="AK204" s="134" cm="1">
        <f t="array" ref="AK204">IF(B204="",0,IF(C204="",0,AJ204/_xlfn.XLOOKUP(B204&amp;C204,RMth&amp;RYr,RAr)))</f>
        <v>0</v>
      </c>
      <c r="AN204" s="146" t="str">
        <f t="shared" si="22"/>
        <v>A</v>
      </c>
    </row>
    <row r="205" spans="2:40" x14ac:dyDescent="0.35">
      <c r="B205" s="132" t="s">
        <v>128</v>
      </c>
      <c r="C205" s="44">
        <v>2023</v>
      </c>
      <c r="D205" s="44" t="s">
        <v>100</v>
      </c>
      <c r="E205" s="15" t="s">
        <v>39</v>
      </c>
      <c r="F205" s="108" t="s">
        <v>22</v>
      </c>
      <c r="G205" s="15" t="s">
        <v>159</v>
      </c>
      <c r="H205" s="44"/>
      <c r="I205" s="15" t="s">
        <v>94</v>
      </c>
      <c r="J205" s="15" t="s">
        <v>94</v>
      </c>
      <c r="K205" s="15" t="s">
        <v>160</v>
      </c>
      <c r="L205" s="15" t="s">
        <v>95</v>
      </c>
      <c r="M205" s="15" t="s">
        <v>94</v>
      </c>
      <c r="N205" s="15" t="s">
        <v>67</v>
      </c>
      <c r="O205" s="15" t="s">
        <v>206</v>
      </c>
      <c r="P205" s="15" t="s">
        <v>207</v>
      </c>
      <c r="Q205" s="42">
        <v>160.6</v>
      </c>
      <c r="R205" s="42">
        <v>180.4</v>
      </c>
      <c r="S205" s="42">
        <v>341</v>
      </c>
      <c r="T205" s="43">
        <v>341</v>
      </c>
      <c r="U205" s="44" t="s">
        <v>41</v>
      </c>
      <c r="V205" s="153">
        <v>30</v>
      </c>
      <c r="W205" s="45" cm="1">
        <f t="array" ref="W205">IF(U205="",0,_xlfn.XLOOKUP(E205&amp;U205&amp;F205,tab_act&amp;tab_mod&amp;tab_act1,tab_riz)*V205*T205/MGMT)</f>
        <v>0</v>
      </c>
      <c r="X205" s="42" cm="1">
        <f t="array" ref="X205">IF(U205="",0,_xlfn.XLOOKUP(E205&amp;U205&amp;F205,tab_act&amp;tab_mod&amp;tab_act1,tab_mc)*V205*T205/MGMT)</f>
        <v>0</v>
      </c>
      <c r="Y205" s="42" cm="1">
        <f t="array" ref="Y205">IF(U205="",0,_xlfn.XLOOKUP(E205&amp;U205&amp;F205,tab_act&amp;tab_mod&amp;tab_act1,tab_sor)*V205*T205/MGMT)</f>
        <v>0</v>
      </c>
      <c r="Z205" s="42" cm="1">
        <f t="array" ref="Z205">IF(U205="",0,_xlfn.XLOOKUP(E205&amp;U205&amp;F205,tab_act&amp;tab_mod&amp;tab_act1,tab_mg)*V205*T205/MGMT)</f>
        <v>0</v>
      </c>
      <c r="AA205" s="46" cm="1">
        <f t="array" ref="AA205">IF(U205="",0,IF(U205="hybrid-Sch",_xlfn.XLOOKUP(E205&amp;U205&amp;F205,tab_act&amp;tab_mod&amp;tab_act1,tab_ls)*SchLS*T205/MGMT,_xlfn.XLOOKUP(E205&amp;U205&amp;F205,tab_act&amp;tab_mod&amp;tab_act1,tab_ls)*V205*T205/MGMT))</f>
        <v>0</v>
      </c>
      <c r="AB205" s="46" cm="1">
        <f t="array" ref="AB205">IF(U205="",0,_xlfn.XLOOKUP(E205&amp;U205&amp;F205,tab_act&amp;tab_mod&amp;tab_act1,tab_hu)*V205*T205/MGMT)</f>
        <v>0</v>
      </c>
      <c r="AC205" s="46" cm="1">
        <f t="array" ref="AC205">IF(U205="",0,_xlfn.XLOOKUP(E205&amp;U205&amp;F205,tab_act&amp;tab_mod&amp;tab_act1,tab_mnp)*V205*T205/MGMT)</f>
        <v>0</v>
      </c>
      <c r="AD205" s="46" cm="1">
        <f t="array" ref="AD205">IF(U205="",0,_xlfn.XLOOKUP(E205&amp;U205&amp;F205,tab_act&amp;tab_mod&amp;tab_act1,tab_Psup)*V205*T205/MGMT)</f>
        <v>0</v>
      </c>
      <c r="AE205" s="46" cm="1">
        <f t="array" ref="AE205">IF(U205="",0,_xlfn.XLOOKUP(E205&amp;U205&amp;F205,tab_act&amp;tab_mod&amp;tab_act1,tab_csb1)*V205*T205/MGMT)</f>
        <v>0</v>
      </c>
      <c r="AF205" s="46" cm="1">
        <f t="array" ref="AF205">IF(U205="",0,_xlfn.XLOOKUP(E205&amp;U205&amp;F205,tab_act&amp;tab_mod&amp;tab_act1,tab_csb2)*V205*T205/MGMT)</f>
        <v>0</v>
      </c>
      <c r="AG205" s="109" cm="1">
        <f t="array" ref="AG205">IF(U205="",0,_xlfn.XLOOKUP(E205&amp;U205&amp;F205,tab_act&amp;tab_mod&amp;tab_act1,tab_pdoz)*V205*T205/MGMT)</f>
        <v>0.51149999999999995</v>
      </c>
      <c r="AH205" s="46" cm="1">
        <f t="array" ref="AH205">IF(U205="",0,_xlfn.XLOOKUP(E205&amp;U205&amp;F205,tab_act&amp;tab_mod&amp;tab_act1,tab_lns)*V205*T205/MGMT)</f>
        <v>0</v>
      </c>
      <c r="AI205" s="47">
        <f t="shared" si="21"/>
        <v>0.51149999999999995</v>
      </c>
      <c r="AJ205" s="48" cm="1">
        <f t="array" ref="AJ205">IF(U205="",0,_xlfn.XLOOKUP(E205&amp;U205&amp;F205,tab_act&amp;tab_mod&amp;tab_act1,tab_cash)*T205)</f>
        <v>0</v>
      </c>
      <c r="AK205" s="134" cm="1">
        <f t="array" ref="AK205">IF(B205="",0,IF(C205="",0,AJ205/_xlfn.XLOOKUP(B205&amp;C205,RMth&amp;RYr,RAr)))</f>
        <v>0</v>
      </c>
      <c r="AN205" s="146" t="str">
        <f t="shared" si="22"/>
        <v>A</v>
      </c>
    </row>
    <row r="206" spans="2:40" x14ac:dyDescent="0.35">
      <c r="B206" s="132" t="s">
        <v>128</v>
      </c>
      <c r="C206" s="44">
        <v>2023</v>
      </c>
      <c r="D206" s="44" t="s">
        <v>100</v>
      </c>
      <c r="E206" s="15" t="s">
        <v>39</v>
      </c>
      <c r="F206" s="108" t="s">
        <v>22</v>
      </c>
      <c r="G206" s="15" t="s">
        <v>159</v>
      </c>
      <c r="H206" s="44"/>
      <c r="I206" s="15" t="s">
        <v>94</v>
      </c>
      <c r="J206" s="15" t="s">
        <v>94</v>
      </c>
      <c r="K206" s="15" t="s">
        <v>160</v>
      </c>
      <c r="L206" s="15" t="s">
        <v>95</v>
      </c>
      <c r="M206" s="15" t="s">
        <v>94</v>
      </c>
      <c r="N206" s="15" t="s">
        <v>67</v>
      </c>
      <c r="O206" s="15" t="s">
        <v>206</v>
      </c>
      <c r="P206" s="15" t="s">
        <v>208</v>
      </c>
      <c r="Q206" s="42">
        <v>79.2</v>
      </c>
      <c r="R206" s="42">
        <v>62.7</v>
      </c>
      <c r="S206" s="42">
        <v>141.9</v>
      </c>
      <c r="T206" s="43">
        <v>141.9</v>
      </c>
      <c r="U206" s="44" t="s">
        <v>41</v>
      </c>
      <c r="V206" s="153">
        <v>30</v>
      </c>
      <c r="W206" s="45" cm="1">
        <f t="array" ref="W206">IF(U206="",0,_xlfn.XLOOKUP(E206&amp;U206&amp;F206,tab_act&amp;tab_mod&amp;tab_act1,tab_riz)*V206*T206/MGMT)</f>
        <v>0</v>
      </c>
      <c r="X206" s="42" cm="1">
        <f t="array" ref="X206">IF(U206="",0,_xlfn.XLOOKUP(E206&amp;U206&amp;F206,tab_act&amp;tab_mod&amp;tab_act1,tab_mc)*V206*T206/MGMT)</f>
        <v>0</v>
      </c>
      <c r="Y206" s="42" cm="1">
        <f t="array" ref="Y206">IF(U206="",0,_xlfn.XLOOKUP(E206&amp;U206&amp;F206,tab_act&amp;tab_mod&amp;tab_act1,tab_sor)*V206*T206/MGMT)</f>
        <v>0</v>
      </c>
      <c r="Z206" s="42" cm="1">
        <f t="array" ref="Z206">IF(U206="",0,_xlfn.XLOOKUP(E206&amp;U206&amp;F206,tab_act&amp;tab_mod&amp;tab_act1,tab_mg)*V206*T206/MGMT)</f>
        <v>0</v>
      </c>
      <c r="AA206" s="46" cm="1">
        <f t="array" ref="AA206">IF(U206="",0,IF(U206="hybrid-Sch",_xlfn.XLOOKUP(E206&amp;U206&amp;F206,tab_act&amp;tab_mod&amp;tab_act1,tab_ls)*SchLS*T206/MGMT,_xlfn.XLOOKUP(E206&amp;U206&amp;F206,tab_act&amp;tab_mod&amp;tab_act1,tab_ls)*V206*T206/MGMT))</f>
        <v>0</v>
      </c>
      <c r="AB206" s="46" cm="1">
        <f t="array" ref="AB206">IF(U206="",0,_xlfn.XLOOKUP(E206&amp;U206&amp;F206,tab_act&amp;tab_mod&amp;tab_act1,tab_hu)*V206*T206/MGMT)</f>
        <v>0</v>
      </c>
      <c r="AC206" s="46" cm="1">
        <f t="array" ref="AC206">IF(U206="",0,_xlfn.XLOOKUP(E206&amp;U206&amp;F206,tab_act&amp;tab_mod&amp;tab_act1,tab_mnp)*V206*T206/MGMT)</f>
        <v>0</v>
      </c>
      <c r="AD206" s="46" cm="1">
        <f t="array" ref="AD206">IF(U206="",0,_xlfn.XLOOKUP(E206&amp;U206&amp;F206,tab_act&amp;tab_mod&amp;tab_act1,tab_Psup)*V206*T206/MGMT)</f>
        <v>0</v>
      </c>
      <c r="AE206" s="46" cm="1">
        <f t="array" ref="AE206">IF(U206="",0,_xlfn.XLOOKUP(E206&amp;U206&amp;F206,tab_act&amp;tab_mod&amp;tab_act1,tab_csb1)*V206*T206/MGMT)</f>
        <v>0</v>
      </c>
      <c r="AF206" s="46" cm="1">
        <f t="array" ref="AF206">IF(U206="",0,_xlfn.XLOOKUP(E206&amp;U206&amp;F206,tab_act&amp;tab_mod&amp;tab_act1,tab_csb2)*V206*T206/MGMT)</f>
        <v>0</v>
      </c>
      <c r="AG206" s="109" cm="1">
        <f t="array" ref="AG206">IF(U206="",0,_xlfn.XLOOKUP(E206&amp;U206&amp;F206,tab_act&amp;tab_mod&amp;tab_act1,tab_pdoz)*V206*T206/MGMT)</f>
        <v>0.21285000000000001</v>
      </c>
      <c r="AH206" s="46" cm="1">
        <f t="array" ref="AH206">IF(U206="",0,_xlfn.XLOOKUP(E206&amp;U206&amp;F206,tab_act&amp;tab_mod&amp;tab_act1,tab_lns)*V206*T206/MGMT)</f>
        <v>0</v>
      </c>
      <c r="AI206" s="47">
        <f t="shared" si="21"/>
        <v>0.21285000000000001</v>
      </c>
      <c r="AJ206" s="48" cm="1">
        <f t="array" ref="AJ206">IF(U206="",0,_xlfn.XLOOKUP(E206&amp;U206&amp;F206,tab_act&amp;tab_mod&amp;tab_act1,tab_cash)*T206)</f>
        <v>0</v>
      </c>
      <c r="AK206" s="134" cm="1">
        <f t="array" ref="AK206">IF(B206="",0,IF(C206="",0,AJ206/_xlfn.XLOOKUP(B206&amp;C206,RMth&amp;RYr,RAr)))</f>
        <v>0</v>
      </c>
      <c r="AN206" s="146" t="str">
        <f t="shared" si="22"/>
        <v>A</v>
      </c>
    </row>
    <row r="207" spans="2:40" x14ac:dyDescent="0.35">
      <c r="B207" s="132" t="s">
        <v>128</v>
      </c>
      <c r="C207" s="44">
        <v>2023</v>
      </c>
      <c r="D207" s="44" t="s">
        <v>100</v>
      </c>
      <c r="E207" s="15" t="s">
        <v>39</v>
      </c>
      <c r="F207" s="108" t="s">
        <v>22</v>
      </c>
      <c r="G207" s="15" t="s">
        <v>159</v>
      </c>
      <c r="H207" s="44"/>
      <c r="I207" s="15" t="s">
        <v>94</v>
      </c>
      <c r="J207" s="15" t="s">
        <v>94</v>
      </c>
      <c r="K207" s="15" t="s">
        <v>160</v>
      </c>
      <c r="L207" s="15" t="s">
        <v>95</v>
      </c>
      <c r="M207" s="15" t="s">
        <v>94</v>
      </c>
      <c r="N207" s="15" t="s">
        <v>67</v>
      </c>
      <c r="O207" s="15" t="s">
        <v>206</v>
      </c>
      <c r="P207" s="15" t="s">
        <v>209</v>
      </c>
      <c r="Q207" s="42">
        <v>124.3</v>
      </c>
      <c r="R207" s="42">
        <v>132</v>
      </c>
      <c r="S207" s="42">
        <v>256.3</v>
      </c>
      <c r="T207" s="43">
        <v>256.3</v>
      </c>
      <c r="U207" s="44" t="s">
        <v>41</v>
      </c>
      <c r="V207" s="153">
        <v>30</v>
      </c>
      <c r="W207" s="45" cm="1">
        <f t="array" ref="W207">IF(U207="",0,_xlfn.XLOOKUP(E207&amp;U207&amp;F207,tab_act&amp;tab_mod&amp;tab_act1,tab_riz)*V207*T207/MGMT)</f>
        <v>0</v>
      </c>
      <c r="X207" s="42" cm="1">
        <f t="array" ref="X207">IF(U207="",0,_xlfn.XLOOKUP(E207&amp;U207&amp;F207,tab_act&amp;tab_mod&amp;tab_act1,tab_mc)*V207*T207/MGMT)</f>
        <v>0</v>
      </c>
      <c r="Y207" s="42" cm="1">
        <f t="array" ref="Y207">IF(U207="",0,_xlfn.XLOOKUP(E207&amp;U207&amp;F207,tab_act&amp;tab_mod&amp;tab_act1,tab_sor)*V207*T207/MGMT)</f>
        <v>0</v>
      </c>
      <c r="Z207" s="42" cm="1">
        <f t="array" ref="Z207">IF(U207="",0,_xlfn.XLOOKUP(E207&amp;U207&amp;F207,tab_act&amp;tab_mod&amp;tab_act1,tab_mg)*V207*T207/MGMT)</f>
        <v>0</v>
      </c>
      <c r="AA207" s="46" cm="1">
        <f t="array" ref="AA207">IF(U207="",0,IF(U207="hybrid-Sch",_xlfn.XLOOKUP(E207&amp;U207&amp;F207,tab_act&amp;tab_mod&amp;tab_act1,tab_ls)*SchLS*T207/MGMT,_xlfn.XLOOKUP(E207&amp;U207&amp;F207,tab_act&amp;tab_mod&amp;tab_act1,tab_ls)*V207*T207/MGMT))</f>
        <v>0</v>
      </c>
      <c r="AB207" s="46" cm="1">
        <f t="array" ref="AB207">IF(U207="",0,_xlfn.XLOOKUP(E207&amp;U207&amp;F207,tab_act&amp;tab_mod&amp;tab_act1,tab_hu)*V207*T207/MGMT)</f>
        <v>0</v>
      </c>
      <c r="AC207" s="46" cm="1">
        <f t="array" ref="AC207">IF(U207="",0,_xlfn.XLOOKUP(E207&amp;U207&amp;F207,tab_act&amp;tab_mod&amp;tab_act1,tab_mnp)*V207*T207/MGMT)</f>
        <v>0</v>
      </c>
      <c r="AD207" s="46" cm="1">
        <f t="array" ref="AD207">IF(U207="",0,_xlfn.XLOOKUP(E207&amp;U207&amp;F207,tab_act&amp;tab_mod&amp;tab_act1,tab_Psup)*V207*T207/MGMT)</f>
        <v>0</v>
      </c>
      <c r="AE207" s="46" cm="1">
        <f t="array" ref="AE207">IF(U207="",0,_xlfn.XLOOKUP(E207&amp;U207&amp;F207,tab_act&amp;tab_mod&amp;tab_act1,tab_csb1)*V207*T207/MGMT)</f>
        <v>0</v>
      </c>
      <c r="AF207" s="46" cm="1">
        <f t="array" ref="AF207">IF(U207="",0,_xlfn.XLOOKUP(E207&amp;U207&amp;F207,tab_act&amp;tab_mod&amp;tab_act1,tab_csb2)*V207*T207/MGMT)</f>
        <v>0</v>
      </c>
      <c r="AG207" s="109" cm="1">
        <f t="array" ref="AG207">IF(U207="",0,_xlfn.XLOOKUP(E207&amp;U207&amp;F207,tab_act&amp;tab_mod&amp;tab_act1,tab_pdoz)*V207*T207/MGMT)</f>
        <v>0.38445000000000001</v>
      </c>
      <c r="AH207" s="46" cm="1">
        <f t="array" ref="AH207">IF(U207="",0,_xlfn.XLOOKUP(E207&amp;U207&amp;F207,tab_act&amp;tab_mod&amp;tab_act1,tab_lns)*V207*T207/MGMT)</f>
        <v>0</v>
      </c>
      <c r="AI207" s="47">
        <f t="shared" si="21"/>
        <v>0.38445000000000001</v>
      </c>
      <c r="AJ207" s="48" cm="1">
        <f t="array" ref="AJ207">IF(U207="",0,_xlfn.XLOOKUP(E207&amp;U207&amp;F207,tab_act&amp;tab_mod&amp;tab_act1,tab_cash)*T207)</f>
        <v>0</v>
      </c>
      <c r="AK207" s="134" cm="1">
        <f t="array" ref="AK207">IF(B207="",0,IF(C207="",0,AJ207/_xlfn.XLOOKUP(B207&amp;C207,RMth&amp;RYr,RAr)))</f>
        <v>0</v>
      </c>
      <c r="AN207" s="146" t="str">
        <f t="shared" si="22"/>
        <v>A</v>
      </c>
    </row>
    <row r="208" spans="2:40" x14ac:dyDescent="0.35">
      <c r="B208" s="132" t="s">
        <v>128</v>
      </c>
      <c r="C208" s="44">
        <v>2023</v>
      </c>
      <c r="D208" s="44" t="s">
        <v>100</v>
      </c>
      <c r="E208" s="15" t="s">
        <v>39</v>
      </c>
      <c r="F208" s="108" t="s">
        <v>22</v>
      </c>
      <c r="G208" s="15" t="s">
        <v>159</v>
      </c>
      <c r="H208" s="44"/>
      <c r="I208" s="15" t="s">
        <v>94</v>
      </c>
      <c r="J208" s="15" t="s">
        <v>94</v>
      </c>
      <c r="K208" s="15" t="s">
        <v>160</v>
      </c>
      <c r="L208" s="15" t="s">
        <v>95</v>
      </c>
      <c r="M208" s="15" t="s">
        <v>94</v>
      </c>
      <c r="N208" s="15" t="s">
        <v>67</v>
      </c>
      <c r="O208" s="15" t="s">
        <v>206</v>
      </c>
      <c r="P208" s="15" t="s">
        <v>210</v>
      </c>
      <c r="Q208" s="42">
        <v>238.7</v>
      </c>
      <c r="R208" s="42">
        <v>272.8</v>
      </c>
      <c r="S208" s="42">
        <v>511.5</v>
      </c>
      <c r="T208" s="43">
        <v>511.5</v>
      </c>
      <c r="U208" s="44" t="s">
        <v>41</v>
      </c>
      <c r="V208" s="153">
        <v>30</v>
      </c>
      <c r="W208" s="45" cm="1">
        <f t="array" ref="W208">IF(U208="",0,_xlfn.XLOOKUP(E208&amp;U208&amp;F208,tab_act&amp;tab_mod&amp;tab_act1,tab_riz)*V208*T208/MGMT)</f>
        <v>0</v>
      </c>
      <c r="X208" s="42" cm="1">
        <f t="array" ref="X208">IF(U208="",0,_xlfn.XLOOKUP(E208&amp;U208&amp;F208,tab_act&amp;tab_mod&amp;tab_act1,tab_mc)*V208*T208/MGMT)</f>
        <v>0</v>
      </c>
      <c r="Y208" s="42" cm="1">
        <f t="array" ref="Y208">IF(U208="",0,_xlfn.XLOOKUP(E208&amp;U208&amp;F208,tab_act&amp;tab_mod&amp;tab_act1,tab_sor)*V208*T208/MGMT)</f>
        <v>0</v>
      </c>
      <c r="Z208" s="42" cm="1">
        <f t="array" ref="Z208">IF(U208="",0,_xlfn.XLOOKUP(E208&amp;U208&amp;F208,tab_act&amp;tab_mod&amp;tab_act1,tab_mg)*V208*T208/MGMT)</f>
        <v>0</v>
      </c>
      <c r="AA208" s="46" cm="1">
        <f t="array" ref="AA208">IF(U208="",0,IF(U208="hybrid-Sch",_xlfn.XLOOKUP(E208&amp;U208&amp;F208,tab_act&amp;tab_mod&amp;tab_act1,tab_ls)*SchLS*T208/MGMT,_xlfn.XLOOKUP(E208&amp;U208&amp;F208,tab_act&amp;tab_mod&amp;tab_act1,tab_ls)*V208*T208/MGMT))</f>
        <v>0</v>
      </c>
      <c r="AB208" s="46" cm="1">
        <f t="array" ref="AB208">IF(U208="",0,_xlfn.XLOOKUP(E208&amp;U208&amp;F208,tab_act&amp;tab_mod&amp;tab_act1,tab_hu)*V208*T208/MGMT)</f>
        <v>0</v>
      </c>
      <c r="AC208" s="46" cm="1">
        <f t="array" ref="AC208">IF(U208="",0,_xlfn.XLOOKUP(E208&amp;U208&amp;F208,tab_act&amp;tab_mod&amp;tab_act1,tab_mnp)*V208*T208/MGMT)</f>
        <v>0</v>
      </c>
      <c r="AD208" s="46" cm="1">
        <f t="array" ref="AD208">IF(U208="",0,_xlfn.XLOOKUP(E208&amp;U208&amp;F208,tab_act&amp;tab_mod&amp;tab_act1,tab_Psup)*V208*T208/MGMT)</f>
        <v>0</v>
      </c>
      <c r="AE208" s="46" cm="1">
        <f t="array" ref="AE208">IF(U208="",0,_xlfn.XLOOKUP(E208&amp;U208&amp;F208,tab_act&amp;tab_mod&amp;tab_act1,tab_csb1)*V208*T208/MGMT)</f>
        <v>0</v>
      </c>
      <c r="AF208" s="46" cm="1">
        <f t="array" ref="AF208">IF(U208="",0,_xlfn.XLOOKUP(E208&amp;U208&amp;F208,tab_act&amp;tab_mod&amp;tab_act1,tab_csb2)*V208*T208/MGMT)</f>
        <v>0</v>
      </c>
      <c r="AG208" s="109" cm="1">
        <f t="array" ref="AG208">IF(U208="",0,_xlfn.XLOOKUP(E208&amp;U208&amp;F208,tab_act&amp;tab_mod&amp;tab_act1,tab_pdoz)*V208*T208/MGMT)</f>
        <v>0.76724999999999999</v>
      </c>
      <c r="AH208" s="46" cm="1">
        <f t="array" ref="AH208">IF(U208="",0,_xlfn.XLOOKUP(E208&amp;U208&amp;F208,tab_act&amp;tab_mod&amp;tab_act1,tab_lns)*V208*T208/MGMT)</f>
        <v>0</v>
      </c>
      <c r="AI208" s="47">
        <f t="shared" si="21"/>
        <v>0.76724999999999999</v>
      </c>
      <c r="AJ208" s="48" cm="1">
        <f t="array" ref="AJ208">IF(U208="",0,_xlfn.XLOOKUP(E208&amp;U208&amp;F208,tab_act&amp;tab_mod&amp;tab_act1,tab_cash)*T208)</f>
        <v>0</v>
      </c>
      <c r="AK208" s="134" cm="1">
        <f t="array" ref="AK208">IF(B208="",0,IF(C208="",0,AJ208/_xlfn.XLOOKUP(B208&amp;C208,RMth&amp;RYr,RAr)))</f>
        <v>0</v>
      </c>
      <c r="AN208" s="146" t="str">
        <f t="shared" si="22"/>
        <v>A</v>
      </c>
    </row>
    <row r="209" spans="2:40" x14ac:dyDescent="0.35">
      <c r="B209" s="132" t="s">
        <v>128</v>
      </c>
      <c r="C209" s="44">
        <v>2023</v>
      </c>
      <c r="D209" s="44" t="s">
        <v>100</v>
      </c>
      <c r="E209" s="15" t="s">
        <v>39</v>
      </c>
      <c r="F209" s="108" t="s">
        <v>22</v>
      </c>
      <c r="G209" s="15" t="s">
        <v>159</v>
      </c>
      <c r="H209" s="44"/>
      <c r="I209" s="15" t="s">
        <v>94</v>
      </c>
      <c r="J209" s="15" t="s">
        <v>94</v>
      </c>
      <c r="K209" s="15" t="s">
        <v>160</v>
      </c>
      <c r="L209" s="15" t="s">
        <v>95</v>
      </c>
      <c r="M209" s="15" t="s">
        <v>94</v>
      </c>
      <c r="N209" s="15" t="s">
        <v>67</v>
      </c>
      <c r="O209" s="15" t="s">
        <v>206</v>
      </c>
      <c r="P209" s="15" t="s">
        <v>211</v>
      </c>
      <c r="Q209" s="42">
        <v>93.5</v>
      </c>
      <c r="R209" s="42">
        <v>104.5</v>
      </c>
      <c r="S209" s="42">
        <v>198</v>
      </c>
      <c r="T209" s="43">
        <v>198</v>
      </c>
      <c r="U209" s="44" t="s">
        <v>41</v>
      </c>
      <c r="V209" s="153">
        <v>30</v>
      </c>
      <c r="W209" s="45" cm="1">
        <f t="array" ref="W209">IF(U209="",0,_xlfn.XLOOKUP(E209&amp;U209&amp;F209,tab_act&amp;tab_mod&amp;tab_act1,tab_riz)*V209*T209/MGMT)</f>
        <v>0</v>
      </c>
      <c r="X209" s="42" cm="1">
        <f t="array" ref="X209">IF(U209="",0,_xlfn.XLOOKUP(E209&amp;U209&amp;F209,tab_act&amp;tab_mod&amp;tab_act1,tab_mc)*V209*T209/MGMT)</f>
        <v>0</v>
      </c>
      <c r="Y209" s="42" cm="1">
        <f t="array" ref="Y209">IF(U209="",0,_xlfn.XLOOKUP(E209&amp;U209&amp;F209,tab_act&amp;tab_mod&amp;tab_act1,tab_sor)*V209*T209/MGMT)</f>
        <v>0</v>
      </c>
      <c r="Z209" s="42" cm="1">
        <f t="array" ref="Z209">IF(U209="",0,_xlfn.XLOOKUP(E209&amp;U209&amp;F209,tab_act&amp;tab_mod&amp;tab_act1,tab_mg)*V209*T209/MGMT)</f>
        <v>0</v>
      </c>
      <c r="AA209" s="46" cm="1">
        <f t="array" ref="AA209">IF(U209="",0,IF(U209="hybrid-Sch",_xlfn.XLOOKUP(E209&amp;U209&amp;F209,tab_act&amp;tab_mod&amp;tab_act1,tab_ls)*SchLS*T209/MGMT,_xlfn.XLOOKUP(E209&amp;U209&amp;F209,tab_act&amp;tab_mod&amp;tab_act1,tab_ls)*V209*T209/MGMT))</f>
        <v>0</v>
      </c>
      <c r="AB209" s="46" cm="1">
        <f t="array" ref="AB209">IF(U209="",0,_xlfn.XLOOKUP(E209&amp;U209&amp;F209,tab_act&amp;tab_mod&amp;tab_act1,tab_hu)*V209*T209/MGMT)</f>
        <v>0</v>
      </c>
      <c r="AC209" s="46" cm="1">
        <f t="array" ref="AC209">IF(U209="",0,_xlfn.XLOOKUP(E209&amp;U209&amp;F209,tab_act&amp;tab_mod&amp;tab_act1,tab_mnp)*V209*T209/MGMT)</f>
        <v>0</v>
      </c>
      <c r="AD209" s="46" cm="1">
        <f t="array" ref="AD209">IF(U209="",0,_xlfn.XLOOKUP(E209&amp;U209&amp;F209,tab_act&amp;tab_mod&amp;tab_act1,tab_Psup)*V209*T209/MGMT)</f>
        <v>0</v>
      </c>
      <c r="AE209" s="46" cm="1">
        <f t="array" ref="AE209">IF(U209="",0,_xlfn.XLOOKUP(E209&amp;U209&amp;F209,tab_act&amp;tab_mod&amp;tab_act1,tab_csb1)*V209*T209/MGMT)</f>
        <v>0</v>
      </c>
      <c r="AF209" s="46" cm="1">
        <f t="array" ref="AF209">IF(U209="",0,_xlfn.XLOOKUP(E209&amp;U209&amp;F209,tab_act&amp;tab_mod&amp;tab_act1,tab_csb2)*V209*T209/MGMT)</f>
        <v>0</v>
      </c>
      <c r="AG209" s="109" cm="1">
        <f t="array" ref="AG209">IF(U209="",0,_xlfn.XLOOKUP(E209&amp;U209&amp;F209,tab_act&amp;tab_mod&amp;tab_act1,tab_pdoz)*V209*T209/MGMT)</f>
        <v>0.29699999999999999</v>
      </c>
      <c r="AH209" s="46" cm="1">
        <f t="array" ref="AH209">IF(U209="",0,_xlfn.XLOOKUP(E209&amp;U209&amp;F209,tab_act&amp;tab_mod&amp;tab_act1,tab_lns)*V209*T209/MGMT)</f>
        <v>0</v>
      </c>
      <c r="AI209" s="47">
        <f t="shared" si="21"/>
        <v>0.29699999999999999</v>
      </c>
      <c r="AJ209" s="48" cm="1">
        <f t="array" ref="AJ209">IF(U209="",0,_xlfn.XLOOKUP(E209&amp;U209&amp;F209,tab_act&amp;tab_mod&amp;tab_act1,tab_cash)*T209)</f>
        <v>0</v>
      </c>
      <c r="AK209" s="134" cm="1">
        <f t="array" ref="AK209">IF(B209="",0,IF(C209="",0,AJ209/_xlfn.XLOOKUP(B209&amp;C209,RMth&amp;RYr,RAr)))</f>
        <v>0</v>
      </c>
      <c r="AN209" s="146" t="str">
        <f t="shared" si="22"/>
        <v>A</v>
      </c>
    </row>
    <row r="210" spans="2:40" x14ac:dyDescent="0.35">
      <c r="B210" s="132" t="s">
        <v>128</v>
      </c>
      <c r="C210" s="44">
        <v>2023</v>
      </c>
      <c r="D210" s="44" t="s">
        <v>100</v>
      </c>
      <c r="E210" s="15" t="s">
        <v>39</v>
      </c>
      <c r="F210" s="99" t="s">
        <v>245</v>
      </c>
      <c r="G210" s="15" t="s">
        <v>159</v>
      </c>
      <c r="H210" s="44"/>
      <c r="I210" s="15" t="s">
        <v>213</v>
      </c>
      <c r="J210" s="15" t="s">
        <v>91</v>
      </c>
      <c r="K210" s="15" t="s">
        <v>97</v>
      </c>
      <c r="L210" s="15" t="s">
        <v>212</v>
      </c>
      <c r="M210" s="15" t="s">
        <v>158</v>
      </c>
      <c r="N210" s="15" t="s">
        <v>68</v>
      </c>
      <c r="O210" s="15" t="s">
        <v>152</v>
      </c>
      <c r="P210" s="15" t="s">
        <v>214</v>
      </c>
      <c r="Q210" s="42"/>
      <c r="R210" s="42">
        <v>568</v>
      </c>
      <c r="S210" s="42">
        <v>568</v>
      </c>
      <c r="T210" s="43">
        <v>568</v>
      </c>
      <c r="U210" s="44" t="s">
        <v>41</v>
      </c>
      <c r="V210" s="153">
        <v>30</v>
      </c>
      <c r="W210" s="45" cm="1">
        <f t="array" ref="W210">IF(U210="",0,_xlfn.XLOOKUP(E210&amp;U210&amp;F210,tab_act&amp;tab_mod&amp;tab_act1,tab_riz)*V210*T210/MGMT)</f>
        <v>0</v>
      </c>
      <c r="X210" s="42" cm="1">
        <f t="array" ref="X210">IF(U210="",0,_xlfn.XLOOKUP(E210&amp;U210&amp;F210,tab_act&amp;tab_mod&amp;tab_act1,tab_mc)*V210*T210/MGMT)</f>
        <v>0</v>
      </c>
      <c r="Y210" s="42" cm="1">
        <f t="array" ref="Y210">IF(U210="",0,_xlfn.XLOOKUP(E210&amp;U210&amp;F210,tab_act&amp;tab_mod&amp;tab_act1,tab_sor)*V210*T210/MGMT)</f>
        <v>0</v>
      </c>
      <c r="Z210" s="42" cm="1">
        <f t="array" ref="Z210">IF(U210="",0,_xlfn.XLOOKUP(E210&amp;U210&amp;F210,tab_act&amp;tab_mod&amp;tab_act1,tab_mg)*V210*T210/MGMT)</f>
        <v>0</v>
      </c>
      <c r="AA210" s="46" cm="1">
        <f t="array" ref="AA210">IF(U210="",0,IF(U210="hybrid-Sch",_xlfn.XLOOKUP(E210&amp;U210&amp;F210,tab_act&amp;tab_mod&amp;tab_act1,tab_ls)*SchLS*T210/MGMT,_xlfn.XLOOKUP(E210&amp;U210&amp;F210,tab_act&amp;tab_mod&amp;tab_act1,tab_ls)*V210*T210/MGMT))</f>
        <v>0</v>
      </c>
      <c r="AB210" s="46" cm="1">
        <f t="array" ref="AB210">IF(U210="",0,_xlfn.XLOOKUP(E210&amp;U210&amp;F210,tab_act&amp;tab_mod&amp;tab_act1,tab_hu)*V210*T210/MGMT)</f>
        <v>0.34079999999999999</v>
      </c>
      <c r="AC210" s="46" cm="1">
        <f t="array" ref="AC210">IF(U210="",0,_xlfn.XLOOKUP(E210&amp;U210&amp;F210,tab_act&amp;tab_mod&amp;tab_act1,tab_mnp)*V210*T210/MGMT)</f>
        <v>0</v>
      </c>
      <c r="AD210" s="46" cm="1">
        <f t="array" ref="AD210">IF(U210="",0,_xlfn.XLOOKUP(E210&amp;U210&amp;F210,tab_act&amp;tab_mod&amp;tab_act1,tab_Psup)*V210*T210/MGMT)</f>
        <v>0</v>
      </c>
      <c r="AE210" s="110" cm="1">
        <f t="array" ref="AE210">IF(U210="",0,_xlfn.XLOOKUP(E210&amp;U210&amp;F210,tab_act&amp;tab_mod&amp;tab_act1,tab_csb1)*V210*T210/MGMT)</f>
        <v>1.3802399999999999</v>
      </c>
      <c r="AF210" s="110" cm="1">
        <f t="array" ref="AF210">IF(U210="",0,_xlfn.XLOOKUP(E210&amp;U210&amp;F210,tab_act&amp;tab_mod&amp;tab_act1,tab_csb2)*V210*T210/MGMT)</f>
        <v>2.0277599999999998</v>
      </c>
      <c r="AG210" s="46" cm="1">
        <f t="array" ref="AG210">IF(U210="",0,_xlfn.XLOOKUP(E210&amp;U210&amp;F210,tab_act&amp;tab_mod&amp;tab_act1,tab_pdoz)*V210*T210/MGMT)</f>
        <v>0</v>
      </c>
      <c r="AH210" s="46" cm="1">
        <f t="array" ref="AH210">IF(U210="",0,_xlfn.XLOOKUP(E210&amp;U210&amp;F210,tab_act&amp;tab_mod&amp;tab_act1,tab_lns)*V210*T210/MGMT)</f>
        <v>0</v>
      </c>
      <c r="AI210" s="47">
        <f t="shared" si="21"/>
        <v>3.7487999999999997</v>
      </c>
      <c r="AJ210" s="48" cm="1">
        <f t="array" ref="AJ210">IF(U210="",0,_xlfn.XLOOKUP(E210&amp;U210&amp;F210,tab_act&amp;tab_mod&amp;tab_act1,tab_cash)*T210)</f>
        <v>0</v>
      </c>
      <c r="AK210" s="134" cm="1">
        <f t="array" ref="AK210">IF(B210="",0,IF(C210="",0,AJ210/_xlfn.XLOOKUP(B210&amp;C210,RMth&amp;RYr,RAr)))</f>
        <v>0</v>
      </c>
      <c r="AN210" s="146" t="str">
        <f t="shared" si="22"/>
        <v>A</v>
      </c>
    </row>
    <row r="211" spans="2:40" x14ac:dyDescent="0.35">
      <c r="B211" s="132" t="s">
        <v>128</v>
      </c>
      <c r="C211" s="44">
        <v>2023</v>
      </c>
      <c r="D211" s="44" t="s">
        <v>100</v>
      </c>
      <c r="E211" s="15" t="s">
        <v>39</v>
      </c>
      <c r="F211" s="99" t="s">
        <v>245</v>
      </c>
      <c r="G211" s="15" t="s">
        <v>159</v>
      </c>
      <c r="H211" s="44"/>
      <c r="I211" s="15" t="s">
        <v>213</v>
      </c>
      <c r="J211" s="15" t="s">
        <v>91</v>
      </c>
      <c r="K211" s="15" t="s">
        <v>97</v>
      </c>
      <c r="L211" s="15" t="s">
        <v>212</v>
      </c>
      <c r="M211" s="15" t="s">
        <v>158</v>
      </c>
      <c r="N211" s="15" t="s">
        <v>68</v>
      </c>
      <c r="O211" s="15" t="s">
        <v>152</v>
      </c>
      <c r="P211" s="15" t="s">
        <v>215</v>
      </c>
      <c r="Q211" s="42"/>
      <c r="R211" s="42">
        <v>606</v>
      </c>
      <c r="S211" s="42">
        <v>606</v>
      </c>
      <c r="T211" s="43">
        <v>606</v>
      </c>
      <c r="U211" s="44" t="s">
        <v>41</v>
      </c>
      <c r="V211" s="153">
        <v>30</v>
      </c>
      <c r="W211" s="45" cm="1">
        <f t="array" ref="W211">IF(U211="",0,_xlfn.XLOOKUP(E211&amp;U211&amp;F211,tab_act&amp;tab_mod&amp;tab_act1,tab_riz)*V211*T211/MGMT)</f>
        <v>0</v>
      </c>
      <c r="X211" s="42" cm="1">
        <f t="array" ref="X211">IF(U211="",0,_xlfn.XLOOKUP(E211&amp;U211&amp;F211,tab_act&amp;tab_mod&amp;tab_act1,tab_mc)*V211*T211/MGMT)</f>
        <v>0</v>
      </c>
      <c r="Y211" s="42" cm="1">
        <f t="array" ref="Y211">IF(U211="",0,_xlfn.XLOOKUP(E211&amp;U211&amp;F211,tab_act&amp;tab_mod&amp;tab_act1,tab_sor)*V211*T211/MGMT)</f>
        <v>0</v>
      </c>
      <c r="Z211" s="42" cm="1">
        <f t="array" ref="Z211">IF(U211="",0,_xlfn.XLOOKUP(E211&amp;U211&amp;F211,tab_act&amp;tab_mod&amp;tab_act1,tab_mg)*V211*T211/MGMT)</f>
        <v>0</v>
      </c>
      <c r="AA211" s="46" cm="1">
        <f t="array" ref="AA211">IF(U211="",0,IF(U211="hybrid-Sch",_xlfn.XLOOKUP(E211&amp;U211&amp;F211,tab_act&amp;tab_mod&amp;tab_act1,tab_ls)*SchLS*T211/MGMT,_xlfn.XLOOKUP(E211&amp;U211&amp;F211,tab_act&amp;tab_mod&amp;tab_act1,tab_ls)*V211*T211/MGMT))</f>
        <v>0</v>
      </c>
      <c r="AB211" s="46" cm="1">
        <f t="array" ref="AB211">IF(U211="",0,_xlfn.XLOOKUP(E211&amp;U211&amp;F211,tab_act&amp;tab_mod&amp;tab_act1,tab_hu)*V211*T211/MGMT)</f>
        <v>0.36359999999999998</v>
      </c>
      <c r="AC211" s="46" cm="1">
        <f t="array" ref="AC211">IF(U211="",0,_xlfn.XLOOKUP(E211&amp;U211&amp;F211,tab_act&amp;tab_mod&amp;tab_act1,tab_mnp)*V211*T211/MGMT)</f>
        <v>0</v>
      </c>
      <c r="AD211" s="46" cm="1">
        <f t="array" ref="AD211">IF(U211="",0,_xlfn.XLOOKUP(E211&amp;U211&amp;F211,tab_act&amp;tab_mod&amp;tab_act1,tab_Psup)*V211*T211/MGMT)</f>
        <v>0</v>
      </c>
      <c r="AE211" s="110" cm="1">
        <f t="array" ref="AE211">IF(U211="",0,_xlfn.XLOOKUP(E211&amp;U211&amp;F211,tab_act&amp;tab_mod&amp;tab_act1,tab_csb1)*V211*T211/MGMT)</f>
        <v>1.47258</v>
      </c>
      <c r="AF211" s="110" cm="1">
        <f t="array" ref="AF211">IF(U211="",0,_xlfn.XLOOKUP(E211&amp;U211&amp;F211,tab_act&amp;tab_mod&amp;tab_act1,tab_csb2)*V211*T211/MGMT)</f>
        <v>2.1634199999999999</v>
      </c>
      <c r="AG211" s="46" cm="1">
        <f t="array" ref="AG211">IF(U211="",0,_xlfn.XLOOKUP(E211&amp;U211&amp;F211,tab_act&amp;tab_mod&amp;tab_act1,tab_pdoz)*V211*T211/MGMT)</f>
        <v>0</v>
      </c>
      <c r="AH211" s="46" cm="1">
        <f t="array" ref="AH211">IF(U211="",0,_xlfn.XLOOKUP(E211&amp;U211&amp;F211,tab_act&amp;tab_mod&amp;tab_act1,tab_lns)*V211*T211/MGMT)</f>
        <v>0</v>
      </c>
      <c r="AI211" s="47">
        <f t="shared" si="21"/>
        <v>3.9996</v>
      </c>
      <c r="AJ211" s="48" cm="1">
        <f t="array" ref="AJ211">IF(U211="",0,_xlfn.XLOOKUP(E211&amp;U211&amp;F211,tab_act&amp;tab_mod&amp;tab_act1,tab_cash)*T211)</f>
        <v>0</v>
      </c>
      <c r="AK211" s="134" cm="1">
        <f t="array" ref="AK211">IF(B211="",0,IF(C211="",0,AJ211/_xlfn.XLOOKUP(B211&amp;C211,RMth&amp;RYr,RAr)))</f>
        <v>0</v>
      </c>
      <c r="AN211" s="146" t="str">
        <f t="shared" si="22"/>
        <v>A</v>
      </c>
    </row>
    <row r="212" spans="2:40" x14ac:dyDescent="0.35">
      <c r="B212" s="132" t="s">
        <v>128</v>
      </c>
      <c r="C212" s="44">
        <v>2023</v>
      </c>
      <c r="D212" s="44" t="s">
        <v>100</v>
      </c>
      <c r="E212" s="15" t="s">
        <v>39</v>
      </c>
      <c r="F212" s="99" t="s">
        <v>245</v>
      </c>
      <c r="G212" s="15" t="s">
        <v>159</v>
      </c>
      <c r="H212" s="44"/>
      <c r="I212" s="15" t="s">
        <v>213</v>
      </c>
      <c r="J212" s="15" t="s">
        <v>91</v>
      </c>
      <c r="K212" s="15" t="s">
        <v>97</v>
      </c>
      <c r="L212" s="15" t="s">
        <v>212</v>
      </c>
      <c r="M212" s="15" t="s">
        <v>158</v>
      </c>
      <c r="N212" s="15" t="s">
        <v>68</v>
      </c>
      <c r="O212" s="15" t="s">
        <v>152</v>
      </c>
      <c r="P212" s="15" t="s">
        <v>216</v>
      </c>
      <c r="Q212" s="42"/>
      <c r="R212" s="42">
        <v>160</v>
      </c>
      <c r="S212" s="42">
        <v>160</v>
      </c>
      <c r="T212" s="43">
        <v>160</v>
      </c>
      <c r="U212" s="44" t="s">
        <v>41</v>
      </c>
      <c r="V212" s="153">
        <v>30</v>
      </c>
      <c r="W212" s="45" cm="1">
        <f t="array" ref="W212">IF(U212="",0,_xlfn.XLOOKUP(E212&amp;U212&amp;F212,tab_act&amp;tab_mod&amp;tab_act1,tab_riz)*V212*T212/MGMT)</f>
        <v>0</v>
      </c>
      <c r="X212" s="42" cm="1">
        <f t="array" ref="X212">IF(U212="",0,_xlfn.XLOOKUP(E212&amp;U212&amp;F212,tab_act&amp;tab_mod&amp;tab_act1,tab_mc)*V212*T212/MGMT)</f>
        <v>0</v>
      </c>
      <c r="Y212" s="42" cm="1">
        <f t="array" ref="Y212">IF(U212="",0,_xlfn.XLOOKUP(E212&amp;U212&amp;F212,tab_act&amp;tab_mod&amp;tab_act1,tab_sor)*V212*T212/MGMT)</f>
        <v>0</v>
      </c>
      <c r="Z212" s="42" cm="1">
        <f t="array" ref="Z212">IF(U212="",0,_xlfn.XLOOKUP(E212&amp;U212&amp;F212,tab_act&amp;tab_mod&amp;tab_act1,tab_mg)*V212*T212/MGMT)</f>
        <v>0</v>
      </c>
      <c r="AA212" s="46" cm="1">
        <f t="array" ref="AA212">IF(U212="",0,IF(U212="hybrid-Sch",_xlfn.XLOOKUP(E212&amp;U212&amp;F212,tab_act&amp;tab_mod&amp;tab_act1,tab_ls)*SchLS*T212/MGMT,_xlfn.XLOOKUP(E212&amp;U212&amp;F212,tab_act&amp;tab_mod&amp;tab_act1,tab_ls)*V212*T212/MGMT))</f>
        <v>0</v>
      </c>
      <c r="AB212" s="46" cm="1">
        <f t="array" ref="AB212">IF(U212="",0,_xlfn.XLOOKUP(E212&amp;U212&amp;F212,tab_act&amp;tab_mod&amp;tab_act1,tab_hu)*V212*T212/MGMT)</f>
        <v>9.6000000000000002E-2</v>
      </c>
      <c r="AC212" s="46" cm="1">
        <f t="array" ref="AC212">IF(U212="",0,_xlfn.XLOOKUP(E212&amp;U212&amp;F212,tab_act&amp;tab_mod&amp;tab_act1,tab_mnp)*V212*T212/MGMT)</f>
        <v>0</v>
      </c>
      <c r="AD212" s="46" cm="1">
        <f t="array" ref="AD212">IF(U212="",0,_xlfn.XLOOKUP(E212&amp;U212&amp;F212,tab_act&amp;tab_mod&amp;tab_act1,tab_Psup)*V212*T212/MGMT)</f>
        <v>0</v>
      </c>
      <c r="AE212" s="110" cm="1">
        <f t="array" ref="AE212">IF(U212="",0,_xlfn.XLOOKUP(E212&amp;U212&amp;F212,tab_act&amp;tab_mod&amp;tab_act1,tab_csb1)*V212*T212/MGMT)</f>
        <v>0.38879999999999998</v>
      </c>
      <c r="AF212" s="110" cm="1">
        <f t="array" ref="AF212">IF(U212="",0,_xlfn.XLOOKUP(E212&amp;U212&amp;F212,tab_act&amp;tab_mod&amp;tab_act1,tab_csb2)*V212*T212/MGMT)</f>
        <v>0.57120000000000004</v>
      </c>
      <c r="AG212" s="46" cm="1">
        <f t="array" ref="AG212">IF(U212="",0,_xlfn.XLOOKUP(E212&amp;U212&amp;F212,tab_act&amp;tab_mod&amp;tab_act1,tab_pdoz)*V212*T212/MGMT)</f>
        <v>0</v>
      </c>
      <c r="AH212" s="46" cm="1">
        <f t="array" ref="AH212">IF(U212="",0,_xlfn.XLOOKUP(E212&amp;U212&amp;F212,tab_act&amp;tab_mod&amp;tab_act1,tab_lns)*V212*T212/MGMT)</f>
        <v>0</v>
      </c>
      <c r="AI212" s="47">
        <f t="shared" si="21"/>
        <v>1.056</v>
      </c>
      <c r="AJ212" s="48" cm="1">
        <f t="array" ref="AJ212">IF(U212="",0,_xlfn.XLOOKUP(E212&amp;U212&amp;F212,tab_act&amp;tab_mod&amp;tab_act1,tab_cash)*T212)</f>
        <v>0</v>
      </c>
      <c r="AK212" s="134" cm="1">
        <f t="array" ref="AK212">IF(B212="",0,IF(C212="",0,AJ212/_xlfn.XLOOKUP(B212&amp;C212,RMth&amp;RYr,RAr)))</f>
        <v>0</v>
      </c>
      <c r="AN212" s="146" t="str">
        <f t="shared" si="22"/>
        <v>A</v>
      </c>
    </row>
    <row r="213" spans="2:40" x14ac:dyDescent="0.35">
      <c r="B213" s="132" t="s">
        <v>128</v>
      </c>
      <c r="C213" s="44">
        <v>2023</v>
      </c>
      <c r="D213" s="44" t="s">
        <v>100</v>
      </c>
      <c r="E213" s="15" t="s">
        <v>39</v>
      </c>
      <c r="F213" s="99" t="s">
        <v>245</v>
      </c>
      <c r="G213" s="15" t="s">
        <v>159</v>
      </c>
      <c r="H213" s="44"/>
      <c r="I213" s="15" t="s">
        <v>213</v>
      </c>
      <c r="J213" s="15" t="s">
        <v>91</v>
      </c>
      <c r="K213" s="15" t="s">
        <v>97</v>
      </c>
      <c r="L213" s="15" t="s">
        <v>212</v>
      </c>
      <c r="M213" s="15" t="s">
        <v>158</v>
      </c>
      <c r="N213" s="15" t="s">
        <v>68</v>
      </c>
      <c r="O213" s="15" t="s">
        <v>152</v>
      </c>
      <c r="P213" s="15" t="s">
        <v>217</v>
      </c>
      <c r="Q213" s="42"/>
      <c r="R213" s="42">
        <v>146</v>
      </c>
      <c r="S213" s="42">
        <v>146</v>
      </c>
      <c r="T213" s="43">
        <v>146</v>
      </c>
      <c r="U213" s="44" t="s">
        <v>41</v>
      </c>
      <c r="V213" s="153">
        <v>30</v>
      </c>
      <c r="W213" s="45" cm="1">
        <f t="array" ref="W213">IF(U213="",0,_xlfn.XLOOKUP(E213&amp;U213&amp;F213,tab_act&amp;tab_mod&amp;tab_act1,tab_riz)*V213*T213/MGMT)</f>
        <v>0</v>
      </c>
      <c r="X213" s="42" cm="1">
        <f t="array" ref="X213">IF(U213="",0,_xlfn.XLOOKUP(E213&amp;U213&amp;F213,tab_act&amp;tab_mod&amp;tab_act1,tab_mc)*V213*T213/MGMT)</f>
        <v>0</v>
      </c>
      <c r="Y213" s="42" cm="1">
        <f t="array" ref="Y213">IF(U213="",0,_xlfn.XLOOKUP(E213&amp;U213&amp;F213,tab_act&amp;tab_mod&amp;tab_act1,tab_sor)*V213*T213/MGMT)</f>
        <v>0</v>
      </c>
      <c r="Z213" s="42" cm="1">
        <f t="array" ref="Z213">IF(U213="",0,_xlfn.XLOOKUP(E213&amp;U213&amp;F213,tab_act&amp;tab_mod&amp;tab_act1,tab_mg)*V213*T213/MGMT)</f>
        <v>0</v>
      </c>
      <c r="AA213" s="46" cm="1">
        <f t="array" ref="AA213">IF(U213="",0,IF(U213="hybrid-Sch",_xlfn.XLOOKUP(E213&amp;U213&amp;F213,tab_act&amp;tab_mod&amp;tab_act1,tab_ls)*SchLS*T213/MGMT,_xlfn.XLOOKUP(E213&amp;U213&amp;F213,tab_act&amp;tab_mod&amp;tab_act1,tab_ls)*V213*T213/MGMT))</f>
        <v>0</v>
      </c>
      <c r="AB213" s="46" cm="1">
        <f t="array" ref="AB213">IF(U213="",0,_xlfn.XLOOKUP(E213&amp;U213&amp;F213,tab_act&amp;tab_mod&amp;tab_act1,tab_hu)*V213*T213/MGMT)</f>
        <v>8.7599999999999997E-2</v>
      </c>
      <c r="AC213" s="46" cm="1">
        <f t="array" ref="AC213">IF(U213="",0,_xlfn.XLOOKUP(E213&amp;U213&amp;F213,tab_act&amp;tab_mod&amp;tab_act1,tab_mnp)*V213*T213/MGMT)</f>
        <v>0</v>
      </c>
      <c r="AD213" s="46" cm="1">
        <f t="array" ref="AD213">IF(U213="",0,_xlfn.XLOOKUP(E213&amp;U213&amp;F213,tab_act&amp;tab_mod&amp;tab_act1,tab_Psup)*V213*T213/MGMT)</f>
        <v>0</v>
      </c>
      <c r="AE213" s="110" cm="1">
        <f t="array" ref="AE213">IF(U213="",0,_xlfn.XLOOKUP(E213&amp;U213&amp;F213,tab_act&amp;tab_mod&amp;tab_act1,tab_csb1)*V213*T213/MGMT)</f>
        <v>0.35477999999999998</v>
      </c>
      <c r="AF213" s="110" cm="1">
        <f t="array" ref="AF213">IF(U213="",0,_xlfn.XLOOKUP(E213&amp;U213&amp;F213,tab_act&amp;tab_mod&amp;tab_act1,tab_csb2)*V213*T213/MGMT)</f>
        <v>0.52122000000000002</v>
      </c>
      <c r="AG213" s="46" cm="1">
        <f t="array" ref="AG213">IF(U213="",0,_xlfn.XLOOKUP(E213&amp;U213&amp;F213,tab_act&amp;tab_mod&amp;tab_act1,tab_pdoz)*V213*T213/MGMT)</f>
        <v>0</v>
      </c>
      <c r="AH213" s="46" cm="1">
        <f t="array" ref="AH213">IF(U213="",0,_xlfn.XLOOKUP(E213&amp;U213&amp;F213,tab_act&amp;tab_mod&amp;tab_act1,tab_lns)*V213*T213/MGMT)</f>
        <v>0</v>
      </c>
      <c r="AI213" s="47">
        <f t="shared" si="21"/>
        <v>0.96360000000000001</v>
      </c>
      <c r="AJ213" s="48" cm="1">
        <f t="array" ref="AJ213">IF(U213="",0,_xlfn.XLOOKUP(E213&amp;U213&amp;F213,tab_act&amp;tab_mod&amp;tab_act1,tab_cash)*T213)</f>
        <v>0</v>
      </c>
      <c r="AK213" s="134" cm="1">
        <f t="array" ref="AK213">IF(B213="",0,IF(C213="",0,AJ213/_xlfn.XLOOKUP(B213&amp;C213,RMth&amp;RYr,RAr)))</f>
        <v>0</v>
      </c>
      <c r="AN213" s="146" t="str">
        <f t="shared" si="22"/>
        <v>A</v>
      </c>
    </row>
    <row r="214" spans="2:40" x14ac:dyDescent="0.35">
      <c r="B214" s="132" t="s">
        <v>128</v>
      </c>
      <c r="C214" s="44">
        <v>2023</v>
      </c>
      <c r="D214" s="44" t="s">
        <v>100</v>
      </c>
      <c r="E214" s="15" t="s">
        <v>39</v>
      </c>
      <c r="F214" s="99" t="s">
        <v>245</v>
      </c>
      <c r="G214" s="15" t="s">
        <v>159</v>
      </c>
      <c r="H214" s="44"/>
      <c r="I214" s="15" t="s">
        <v>213</v>
      </c>
      <c r="J214" s="15" t="s">
        <v>91</v>
      </c>
      <c r="K214" s="15" t="s">
        <v>97</v>
      </c>
      <c r="L214" s="15" t="s">
        <v>212</v>
      </c>
      <c r="M214" s="15" t="s">
        <v>158</v>
      </c>
      <c r="N214" s="15" t="s">
        <v>68</v>
      </c>
      <c r="O214" s="15" t="s">
        <v>152</v>
      </c>
      <c r="P214" s="15" t="s">
        <v>218</v>
      </c>
      <c r="Q214" s="42"/>
      <c r="R214" s="42">
        <v>580</v>
      </c>
      <c r="S214" s="42">
        <v>580</v>
      </c>
      <c r="T214" s="43">
        <v>580</v>
      </c>
      <c r="U214" s="44" t="s">
        <v>41</v>
      </c>
      <c r="V214" s="153">
        <v>30</v>
      </c>
      <c r="W214" s="45" cm="1">
        <f t="array" ref="W214">IF(U214="",0,_xlfn.XLOOKUP(E214&amp;U214&amp;F214,tab_act&amp;tab_mod&amp;tab_act1,tab_riz)*V214*T214/MGMT)</f>
        <v>0</v>
      </c>
      <c r="X214" s="42" cm="1">
        <f t="array" ref="X214">IF(U214="",0,_xlfn.XLOOKUP(E214&amp;U214&amp;F214,tab_act&amp;tab_mod&amp;tab_act1,tab_mc)*V214*T214/MGMT)</f>
        <v>0</v>
      </c>
      <c r="Y214" s="42" cm="1">
        <f t="array" ref="Y214">IF(U214="",0,_xlfn.XLOOKUP(E214&amp;U214&amp;F214,tab_act&amp;tab_mod&amp;tab_act1,tab_sor)*V214*T214/MGMT)</f>
        <v>0</v>
      </c>
      <c r="Z214" s="42" cm="1">
        <f t="array" ref="Z214">IF(U214="",0,_xlfn.XLOOKUP(E214&amp;U214&amp;F214,tab_act&amp;tab_mod&amp;tab_act1,tab_mg)*V214*T214/MGMT)</f>
        <v>0</v>
      </c>
      <c r="AA214" s="46" cm="1">
        <f t="array" ref="AA214">IF(U214="",0,IF(U214="hybrid-Sch",_xlfn.XLOOKUP(E214&amp;U214&amp;F214,tab_act&amp;tab_mod&amp;tab_act1,tab_ls)*SchLS*T214/MGMT,_xlfn.XLOOKUP(E214&amp;U214&amp;F214,tab_act&amp;tab_mod&amp;tab_act1,tab_ls)*V214*T214/MGMT))</f>
        <v>0</v>
      </c>
      <c r="AB214" s="46" cm="1">
        <f t="array" ref="AB214">IF(U214="",0,_xlfn.XLOOKUP(E214&amp;U214&amp;F214,tab_act&amp;tab_mod&amp;tab_act1,tab_hu)*V214*T214/MGMT)</f>
        <v>0.34799999999999998</v>
      </c>
      <c r="AC214" s="46" cm="1">
        <f t="array" ref="AC214">IF(U214="",0,_xlfn.XLOOKUP(E214&amp;U214&amp;F214,tab_act&amp;tab_mod&amp;tab_act1,tab_mnp)*V214*T214/MGMT)</f>
        <v>0</v>
      </c>
      <c r="AD214" s="46" cm="1">
        <f t="array" ref="AD214">IF(U214="",0,_xlfn.XLOOKUP(E214&amp;U214&amp;F214,tab_act&amp;tab_mod&amp;tab_act1,tab_Psup)*V214*T214/MGMT)</f>
        <v>0</v>
      </c>
      <c r="AE214" s="110" cm="1">
        <f t="array" ref="AE214">IF(U214="",0,_xlfn.XLOOKUP(E214&amp;U214&amp;F214,tab_act&amp;tab_mod&amp;tab_act1,tab_csb1)*V214*T214/MGMT)</f>
        <v>1.4094</v>
      </c>
      <c r="AF214" s="110" cm="1">
        <f t="array" ref="AF214">IF(U214="",0,_xlfn.XLOOKUP(E214&amp;U214&amp;F214,tab_act&amp;tab_mod&amp;tab_act1,tab_csb2)*V214*T214/MGMT)</f>
        <v>2.0706000000000002</v>
      </c>
      <c r="AG214" s="46" cm="1">
        <f t="array" ref="AG214">IF(U214="",0,_xlfn.XLOOKUP(E214&amp;U214&amp;F214,tab_act&amp;tab_mod&amp;tab_act1,tab_pdoz)*V214*T214/MGMT)</f>
        <v>0</v>
      </c>
      <c r="AH214" s="46" cm="1">
        <f t="array" ref="AH214">IF(U214="",0,_xlfn.XLOOKUP(E214&amp;U214&amp;F214,tab_act&amp;tab_mod&amp;tab_act1,tab_lns)*V214*T214/MGMT)</f>
        <v>0</v>
      </c>
      <c r="AI214" s="47">
        <f t="shared" si="21"/>
        <v>3.8280000000000003</v>
      </c>
      <c r="AJ214" s="48" cm="1">
        <f t="array" ref="AJ214">IF(U214="",0,_xlfn.XLOOKUP(E214&amp;U214&amp;F214,tab_act&amp;tab_mod&amp;tab_act1,tab_cash)*T214)</f>
        <v>0</v>
      </c>
      <c r="AK214" s="134" cm="1">
        <f t="array" ref="AK214">IF(B214="",0,IF(C214="",0,AJ214/_xlfn.XLOOKUP(B214&amp;C214,RMth&amp;RYr,RAr)))</f>
        <v>0</v>
      </c>
      <c r="AN214" s="146" t="str">
        <f t="shared" si="22"/>
        <v>A</v>
      </c>
    </row>
    <row r="215" spans="2:40" x14ac:dyDescent="0.35">
      <c r="B215" s="132" t="s">
        <v>128</v>
      </c>
      <c r="C215" s="44">
        <v>2023</v>
      </c>
      <c r="D215" s="44" t="s">
        <v>100</v>
      </c>
      <c r="E215" s="15" t="s">
        <v>39</v>
      </c>
      <c r="F215" s="99" t="s">
        <v>245</v>
      </c>
      <c r="G215" s="15" t="s">
        <v>159</v>
      </c>
      <c r="H215" s="44"/>
      <c r="I215" s="15" t="s">
        <v>213</v>
      </c>
      <c r="J215" s="15" t="s">
        <v>91</v>
      </c>
      <c r="K215" s="15" t="s">
        <v>97</v>
      </c>
      <c r="L215" s="15" t="s">
        <v>212</v>
      </c>
      <c r="M215" s="15" t="s">
        <v>158</v>
      </c>
      <c r="N215" s="15" t="s">
        <v>68</v>
      </c>
      <c r="O215" s="15" t="s">
        <v>152</v>
      </c>
      <c r="P215" s="15" t="s">
        <v>219</v>
      </c>
      <c r="Q215" s="42"/>
      <c r="R215" s="42">
        <v>202</v>
      </c>
      <c r="S215" s="42">
        <v>202</v>
      </c>
      <c r="T215" s="43">
        <v>202</v>
      </c>
      <c r="U215" s="44" t="s">
        <v>41</v>
      </c>
      <c r="V215" s="153">
        <v>30</v>
      </c>
      <c r="W215" s="45" cm="1">
        <f t="array" ref="W215">IF(U215="",0,_xlfn.XLOOKUP(E215&amp;U215&amp;F215,tab_act&amp;tab_mod&amp;tab_act1,tab_riz)*V215*T215/MGMT)</f>
        <v>0</v>
      </c>
      <c r="X215" s="42" cm="1">
        <f t="array" ref="X215">IF(U215="",0,_xlfn.XLOOKUP(E215&amp;U215&amp;F215,tab_act&amp;tab_mod&amp;tab_act1,tab_mc)*V215*T215/MGMT)</f>
        <v>0</v>
      </c>
      <c r="Y215" s="42" cm="1">
        <f t="array" ref="Y215">IF(U215="",0,_xlfn.XLOOKUP(E215&amp;U215&amp;F215,tab_act&amp;tab_mod&amp;tab_act1,tab_sor)*V215*T215/MGMT)</f>
        <v>0</v>
      </c>
      <c r="Z215" s="42" cm="1">
        <f t="array" ref="Z215">IF(U215="",0,_xlfn.XLOOKUP(E215&amp;U215&amp;F215,tab_act&amp;tab_mod&amp;tab_act1,tab_mg)*V215*T215/MGMT)</f>
        <v>0</v>
      </c>
      <c r="AA215" s="46" cm="1">
        <f t="array" ref="AA215">IF(U215="",0,IF(U215="hybrid-Sch",_xlfn.XLOOKUP(E215&amp;U215&amp;F215,tab_act&amp;tab_mod&amp;tab_act1,tab_ls)*SchLS*T215/MGMT,_xlfn.XLOOKUP(E215&amp;U215&amp;F215,tab_act&amp;tab_mod&amp;tab_act1,tab_ls)*V215*T215/MGMT))</f>
        <v>0</v>
      </c>
      <c r="AB215" s="46" cm="1">
        <f t="array" ref="AB215">IF(U215="",0,_xlfn.XLOOKUP(E215&amp;U215&amp;F215,tab_act&amp;tab_mod&amp;tab_act1,tab_hu)*V215*T215/MGMT)</f>
        <v>0.1212</v>
      </c>
      <c r="AC215" s="46" cm="1">
        <f t="array" ref="AC215">IF(U215="",0,_xlfn.XLOOKUP(E215&amp;U215&amp;F215,tab_act&amp;tab_mod&amp;tab_act1,tab_mnp)*V215*T215/MGMT)</f>
        <v>0</v>
      </c>
      <c r="AD215" s="46" cm="1">
        <f t="array" ref="AD215">IF(U215="",0,_xlfn.XLOOKUP(E215&amp;U215&amp;F215,tab_act&amp;tab_mod&amp;tab_act1,tab_Psup)*V215*T215/MGMT)</f>
        <v>0</v>
      </c>
      <c r="AE215" s="110" cm="1">
        <f t="array" ref="AE215">IF(U215="",0,_xlfn.XLOOKUP(E215&amp;U215&amp;F215,tab_act&amp;tab_mod&amp;tab_act1,tab_csb1)*V215*T215/MGMT)</f>
        <v>0.49086000000000002</v>
      </c>
      <c r="AF215" s="110" cm="1">
        <f t="array" ref="AF215">IF(U215="",0,_xlfn.XLOOKUP(E215&amp;U215&amp;F215,tab_act&amp;tab_mod&amp;tab_act1,tab_csb2)*V215*T215/MGMT)</f>
        <v>0.72114</v>
      </c>
      <c r="AG215" s="46" cm="1">
        <f t="array" ref="AG215">IF(U215="",0,_xlfn.XLOOKUP(E215&amp;U215&amp;F215,tab_act&amp;tab_mod&amp;tab_act1,tab_pdoz)*V215*T215/MGMT)</f>
        <v>0</v>
      </c>
      <c r="AH215" s="46" cm="1">
        <f t="array" ref="AH215">IF(U215="",0,_xlfn.XLOOKUP(E215&amp;U215&amp;F215,tab_act&amp;tab_mod&amp;tab_act1,tab_lns)*V215*T215/MGMT)</f>
        <v>0</v>
      </c>
      <c r="AI215" s="47">
        <f t="shared" si="21"/>
        <v>1.3332000000000002</v>
      </c>
      <c r="AJ215" s="48" cm="1">
        <f t="array" ref="AJ215">IF(U215="",0,_xlfn.XLOOKUP(E215&amp;U215&amp;F215,tab_act&amp;tab_mod&amp;tab_act1,tab_cash)*T215)</f>
        <v>0</v>
      </c>
      <c r="AK215" s="134" cm="1">
        <f t="array" ref="AK215">IF(B215="",0,IF(C215="",0,AJ215/_xlfn.XLOOKUP(B215&amp;C215,RMth&amp;RYr,RAr)))</f>
        <v>0</v>
      </c>
      <c r="AN215" s="146" t="str">
        <f t="shared" si="22"/>
        <v>A</v>
      </c>
    </row>
    <row r="216" spans="2:40" x14ac:dyDescent="0.35">
      <c r="B216" s="132" t="s">
        <v>128</v>
      </c>
      <c r="C216" s="44">
        <v>2023</v>
      </c>
      <c r="D216" s="44" t="s">
        <v>100</v>
      </c>
      <c r="E216" s="15" t="s">
        <v>39</v>
      </c>
      <c r="F216" s="99" t="s">
        <v>245</v>
      </c>
      <c r="G216" s="15" t="s">
        <v>159</v>
      </c>
      <c r="H216" s="44"/>
      <c r="I216" s="15" t="s">
        <v>213</v>
      </c>
      <c r="J216" s="15" t="s">
        <v>91</v>
      </c>
      <c r="K216" s="15" t="s">
        <v>97</v>
      </c>
      <c r="L216" s="15" t="s">
        <v>212</v>
      </c>
      <c r="M216" s="15" t="s">
        <v>158</v>
      </c>
      <c r="N216" s="15" t="s">
        <v>68</v>
      </c>
      <c r="O216" s="15" t="s">
        <v>152</v>
      </c>
      <c r="P216" s="15" t="s">
        <v>220</v>
      </c>
      <c r="Q216" s="42"/>
      <c r="R216" s="42">
        <v>148</v>
      </c>
      <c r="S216" s="42">
        <v>148</v>
      </c>
      <c r="T216" s="43">
        <v>148</v>
      </c>
      <c r="U216" s="44" t="s">
        <v>41</v>
      </c>
      <c r="V216" s="153">
        <v>30</v>
      </c>
      <c r="W216" s="45" cm="1">
        <f t="array" ref="W216">IF(U216="",0,_xlfn.XLOOKUP(E216&amp;U216&amp;F216,tab_act&amp;tab_mod&amp;tab_act1,tab_riz)*V216*T216/MGMT)</f>
        <v>0</v>
      </c>
      <c r="X216" s="42" cm="1">
        <f t="array" ref="X216">IF(U216="",0,_xlfn.XLOOKUP(E216&amp;U216&amp;F216,tab_act&amp;tab_mod&amp;tab_act1,tab_mc)*V216*T216/MGMT)</f>
        <v>0</v>
      </c>
      <c r="Y216" s="42" cm="1">
        <f t="array" ref="Y216">IF(U216="",0,_xlfn.XLOOKUP(E216&amp;U216&amp;F216,tab_act&amp;tab_mod&amp;tab_act1,tab_sor)*V216*T216/MGMT)</f>
        <v>0</v>
      </c>
      <c r="Z216" s="42" cm="1">
        <f t="array" ref="Z216">IF(U216="",0,_xlfn.XLOOKUP(E216&amp;U216&amp;F216,tab_act&amp;tab_mod&amp;tab_act1,tab_mg)*V216*T216/MGMT)</f>
        <v>0</v>
      </c>
      <c r="AA216" s="46" cm="1">
        <f t="array" ref="AA216">IF(U216="",0,IF(U216="hybrid-Sch",_xlfn.XLOOKUP(E216&amp;U216&amp;F216,tab_act&amp;tab_mod&amp;tab_act1,tab_ls)*SchLS*T216/MGMT,_xlfn.XLOOKUP(E216&amp;U216&amp;F216,tab_act&amp;tab_mod&amp;tab_act1,tab_ls)*V216*T216/MGMT))</f>
        <v>0</v>
      </c>
      <c r="AB216" s="46" cm="1">
        <f t="array" ref="AB216">IF(U216="",0,_xlfn.XLOOKUP(E216&amp;U216&amp;F216,tab_act&amp;tab_mod&amp;tab_act1,tab_hu)*V216*T216/MGMT)</f>
        <v>8.8800000000000004E-2</v>
      </c>
      <c r="AC216" s="46" cm="1">
        <f t="array" ref="AC216">IF(U216="",0,_xlfn.XLOOKUP(E216&amp;U216&amp;F216,tab_act&amp;tab_mod&amp;tab_act1,tab_mnp)*V216*T216/MGMT)</f>
        <v>0</v>
      </c>
      <c r="AD216" s="46" cm="1">
        <f t="array" ref="AD216">IF(U216="",0,_xlfn.XLOOKUP(E216&amp;U216&amp;F216,tab_act&amp;tab_mod&amp;tab_act1,tab_Psup)*V216*T216/MGMT)</f>
        <v>0</v>
      </c>
      <c r="AE216" s="110" cm="1">
        <f t="array" ref="AE216">IF(U216="",0,_xlfn.XLOOKUP(E216&amp;U216&amp;F216,tab_act&amp;tab_mod&amp;tab_act1,tab_csb1)*V216*T216/MGMT)</f>
        <v>0.35964000000000002</v>
      </c>
      <c r="AF216" s="110" cm="1">
        <f t="array" ref="AF216">IF(U216="",0,_xlfn.XLOOKUP(E216&amp;U216&amp;F216,tab_act&amp;tab_mod&amp;tab_act1,tab_csb2)*V216*T216/MGMT)</f>
        <v>0.52836000000000005</v>
      </c>
      <c r="AG216" s="46" cm="1">
        <f t="array" ref="AG216">IF(U216="",0,_xlfn.XLOOKUP(E216&amp;U216&amp;F216,tab_act&amp;tab_mod&amp;tab_act1,tab_pdoz)*V216*T216/MGMT)</f>
        <v>0</v>
      </c>
      <c r="AH216" s="46" cm="1">
        <f t="array" ref="AH216">IF(U216="",0,_xlfn.XLOOKUP(E216&amp;U216&amp;F216,tab_act&amp;tab_mod&amp;tab_act1,tab_lns)*V216*T216/MGMT)</f>
        <v>0</v>
      </c>
      <c r="AI216" s="47">
        <f t="shared" si="21"/>
        <v>0.97680000000000011</v>
      </c>
      <c r="AJ216" s="48" cm="1">
        <f t="array" ref="AJ216">IF(U216="",0,_xlfn.XLOOKUP(E216&amp;U216&amp;F216,tab_act&amp;tab_mod&amp;tab_act1,tab_cash)*T216)</f>
        <v>0</v>
      </c>
      <c r="AK216" s="134" cm="1">
        <f t="array" ref="AK216">IF(B216="",0,IF(C216="",0,AJ216/_xlfn.XLOOKUP(B216&amp;C216,RMth&amp;RYr,RAr)))</f>
        <v>0</v>
      </c>
      <c r="AN216" s="146" t="str">
        <f t="shared" si="22"/>
        <v>A</v>
      </c>
    </row>
    <row r="217" spans="2:40" x14ac:dyDescent="0.35">
      <c r="B217" s="132" t="s">
        <v>128</v>
      </c>
      <c r="C217" s="44">
        <v>2023</v>
      </c>
      <c r="D217" s="44" t="s">
        <v>100</v>
      </c>
      <c r="E217" s="15" t="s">
        <v>39</v>
      </c>
      <c r="F217" s="99" t="s">
        <v>245</v>
      </c>
      <c r="G217" s="15" t="s">
        <v>159</v>
      </c>
      <c r="H217" s="44"/>
      <c r="I217" s="15" t="s">
        <v>213</v>
      </c>
      <c r="J217" s="15" t="s">
        <v>91</v>
      </c>
      <c r="K217" s="15" t="s">
        <v>97</v>
      </c>
      <c r="L217" s="15" t="s">
        <v>212</v>
      </c>
      <c r="M217" s="15" t="s">
        <v>158</v>
      </c>
      <c r="N217" s="15" t="s">
        <v>68</v>
      </c>
      <c r="O217" s="15" t="s">
        <v>152</v>
      </c>
      <c r="P217" s="15" t="s">
        <v>221</v>
      </c>
      <c r="Q217" s="42"/>
      <c r="R217" s="42">
        <v>218</v>
      </c>
      <c r="S217" s="42">
        <v>218</v>
      </c>
      <c r="T217" s="43">
        <v>218</v>
      </c>
      <c r="U217" s="44" t="s">
        <v>41</v>
      </c>
      <c r="V217" s="153">
        <v>30</v>
      </c>
      <c r="W217" s="45" cm="1">
        <f t="array" ref="W217">IF(U217="",0,_xlfn.XLOOKUP(E217&amp;U217&amp;F217,tab_act&amp;tab_mod&amp;tab_act1,tab_riz)*V217*T217/MGMT)</f>
        <v>0</v>
      </c>
      <c r="X217" s="42" cm="1">
        <f t="array" ref="X217">IF(U217="",0,_xlfn.XLOOKUP(E217&amp;U217&amp;F217,tab_act&amp;tab_mod&amp;tab_act1,tab_mc)*V217*T217/MGMT)</f>
        <v>0</v>
      </c>
      <c r="Y217" s="42" cm="1">
        <f t="array" ref="Y217">IF(U217="",0,_xlfn.XLOOKUP(E217&amp;U217&amp;F217,tab_act&amp;tab_mod&amp;tab_act1,tab_sor)*V217*T217/MGMT)</f>
        <v>0</v>
      </c>
      <c r="Z217" s="42" cm="1">
        <f t="array" ref="Z217">IF(U217="",0,_xlfn.XLOOKUP(E217&amp;U217&amp;F217,tab_act&amp;tab_mod&amp;tab_act1,tab_mg)*V217*T217/MGMT)</f>
        <v>0</v>
      </c>
      <c r="AA217" s="46" cm="1">
        <f t="array" ref="AA217">IF(U217="",0,IF(U217="hybrid-Sch",_xlfn.XLOOKUP(E217&amp;U217&amp;F217,tab_act&amp;tab_mod&amp;tab_act1,tab_ls)*SchLS*T217/MGMT,_xlfn.XLOOKUP(E217&amp;U217&amp;F217,tab_act&amp;tab_mod&amp;tab_act1,tab_ls)*V217*T217/MGMT))</f>
        <v>0</v>
      </c>
      <c r="AB217" s="46" cm="1">
        <f t="array" ref="AB217">IF(U217="",0,_xlfn.XLOOKUP(E217&amp;U217&amp;F217,tab_act&amp;tab_mod&amp;tab_act1,tab_hu)*V217*T217/MGMT)</f>
        <v>0.1308</v>
      </c>
      <c r="AC217" s="46" cm="1">
        <f t="array" ref="AC217">IF(U217="",0,_xlfn.XLOOKUP(E217&amp;U217&amp;F217,tab_act&amp;tab_mod&amp;tab_act1,tab_mnp)*V217*T217/MGMT)</f>
        <v>0</v>
      </c>
      <c r="AD217" s="46" cm="1">
        <f t="array" ref="AD217">IF(U217="",0,_xlfn.XLOOKUP(E217&amp;U217&amp;F217,tab_act&amp;tab_mod&amp;tab_act1,tab_Psup)*V217*T217/MGMT)</f>
        <v>0</v>
      </c>
      <c r="AE217" s="110" cm="1">
        <f t="array" ref="AE217">IF(U217="",0,_xlfn.XLOOKUP(E217&amp;U217&amp;F217,tab_act&amp;tab_mod&amp;tab_act1,tab_csb1)*V217*T217/MGMT)</f>
        <v>0.52973999999999999</v>
      </c>
      <c r="AF217" s="110" cm="1">
        <f t="array" ref="AF217">IF(U217="",0,_xlfn.XLOOKUP(E217&amp;U217&amp;F217,tab_act&amp;tab_mod&amp;tab_act1,tab_csb2)*V217*T217/MGMT)</f>
        <v>0.77825999999999995</v>
      </c>
      <c r="AG217" s="46" cm="1">
        <f t="array" ref="AG217">IF(U217="",0,_xlfn.XLOOKUP(E217&amp;U217&amp;F217,tab_act&amp;tab_mod&amp;tab_act1,tab_pdoz)*V217*T217/MGMT)</f>
        <v>0</v>
      </c>
      <c r="AH217" s="46" cm="1">
        <f t="array" ref="AH217">IF(U217="",0,_xlfn.XLOOKUP(E217&amp;U217&amp;F217,tab_act&amp;tab_mod&amp;tab_act1,tab_lns)*V217*T217/MGMT)</f>
        <v>0</v>
      </c>
      <c r="AI217" s="47">
        <f t="shared" si="21"/>
        <v>1.4388000000000001</v>
      </c>
      <c r="AJ217" s="48" cm="1">
        <f t="array" ref="AJ217">IF(U217="",0,_xlfn.XLOOKUP(E217&amp;U217&amp;F217,tab_act&amp;tab_mod&amp;tab_act1,tab_cash)*T217)</f>
        <v>0</v>
      </c>
      <c r="AK217" s="134" cm="1">
        <f t="array" ref="AK217">IF(B217="",0,IF(C217="",0,AJ217/_xlfn.XLOOKUP(B217&amp;C217,RMth&amp;RYr,RAr)))</f>
        <v>0</v>
      </c>
      <c r="AN217" s="146" t="str">
        <f t="shared" si="22"/>
        <v>A</v>
      </c>
    </row>
    <row r="218" spans="2:40" x14ac:dyDescent="0.35">
      <c r="B218" s="132" t="s">
        <v>128</v>
      </c>
      <c r="C218" s="44">
        <v>2023</v>
      </c>
      <c r="D218" s="44" t="s">
        <v>100</v>
      </c>
      <c r="E218" s="15" t="s">
        <v>39</v>
      </c>
      <c r="F218" s="99" t="s">
        <v>245</v>
      </c>
      <c r="G218" s="15" t="s">
        <v>159</v>
      </c>
      <c r="H218" s="44"/>
      <c r="I218" s="15" t="s">
        <v>213</v>
      </c>
      <c r="J218" s="15" t="s">
        <v>91</v>
      </c>
      <c r="K218" s="15" t="s">
        <v>97</v>
      </c>
      <c r="L218" s="15" t="s">
        <v>212</v>
      </c>
      <c r="M218" s="15" t="s">
        <v>158</v>
      </c>
      <c r="N218" s="15" t="s">
        <v>68</v>
      </c>
      <c r="O218" s="15" t="s">
        <v>222</v>
      </c>
      <c r="P218" s="15" t="s">
        <v>223</v>
      </c>
      <c r="Q218" s="42"/>
      <c r="R218" s="42">
        <v>702</v>
      </c>
      <c r="S218" s="42">
        <v>702</v>
      </c>
      <c r="T218" s="43">
        <v>702</v>
      </c>
      <c r="U218" s="44" t="s">
        <v>41</v>
      </c>
      <c r="V218" s="153">
        <v>30</v>
      </c>
      <c r="W218" s="45" cm="1">
        <f t="array" ref="W218">IF(U218="",0,_xlfn.XLOOKUP(E218&amp;U218&amp;F218,tab_act&amp;tab_mod&amp;tab_act1,tab_riz)*V218*T218/MGMT)</f>
        <v>0</v>
      </c>
      <c r="X218" s="42" cm="1">
        <f t="array" ref="X218">IF(U218="",0,_xlfn.XLOOKUP(E218&amp;U218&amp;F218,tab_act&amp;tab_mod&amp;tab_act1,tab_mc)*V218*T218/MGMT)</f>
        <v>0</v>
      </c>
      <c r="Y218" s="42" cm="1">
        <f t="array" ref="Y218">IF(U218="",0,_xlfn.XLOOKUP(E218&amp;U218&amp;F218,tab_act&amp;tab_mod&amp;tab_act1,tab_sor)*V218*T218/MGMT)</f>
        <v>0</v>
      </c>
      <c r="Z218" s="42" cm="1">
        <f t="array" ref="Z218">IF(U218="",0,_xlfn.XLOOKUP(E218&amp;U218&amp;F218,tab_act&amp;tab_mod&amp;tab_act1,tab_mg)*V218*T218/MGMT)</f>
        <v>0</v>
      </c>
      <c r="AA218" s="46" cm="1">
        <f t="array" ref="AA218">IF(U218="",0,IF(U218="hybrid-Sch",_xlfn.XLOOKUP(E218&amp;U218&amp;F218,tab_act&amp;tab_mod&amp;tab_act1,tab_ls)*SchLS*T218/MGMT,_xlfn.XLOOKUP(E218&amp;U218&amp;F218,tab_act&amp;tab_mod&amp;tab_act1,tab_ls)*V218*T218/MGMT))</f>
        <v>0</v>
      </c>
      <c r="AB218" s="46" cm="1">
        <f t="array" ref="AB218">IF(U218="",0,_xlfn.XLOOKUP(E218&amp;U218&amp;F218,tab_act&amp;tab_mod&amp;tab_act1,tab_hu)*V218*T218/MGMT)</f>
        <v>0.42120000000000002</v>
      </c>
      <c r="AC218" s="46" cm="1">
        <f t="array" ref="AC218">IF(U218="",0,_xlfn.XLOOKUP(E218&amp;U218&amp;F218,tab_act&amp;tab_mod&amp;tab_act1,tab_mnp)*V218*T218/MGMT)</f>
        <v>0</v>
      </c>
      <c r="AD218" s="46" cm="1">
        <f t="array" ref="AD218">IF(U218="",0,_xlfn.XLOOKUP(E218&amp;U218&amp;F218,tab_act&amp;tab_mod&amp;tab_act1,tab_Psup)*V218*T218/MGMT)</f>
        <v>0</v>
      </c>
      <c r="AE218" s="110" cm="1">
        <f t="array" ref="AE218">IF(U218="",0,_xlfn.XLOOKUP(E218&amp;U218&amp;F218,tab_act&amp;tab_mod&amp;tab_act1,tab_csb1)*V218*T218/MGMT)</f>
        <v>1.7058599999999999</v>
      </c>
      <c r="AF218" s="110" cm="1">
        <f t="array" ref="AF218">IF(U218="",0,_xlfn.XLOOKUP(E218&amp;U218&amp;F218,tab_act&amp;tab_mod&amp;tab_act1,tab_csb2)*V218*T218/MGMT)</f>
        <v>2.5061399999999998</v>
      </c>
      <c r="AG218" s="46" cm="1">
        <f t="array" ref="AG218">IF(U218="",0,_xlfn.XLOOKUP(E218&amp;U218&amp;F218,tab_act&amp;tab_mod&amp;tab_act1,tab_pdoz)*V218*T218/MGMT)</f>
        <v>0</v>
      </c>
      <c r="AH218" s="46" cm="1">
        <f t="array" ref="AH218">IF(U218="",0,_xlfn.XLOOKUP(E218&amp;U218&amp;F218,tab_act&amp;tab_mod&amp;tab_act1,tab_lns)*V218*T218/MGMT)</f>
        <v>0</v>
      </c>
      <c r="AI218" s="47">
        <f t="shared" si="21"/>
        <v>4.6332000000000004</v>
      </c>
      <c r="AJ218" s="48" cm="1">
        <f t="array" ref="AJ218">IF(U218="",0,_xlfn.XLOOKUP(E218&amp;U218&amp;F218,tab_act&amp;tab_mod&amp;tab_act1,tab_cash)*T218)</f>
        <v>0</v>
      </c>
      <c r="AK218" s="134" cm="1">
        <f t="array" ref="AK218">IF(B218="",0,IF(C218="",0,AJ218/_xlfn.XLOOKUP(B218&amp;C218,RMth&amp;RYr,RAr)))</f>
        <v>0</v>
      </c>
      <c r="AN218" s="146" t="str">
        <f t="shared" si="22"/>
        <v>A</v>
      </c>
    </row>
    <row r="219" spans="2:40" x14ac:dyDescent="0.35">
      <c r="B219" s="132" t="s">
        <v>128</v>
      </c>
      <c r="C219" s="44">
        <v>2023</v>
      </c>
      <c r="D219" s="44" t="s">
        <v>100</v>
      </c>
      <c r="E219" s="15" t="s">
        <v>39</v>
      </c>
      <c r="F219" s="99" t="s">
        <v>245</v>
      </c>
      <c r="G219" s="15" t="s">
        <v>159</v>
      </c>
      <c r="H219" s="44"/>
      <c r="I219" s="15" t="s">
        <v>213</v>
      </c>
      <c r="J219" s="15" t="s">
        <v>91</v>
      </c>
      <c r="K219" s="15" t="s">
        <v>97</v>
      </c>
      <c r="L219" s="15" t="s">
        <v>212</v>
      </c>
      <c r="M219" s="15" t="s">
        <v>158</v>
      </c>
      <c r="N219" s="15" t="s">
        <v>68</v>
      </c>
      <c r="O219" s="15" t="s">
        <v>222</v>
      </c>
      <c r="P219" s="15" t="s">
        <v>224</v>
      </c>
      <c r="Q219" s="42"/>
      <c r="R219" s="42">
        <v>495</v>
      </c>
      <c r="S219" s="42">
        <v>495</v>
      </c>
      <c r="T219" s="43">
        <v>495</v>
      </c>
      <c r="U219" s="44" t="s">
        <v>41</v>
      </c>
      <c r="V219" s="153">
        <v>30</v>
      </c>
      <c r="W219" s="45" cm="1">
        <f t="array" ref="W219">IF(U219="",0,_xlfn.XLOOKUP(E219&amp;U219&amp;F219,tab_act&amp;tab_mod&amp;tab_act1,tab_riz)*V219*T219/MGMT)</f>
        <v>0</v>
      </c>
      <c r="X219" s="42" cm="1">
        <f t="array" ref="X219">IF(U219="",0,_xlfn.XLOOKUP(E219&amp;U219&amp;F219,tab_act&amp;tab_mod&amp;tab_act1,tab_mc)*V219*T219/MGMT)</f>
        <v>0</v>
      </c>
      <c r="Y219" s="42" cm="1">
        <f t="array" ref="Y219">IF(U219="",0,_xlfn.XLOOKUP(E219&amp;U219&amp;F219,tab_act&amp;tab_mod&amp;tab_act1,tab_sor)*V219*T219/MGMT)</f>
        <v>0</v>
      </c>
      <c r="Z219" s="42" cm="1">
        <f t="array" ref="Z219">IF(U219="",0,_xlfn.XLOOKUP(E219&amp;U219&amp;F219,tab_act&amp;tab_mod&amp;tab_act1,tab_mg)*V219*T219/MGMT)</f>
        <v>0</v>
      </c>
      <c r="AA219" s="46" cm="1">
        <f t="array" ref="AA219">IF(U219="",0,IF(U219="hybrid-Sch",_xlfn.XLOOKUP(E219&amp;U219&amp;F219,tab_act&amp;tab_mod&amp;tab_act1,tab_ls)*SchLS*T219/MGMT,_xlfn.XLOOKUP(E219&amp;U219&amp;F219,tab_act&amp;tab_mod&amp;tab_act1,tab_ls)*V219*T219/MGMT))</f>
        <v>0</v>
      </c>
      <c r="AB219" s="46" cm="1">
        <f t="array" ref="AB219">IF(U219="",0,_xlfn.XLOOKUP(E219&amp;U219&amp;F219,tab_act&amp;tab_mod&amp;tab_act1,tab_hu)*V219*T219/MGMT)</f>
        <v>0.29699999999999999</v>
      </c>
      <c r="AC219" s="46" cm="1">
        <f t="array" ref="AC219">IF(U219="",0,_xlfn.XLOOKUP(E219&amp;U219&amp;F219,tab_act&amp;tab_mod&amp;tab_act1,tab_mnp)*V219*T219/MGMT)</f>
        <v>0</v>
      </c>
      <c r="AD219" s="46" cm="1">
        <f t="array" ref="AD219">IF(U219="",0,_xlfn.XLOOKUP(E219&amp;U219&amp;F219,tab_act&amp;tab_mod&amp;tab_act1,tab_Psup)*V219*T219/MGMT)</f>
        <v>0</v>
      </c>
      <c r="AE219" s="110" cm="1">
        <f t="array" ref="AE219">IF(U219="",0,_xlfn.XLOOKUP(E219&amp;U219&amp;F219,tab_act&amp;tab_mod&amp;tab_act1,tab_csb1)*V219*T219/MGMT)</f>
        <v>1.20285</v>
      </c>
      <c r="AF219" s="110" cm="1">
        <f t="array" ref="AF219">IF(U219="",0,_xlfn.XLOOKUP(E219&amp;U219&amp;F219,tab_act&amp;tab_mod&amp;tab_act1,tab_csb2)*V219*T219/MGMT)</f>
        <v>1.76715</v>
      </c>
      <c r="AG219" s="46" cm="1">
        <f t="array" ref="AG219">IF(U219="",0,_xlfn.XLOOKUP(E219&amp;U219&amp;F219,tab_act&amp;tab_mod&amp;tab_act1,tab_pdoz)*V219*T219/MGMT)</f>
        <v>0</v>
      </c>
      <c r="AH219" s="46" cm="1">
        <f t="array" ref="AH219">IF(U219="",0,_xlfn.XLOOKUP(E219&amp;U219&amp;F219,tab_act&amp;tab_mod&amp;tab_act1,tab_lns)*V219*T219/MGMT)</f>
        <v>0</v>
      </c>
      <c r="AI219" s="47">
        <f t="shared" si="21"/>
        <v>3.2669999999999999</v>
      </c>
      <c r="AJ219" s="48" cm="1">
        <f t="array" ref="AJ219">IF(U219="",0,_xlfn.XLOOKUP(E219&amp;U219&amp;F219,tab_act&amp;tab_mod&amp;tab_act1,tab_cash)*T219)</f>
        <v>0</v>
      </c>
      <c r="AK219" s="134" cm="1">
        <f t="array" ref="AK219">IF(B219="",0,IF(C219="",0,AJ219/_xlfn.XLOOKUP(B219&amp;C219,RMth&amp;RYr,RAr)))</f>
        <v>0</v>
      </c>
      <c r="AN219" s="146" t="str">
        <f t="shared" si="22"/>
        <v>A</v>
      </c>
    </row>
    <row r="220" spans="2:40" x14ac:dyDescent="0.35">
      <c r="B220" s="132" t="s">
        <v>128</v>
      </c>
      <c r="C220" s="44">
        <v>2023</v>
      </c>
      <c r="D220" s="44" t="s">
        <v>100</v>
      </c>
      <c r="E220" s="15" t="s">
        <v>39</v>
      </c>
      <c r="F220" s="99" t="s">
        <v>245</v>
      </c>
      <c r="G220" s="15" t="s">
        <v>159</v>
      </c>
      <c r="H220" s="44"/>
      <c r="I220" s="15" t="s">
        <v>213</v>
      </c>
      <c r="J220" s="15" t="s">
        <v>91</v>
      </c>
      <c r="K220" s="15" t="s">
        <v>97</v>
      </c>
      <c r="L220" s="15" t="s">
        <v>212</v>
      </c>
      <c r="M220" s="15" t="s">
        <v>158</v>
      </c>
      <c r="N220" s="15" t="s">
        <v>68</v>
      </c>
      <c r="O220" s="15" t="s">
        <v>222</v>
      </c>
      <c r="P220" s="15" t="s">
        <v>225</v>
      </c>
      <c r="Q220" s="42"/>
      <c r="R220" s="42">
        <v>702</v>
      </c>
      <c r="S220" s="42">
        <v>702</v>
      </c>
      <c r="T220" s="43">
        <v>702</v>
      </c>
      <c r="U220" s="44" t="s">
        <v>41</v>
      </c>
      <c r="V220" s="153">
        <v>30</v>
      </c>
      <c r="W220" s="45" cm="1">
        <f t="array" ref="W220">IF(U220="",0,_xlfn.XLOOKUP(E220&amp;U220&amp;F220,tab_act&amp;tab_mod&amp;tab_act1,tab_riz)*V220*T220/MGMT)</f>
        <v>0</v>
      </c>
      <c r="X220" s="42" cm="1">
        <f t="array" ref="X220">IF(U220="",0,_xlfn.XLOOKUP(E220&amp;U220&amp;F220,tab_act&amp;tab_mod&amp;tab_act1,tab_mc)*V220*T220/MGMT)</f>
        <v>0</v>
      </c>
      <c r="Y220" s="42" cm="1">
        <f t="array" ref="Y220">IF(U220="",0,_xlfn.XLOOKUP(E220&amp;U220&amp;F220,tab_act&amp;tab_mod&amp;tab_act1,tab_sor)*V220*T220/MGMT)</f>
        <v>0</v>
      </c>
      <c r="Z220" s="42" cm="1">
        <f t="array" ref="Z220">IF(U220="",0,_xlfn.XLOOKUP(E220&amp;U220&amp;F220,tab_act&amp;tab_mod&amp;tab_act1,tab_mg)*V220*T220/MGMT)</f>
        <v>0</v>
      </c>
      <c r="AA220" s="46" cm="1">
        <f t="array" ref="AA220">IF(U220="",0,IF(U220="hybrid-Sch",_xlfn.XLOOKUP(E220&amp;U220&amp;F220,tab_act&amp;tab_mod&amp;tab_act1,tab_ls)*SchLS*T220/MGMT,_xlfn.XLOOKUP(E220&amp;U220&amp;F220,tab_act&amp;tab_mod&amp;tab_act1,tab_ls)*V220*T220/MGMT))</f>
        <v>0</v>
      </c>
      <c r="AB220" s="46" cm="1">
        <f t="array" ref="AB220">IF(U220="",0,_xlfn.XLOOKUP(E220&amp;U220&amp;F220,tab_act&amp;tab_mod&amp;tab_act1,tab_hu)*V220*T220/MGMT)</f>
        <v>0.42120000000000002</v>
      </c>
      <c r="AC220" s="46" cm="1">
        <f t="array" ref="AC220">IF(U220="",0,_xlfn.XLOOKUP(E220&amp;U220&amp;F220,tab_act&amp;tab_mod&amp;tab_act1,tab_mnp)*V220*T220/MGMT)</f>
        <v>0</v>
      </c>
      <c r="AD220" s="46" cm="1">
        <f t="array" ref="AD220">IF(U220="",0,_xlfn.XLOOKUP(E220&amp;U220&amp;F220,tab_act&amp;tab_mod&amp;tab_act1,tab_Psup)*V220*T220/MGMT)</f>
        <v>0</v>
      </c>
      <c r="AE220" s="110" cm="1">
        <f t="array" ref="AE220">IF(U220="",0,_xlfn.XLOOKUP(E220&amp;U220&amp;F220,tab_act&amp;tab_mod&amp;tab_act1,tab_csb1)*V220*T220/MGMT)</f>
        <v>1.7058599999999999</v>
      </c>
      <c r="AF220" s="110" cm="1">
        <f t="array" ref="AF220">IF(U220="",0,_xlfn.XLOOKUP(E220&amp;U220&amp;F220,tab_act&amp;tab_mod&amp;tab_act1,tab_csb2)*V220*T220/MGMT)</f>
        <v>2.5061399999999998</v>
      </c>
      <c r="AG220" s="46" cm="1">
        <f t="array" ref="AG220">IF(U220="",0,_xlfn.XLOOKUP(E220&amp;U220&amp;F220,tab_act&amp;tab_mod&amp;tab_act1,tab_pdoz)*V220*T220/MGMT)</f>
        <v>0</v>
      </c>
      <c r="AH220" s="46" cm="1">
        <f t="array" ref="AH220">IF(U220="",0,_xlfn.XLOOKUP(E220&amp;U220&amp;F220,tab_act&amp;tab_mod&amp;tab_act1,tab_lns)*V220*T220/MGMT)</f>
        <v>0</v>
      </c>
      <c r="AI220" s="47">
        <f t="shared" si="21"/>
        <v>4.6332000000000004</v>
      </c>
      <c r="AJ220" s="48" cm="1">
        <f t="array" ref="AJ220">IF(U220="",0,_xlfn.XLOOKUP(E220&amp;U220&amp;F220,tab_act&amp;tab_mod&amp;tab_act1,tab_cash)*T220)</f>
        <v>0</v>
      </c>
      <c r="AK220" s="134" cm="1">
        <f t="array" ref="AK220">IF(B220="",0,IF(C220="",0,AJ220/_xlfn.XLOOKUP(B220&amp;C220,RMth&amp;RYr,RAr)))</f>
        <v>0</v>
      </c>
      <c r="AN220" s="146" t="str">
        <f t="shared" si="22"/>
        <v>A</v>
      </c>
    </row>
    <row r="221" spans="2:40" x14ac:dyDescent="0.35">
      <c r="B221" s="132" t="s">
        <v>128</v>
      </c>
      <c r="C221" s="44">
        <v>2023</v>
      </c>
      <c r="D221" s="44" t="s">
        <v>100</v>
      </c>
      <c r="E221" s="15" t="s">
        <v>39</v>
      </c>
      <c r="F221" s="99" t="s">
        <v>245</v>
      </c>
      <c r="G221" s="15" t="s">
        <v>159</v>
      </c>
      <c r="H221" s="44"/>
      <c r="I221" s="15" t="s">
        <v>213</v>
      </c>
      <c r="J221" s="15" t="s">
        <v>91</v>
      </c>
      <c r="K221" s="15" t="s">
        <v>97</v>
      </c>
      <c r="L221" s="15" t="s">
        <v>212</v>
      </c>
      <c r="M221" s="15" t="s">
        <v>158</v>
      </c>
      <c r="N221" s="15" t="s">
        <v>68</v>
      </c>
      <c r="O221" s="15" t="s">
        <v>222</v>
      </c>
      <c r="P221" s="15" t="s">
        <v>226</v>
      </c>
      <c r="Q221" s="42"/>
      <c r="R221" s="42">
        <v>720</v>
      </c>
      <c r="S221" s="42">
        <v>720</v>
      </c>
      <c r="T221" s="43">
        <v>720</v>
      </c>
      <c r="U221" s="44" t="s">
        <v>41</v>
      </c>
      <c r="V221" s="153">
        <v>30</v>
      </c>
      <c r="W221" s="45" cm="1">
        <f t="array" ref="W221">IF(U221="",0,_xlfn.XLOOKUP(E221&amp;U221&amp;F221,tab_act&amp;tab_mod&amp;tab_act1,tab_riz)*V221*T221/MGMT)</f>
        <v>0</v>
      </c>
      <c r="X221" s="42" cm="1">
        <f t="array" ref="X221">IF(U221="",0,_xlfn.XLOOKUP(E221&amp;U221&amp;F221,tab_act&amp;tab_mod&amp;tab_act1,tab_mc)*V221*T221/MGMT)</f>
        <v>0</v>
      </c>
      <c r="Y221" s="42" cm="1">
        <f t="array" ref="Y221">IF(U221="",0,_xlfn.XLOOKUP(E221&amp;U221&amp;F221,tab_act&amp;tab_mod&amp;tab_act1,tab_sor)*V221*T221/MGMT)</f>
        <v>0</v>
      </c>
      <c r="Z221" s="42" cm="1">
        <f t="array" ref="Z221">IF(U221="",0,_xlfn.XLOOKUP(E221&amp;U221&amp;F221,tab_act&amp;tab_mod&amp;tab_act1,tab_mg)*V221*T221/MGMT)</f>
        <v>0</v>
      </c>
      <c r="AA221" s="46" cm="1">
        <f t="array" ref="AA221">IF(U221="",0,IF(U221="hybrid-Sch",_xlfn.XLOOKUP(E221&amp;U221&amp;F221,tab_act&amp;tab_mod&amp;tab_act1,tab_ls)*SchLS*T221/MGMT,_xlfn.XLOOKUP(E221&amp;U221&amp;F221,tab_act&amp;tab_mod&amp;tab_act1,tab_ls)*V221*T221/MGMT))</f>
        <v>0</v>
      </c>
      <c r="AB221" s="46" cm="1">
        <f t="array" ref="AB221">IF(U221="",0,_xlfn.XLOOKUP(E221&amp;U221&amp;F221,tab_act&amp;tab_mod&amp;tab_act1,tab_hu)*V221*T221/MGMT)</f>
        <v>0.432</v>
      </c>
      <c r="AC221" s="46" cm="1">
        <f t="array" ref="AC221">IF(U221="",0,_xlfn.XLOOKUP(E221&amp;U221&amp;F221,tab_act&amp;tab_mod&amp;tab_act1,tab_mnp)*V221*T221/MGMT)</f>
        <v>0</v>
      </c>
      <c r="AD221" s="46" cm="1">
        <f t="array" ref="AD221">IF(U221="",0,_xlfn.XLOOKUP(E221&amp;U221&amp;F221,tab_act&amp;tab_mod&amp;tab_act1,tab_Psup)*V221*T221/MGMT)</f>
        <v>0</v>
      </c>
      <c r="AE221" s="110" cm="1">
        <f t="array" ref="AE221">IF(U221="",0,_xlfn.XLOOKUP(E221&amp;U221&amp;F221,tab_act&amp;tab_mod&amp;tab_act1,tab_csb1)*V221*T221/MGMT)</f>
        <v>1.7496</v>
      </c>
      <c r="AF221" s="110" cm="1">
        <f t="array" ref="AF221">IF(U221="",0,_xlfn.XLOOKUP(E221&amp;U221&amp;F221,tab_act&amp;tab_mod&amp;tab_act1,tab_csb2)*V221*T221/MGMT)</f>
        <v>2.5703999999999998</v>
      </c>
      <c r="AG221" s="46" cm="1">
        <f t="array" ref="AG221">IF(U221="",0,_xlfn.XLOOKUP(E221&amp;U221&amp;F221,tab_act&amp;tab_mod&amp;tab_act1,tab_pdoz)*V221*T221/MGMT)</f>
        <v>0</v>
      </c>
      <c r="AH221" s="46" cm="1">
        <f t="array" ref="AH221">IF(U221="",0,_xlfn.XLOOKUP(E221&amp;U221&amp;F221,tab_act&amp;tab_mod&amp;tab_act1,tab_lns)*V221*T221/MGMT)</f>
        <v>0</v>
      </c>
      <c r="AI221" s="47">
        <f t="shared" si="21"/>
        <v>4.7519999999999998</v>
      </c>
      <c r="AJ221" s="48" cm="1">
        <f t="array" ref="AJ221">IF(U221="",0,_xlfn.XLOOKUP(E221&amp;U221&amp;F221,tab_act&amp;tab_mod&amp;tab_act1,tab_cash)*T221)</f>
        <v>0</v>
      </c>
      <c r="AK221" s="134" cm="1">
        <f t="array" ref="AK221">IF(B221="",0,IF(C221="",0,AJ221/_xlfn.XLOOKUP(B221&amp;C221,RMth&amp;RYr,RAr)))</f>
        <v>0</v>
      </c>
      <c r="AN221" s="146" t="str">
        <f t="shared" si="22"/>
        <v>A</v>
      </c>
    </row>
    <row r="222" spans="2:40" x14ac:dyDescent="0.35">
      <c r="B222" s="132" t="s">
        <v>128</v>
      </c>
      <c r="C222" s="44">
        <v>2023</v>
      </c>
      <c r="D222" s="44" t="s">
        <v>100</v>
      </c>
      <c r="E222" s="15" t="s">
        <v>39</v>
      </c>
      <c r="F222" s="99" t="s">
        <v>245</v>
      </c>
      <c r="G222" s="15" t="s">
        <v>159</v>
      </c>
      <c r="H222" s="44"/>
      <c r="I222" s="15" t="s">
        <v>213</v>
      </c>
      <c r="J222" s="15" t="s">
        <v>91</v>
      </c>
      <c r="K222" s="15" t="s">
        <v>97</v>
      </c>
      <c r="L222" s="15" t="s">
        <v>212</v>
      </c>
      <c r="M222" s="15" t="s">
        <v>158</v>
      </c>
      <c r="N222" s="15" t="s">
        <v>68</v>
      </c>
      <c r="O222" s="15" t="s">
        <v>102</v>
      </c>
      <c r="P222" s="15" t="s">
        <v>227</v>
      </c>
      <c r="Q222" s="42"/>
      <c r="R222" s="42">
        <v>834</v>
      </c>
      <c r="S222" s="42">
        <v>834</v>
      </c>
      <c r="T222" s="43">
        <v>834</v>
      </c>
      <c r="U222" s="44" t="s">
        <v>41</v>
      </c>
      <c r="V222" s="153">
        <v>30</v>
      </c>
      <c r="W222" s="45" cm="1">
        <f t="array" ref="W222">IF(U222="",0,_xlfn.XLOOKUP(E222&amp;U222&amp;F222,tab_act&amp;tab_mod&amp;tab_act1,tab_riz)*V222*T222/MGMT)</f>
        <v>0</v>
      </c>
      <c r="X222" s="42" cm="1">
        <f t="array" ref="X222">IF(U222="",0,_xlfn.XLOOKUP(E222&amp;U222&amp;F222,tab_act&amp;tab_mod&amp;tab_act1,tab_mc)*V222*T222/MGMT)</f>
        <v>0</v>
      </c>
      <c r="Y222" s="42" cm="1">
        <f t="array" ref="Y222">IF(U222="",0,_xlfn.XLOOKUP(E222&amp;U222&amp;F222,tab_act&amp;tab_mod&amp;tab_act1,tab_sor)*V222*T222/MGMT)</f>
        <v>0</v>
      </c>
      <c r="Z222" s="42" cm="1">
        <f t="array" ref="Z222">IF(U222="",0,_xlfn.XLOOKUP(E222&amp;U222&amp;F222,tab_act&amp;tab_mod&amp;tab_act1,tab_mg)*V222*T222/MGMT)</f>
        <v>0</v>
      </c>
      <c r="AA222" s="46" cm="1">
        <f t="array" ref="AA222">IF(U222="",0,IF(U222="hybrid-Sch",_xlfn.XLOOKUP(E222&amp;U222&amp;F222,tab_act&amp;tab_mod&amp;tab_act1,tab_ls)*SchLS*T222/MGMT,_xlfn.XLOOKUP(E222&amp;U222&amp;F222,tab_act&amp;tab_mod&amp;tab_act1,tab_ls)*V222*T222/MGMT))</f>
        <v>0</v>
      </c>
      <c r="AB222" s="46" cm="1">
        <f t="array" ref="AB222">IF(U222="",0,_xlfn.XLOOKUP(E222&amp;U222&amp;F222,tab_act&amp;tab_mod&amp;tab_act1,tab_hu)*V222*T222/MGMT)</f>
        <v>0.50039999999999996</v>
      </c>
      <c r="AC222" s="46" cm="1">
        <f t="array" ref="AC222">IF(U222="",0,_xlfn.XLOOKUP(E222&amp;U222&amp;F222,tab_act&amp;tab_mod&amp;tab_act1,tab_mnp)*V222*T222/MGMT)</f>
        <v>0</v>
      </c>
      <c r="AD222" s="46" cm="1">
        <f t="array" ref="AD222">IF(U222="",0,_xlfn.XLOOKUP(E222&amp;U222&amp;F222,tab_act&amp;tab_mod&amp;tab_act1,tab_Psup)*V222*T222/MGMT)</f>
        <v>0</v>
      </c>
      <c r="AE222" s="110" cm="1">
        <f t="array" ref="AE222">IF(U222="",0,_xlfn.XLOOKUP(E222&amp;U222&amp;F222,tab_act&amp;tab_mod&amp;tab_act1,tab_csb1)*V222*T222/MGMT)</f>
        <v>2.0266199999999999</v>
      </c>
      <c r="AF222" s="110" cm="1">
        <f t="array" ref="AF222">IF(U222="",0,_xlfn.XLOOKUP(E222&amp;U222&amp;F222,tab_act&amp;tab_mod&amp;tab_act1,tab_csb2)*V222*T222/MGMT)</f>
        <v>2.9773800000000001</v>
      </c>
      <c r="AG222" s="46" cm="1">
        <f t="array" ref="AG222">IF(U222="",0,_xlfn.XLOOKUP(E222&amp;U222&amp;F222,tab_act&amp;tab_mod&amp;tab_act1,tab_pdoz)*V222*T222/MGMT)</f>
        <v>0</v>
      </c>
      <c r="AH222" s="46" cm="1">
        <f t="array" ref="AH222">IF(U222="",0,_xlfn.XLOOKUP(E222&amp;U222&amp;F222,tab_act&amp;tab_mod&amp;tab_act1,tab_lns)*V222*T222/MGMT)</f>
        <v>0</v>
      </c>
      <c r="AI222" s="47">
        <f t="shared" si="21"/>
        <v>5.5044000000000004</v>
      </c>
      <c r="AJ222" s="48" cm="1">
        <f t="array" ref="AJ222">IF(U222="",0,_xlfn.XLOOKUP(E222&amp;U222&amp;F222,tab_act&amp;tab_mod&amp;tab_act1,tab_cash)*T222)</f>
        <v>0</v>
      </c>
      <c r="AK222" s="134" cm="1">
        <f t="array" ref="AK222">IF(B222="",0,IF(C222="",0,AJ222/_xlfn.XLOOKUP(B222&amp;C222,RMth&amp;RYr,RAr)))</f>
        <v>0</v>
      </c>
      <c r="AN222" s="146" t="str">
        <f t="shared" si="22"/>
        <v>A</v>
      </c>
    </row>
    <row r="223" spans="2:40" x14ac:dyDescent="0.35">
      <c r="B223" s="132" t="s">
        <v>128</v>
      </c>
      <c r="C223" s="44">
        <v>2023</v>
      </c>
      <c r="D223" s="44" t="s">
        <v>100</v>
      </c>
      <c r="E223" s="15" t="s">
        <v>39</v>
      </c>
      <c r="F223" s="99" t="s">
        <v>245</v>
      </c>
      <c r="G223" s="15" t="s">
        <v>159</v>
      </c>
      <c r="H223" s="44"/>
      <c r="I223" s="15" t="s">
        <v>213</v>
      </c>
      <c r="J223" s="15" t="s">
        <v>91</v>
      </c>
      <c r="K223" s="15" t="s">
        <v>97</v>
      </c>
      <c r="L223" s="15" t="s">
        <v>212</v>
      </c>
      <c r="M223" s="15" t="s">
        <v>158</v>
      </c>
      <c r="N223" s="15" t="s">
        <v>68</v>
      </c>
      <c r="O223" s="15" t="s">
        <v>102</v>
      </c>
      <c r="P223" s="15" t="s">
        <v>228</v>
      </c>
      <c r="Q223" s="42"/>
      <c r="R223" s="42">
        <v>398</v>
      </c>
      <c r="S223" s="42">
        <v>398</v>
      </c>
      <c r="T223" s="43">
        <v>398</v>
      </c>
      <c r="U223" s="44" t="s">
        <v>41</v>
      </c>
      <c r="V223" s="153">
        <v>30</v>
      </c>
      <c r="W223" s="45" cm="1">
        <f t="array" ref="W223">IF(U223="",0,_xlfn.XLOOKUP(E223&amp;U223&amp;F223,tab_act&amp;tab_mod&amp;tab_act1,tab_riz)*V223*T223/MGMT)</f>
        <v>0</v>
      </c>
      <c r="X223" s="42" cm="1">
        <f t="array" ref="X223">IF(U223="",0,_xlfn.XLOOKUP(E223&amp;U223&amp;F223,tab_act&amp;tab_mod&amp;tab_act1,tab_mc)*V223*T223/MGMT)</f>
        <v>0</v>
      </c>
      <c r="Y223" s="42" cm="1">
        <f t="array" ref="Y223">IF(U223="",0,_xlfn.XLOOKUP(E223&amp;U223&amp;F223,tab_act&amp;tab_mod&amp;tab_act1,tab_sor)*V223*T223/MGMT)</f>
        <v>0</v>
      </c>
      <c r="Z223" s="42" cm="1">
        <f t="array" ref="Z223">IF(U223="",0,_xlfn.XLOOKUP(E223&amp;U223&amp;F223,tab_act&amp;tab_mod&amp;tab_act1,tab_mg)*V223*T223/MGMT)</f>
        <v>0</v>
      </c>
      <c r="AA223" s="46" cm="1">
        <f t="array" ref="AA223">IF(U223="",0,IF(U223="hybrid-Sch",_xlfn.XLOOKUP(E223&amp;U223&amp;F223,tab_act&amp;tab_mod&amp;tab_act1,tab_ls)*SchLS*T223/MGMT,_xlfn.XLOOKUP(E223&amp;U223&amp;F223,tab_act&amp;tab_mod&amp;tab_act1,tab_ls)*V223*T223/MGMT))</f>
        <v>0</v>
      </c>
      <c r="AB223" s="46" cm="1">
        <f t="array" ref="AB223">IF(U223="",0,_xlfn.XLOOKUP(E223&amp;U223&amp;F223,tab_act&amp;tab_mod&amp;tab_act1,tab_hu)*V223*T223/MGMT)</f>
        <v>0.23880000000000001</v>
      </c>
      <c r="AC223" s="46" cm="1">
        <f t="array" ref="AC223">IF(U223="",0,_xlfn.XLOOKUP(E223&amp;U223&amp;F223,tab_act&amp;tab_mod&amp;tab_act1,tab_mnp)*V223*T223/MGMT)</f>
        <v>0</v>
      </c>
      <c r="AD223" s="46" cm="1">
        <f t="array" ref="AD223">IF(U223="",0,_xlfn.XLOOKUP(E223&amp;U223&amp;F223,tab_act&amp;tab_mod&amp;tab_act1,tab_Psup)*V223*T223/MGMT)</f>
        <v>0</v>
      </c>
      <c r="AE223" s="110" cm="1">
        <f t="array" ref="AE223">IF(U223="",0,_xlfn.XLOOKUP(E223&amp;U223&amp;F223,tab_act&amp;tab_mod&amp;tab_act1,tab_csb1)*V223*T223/MGMT)</f>
        <v>0.96714</v>
      </c>
      <c r="AF223" s="110" cm="1">
        <f t="array" ref="AF223">IF(U223="",0,_xlfn.XLOOKUP(E223&amp;U223&amp;F223,tab_act&amp;tab_mod&amp;tab_act1,tab_csb2)*V223*T223/MGMT)</f>
        <v>1.42086</v>
      </c>
      <c r="AG223" s="46" cm="1">
        <f t="array" ref="AG223">IF(U223="",0,_xlfn.XLOOKUP(E223&amp;U223&amp;F223,tab_act&amp;tab_mod&amp;tab_act1,tab_pdoz)*V223*T223/MGMT)</f>
        <v>0</v>
      </c>
      <c r="AH223" s="46" cm="1">
        <f t="array" ref="AH223">IF(U223="",0,_xlfn.XLOOKUP(E223&amp;U223&amp;F223,tab_act&amp;tab_mod&amp;tab_act1,tab_lns)*V223*T223/MGMT)</f>
        <v>0</v>
      </c>
      <c r="AI223" s="47">
        <f t="shared" si="21"/>
        <v>2.6268000000000002</v>
      </c>
      <c r="AJ223" s="48" cm="1">
        <f t="array" ref="AJ223">IF(U223="",0,_xlfn.XLOOKUP(E223&amp;U223&amp;F223,tab_act&amp;tab_mod&amp;tab_act1,tab_cash)*T223)</f>
        <v>0</v>
      </c>
      <c r="AK223" s="134" cm="1">
        <f t="array" ref="AK223">IF(B223="",0,IF(C223="",0,AJ223/_xlfn.XLOOKUP(B223&amp;C223,RMth&amp;RYr,RAr)))</f>
        <v>0</v>
      </c>
      <c r="AN223" s="146" t="str">
        <f t="shared" si="22"/>
        <v>A</v>
      </c>
    </row>
    <row r="224" spans="2:40" x14ac:dyDescent="0.35">
      <c r="B224" s="132" t="s">
        <v>128</v>
      </c>
      <c r="C224" s="44">
        <v>2023</v>
      </c>
      <c r="D224" s="44" t="s">
        <v>100</v>
      </c>
      <c r="E224" s="15" t="s">
        <v>39</v>
      </c>
      <c r="F224" s="99" t="s">
        <v>245</v>
      </c>
      <c r="G224" s="15" t="s">
        <v>159</v>
      </c>
      <c r="H224" s="44"/>
      <c r="I224" s="15" t="s">
        <v>213</v>
      </c>
      <c r="J224" s="15" t="s">
        <v>91</v>
      </c>
      <c r="K224" s="15" t="s">
        <v>97</v>
      </c>
      <c r="L224" s="15" t="s">
        <v>212</v>
      </c>
      <c r="M224" s="15" t="s">
        <v>158</v>
      </c>
      <c r="N224" s="15" t="s">
        <v>68</v>
      </c>
      <c r="O224" s="15" t="s">
        <v>102</v>
      </c>
      <c r="P224" s="15" t="s">
        <v>229</v>
      </c>
      <c r="Q224" s="42"/>
      <c r="R224" s="42">
        <v>182</v>
      </c>
      <c r="S224" s="42">
        <v>182</v>
      </c>
      <c r="T224" s="43">
        <v>182</v>
      </c>
      <c r="U224" s="44" t="s">
        <v>41</v>
      </c>
      <c r="V224" s="153">
        <v>30</v>
      </c>
      <c r="W224" s="45" cm="1">
        <f t="array" ref="W224">IF(U224="",0,_xlfn.XLOOKUP(E224&amp;U224&amp;F224,tab_act&amp;tab_mod&amp;tab_act1,tab_riz)*V224*T224/MGMT)</f>
        <v>0</v>
      </c>
      <c r="X224" s="42" cm="1">
        <f t="array" ref="X224">IF(U224="",0,_xlfn.XLOOKUP(E224&amp;U224&amp;F224,tab_act&amp;tab_mod&amp;tab_act1,tab_mc)*V224*T224/MGMT)</f>
        <v>0</v>
      </c>
      <c r="Y224" s="42" cm="1">
        <f t="array" ref="Y224">IF(U224="",0,_xlfn.XLOOKUP(E224&amp;U224&amp;F224,tab_act&amp;tab_mod&amp;tab_act1,tab_sor)*V224*T224/MGMT)</f>
        <v>0</v>
      </c>
      <c r="Z224" s="42" cm="1">
        <f t="array" ref="Z224">IF(U224="",0,_xlfn.XLOOKUP(E224&amp;U224&amp;F224,tab_act&amp;tab_mod&amp;tab_act1,tab_mg)*V224*T224/MGMT)</f>
        <v>0</v>
      </c>
      <c r="AA224" s="46" cm="1">
        <f t="array" ref="AA224">IF(U224="",0,IF(U224="hybrid-Sch",_xlfn.XLOOKUP(E224&amp;U224&amp;F224,tab_act&amp;tab_mod&amp;tab_act1,tab_ls)*SchLS*T224/MGMT,_xlfn.XLOOKUP(E224&amp;U224&amp;F224,tab_act&amp;tab_mod&amp;tab_act1,tab_ls)*V224*T224/MGMT))</f>
        <v>0</v>
      </c>
      <c r="AB224" s="46" cm="1">
        <f t="array" ref="AB224">IF(U224="",0,_xlfn.XLOOKUP(E224&amp;U224&amp;F224,tab_act&amp;tab_mod&amp;tab_act1,tab_hu)*V224*T224/MGMT)</f>
        <v>0.10920000000000001</v>
      </c>
      <c r="AC224" s="46" cm="1">
        <f t="array" ref="AC224">IF(U224="",0,_xlfn.XLOOKUP(E224&amp;U224&amp;F224,tab_act&amp;tab_mod&amp;tab_act1,tab_mnp)*V224*T224/MGMT)</f>
        <v>0</v>
      </c>
      <c r="AD224" s="46" cm="1">
        <f t="array" ref="AD224">IF(U224="",0,_xlfn.XLOOKUP(E224&amp;U224&amp;F224,tab_act&amp;tab_mod&amp;tab_act1,tab_Psup)*V224*T224/MGMT)</f>
        <v>0</v>
      </c>
      <c r="AE224" s="110" cm="1">
        <f t="array" ref="AE224">IF(U224="",0,_xlfn.XLOOKUP(E224&amp;U224&amp;F224,tab_act&amp;tab_mod&amp;tab_act1,tab_csb1)*V224*T224/MGMT)</f>
        <v>0.44225999999999999</v>
      </c>
      <c r="AF224" s="110" cm="1">
        <f t="array" ref="AF224">IF(U224="",0,_xlfn.XLOOKUP(E224&amp;U224&amp;F224,tab_act&amp;tab_mod&amp;tab_act1,tab_csb2)*V224*T224/MGMT)</f>
        <v>0.64973999999999998</v>
      </c>
      <c r="AG224" s="46" cm="1">
        <f t="array" ref="AG224">IF(U224="",0,_xlfn.XLOOKUP(E224&amp;U224&amp;F224,tab_act&amp;tab_mod&amp;tab_act1,tab_pdoz)*V224*T224/MGMT)</f>
        <v>0</v>
      </c>
      <c r="AH224" s="46" cm="1">
        <f t="array" ref="AH224">IF(U224="",0,_xlfn.XLOOKUP(E224&amp;U224&amp;F224,tab_act&amp;tab_mod&amp;tab_act1,tab_lns)*V224*T224/MGMT)</f>
        <v>0</v>
      </c>
      <c r="AI224" s="47">
        <f t="shared" si="21"/>
        <v>1.2012</v>
      </c>
      <c r="AJ224" s="48" cm="1">
        <f t="array" ref="AJ224">IF(U224="",0,_xlfn.XLOOKUP(E224&amp;U224&amp;F224,tab_act&amp;tab_mod&amp;tab_act1,tab_cash)*T224)</f>
        <v>0</v>
      </c>
      <c r="AK224" s="134" cm="1">
        <f t="array" ref="AK224">IF(B224="",0,IF(C224="",0,AJ224/_xlfn.XLOOKUP(B224&amp;C224,RMth&amp;RYr,RAr)))</f>
        <v>0</v>
      </c>
      <c r="AN224" s="146" t="str">
        <f t="shared" si="22"/>
        <v>A</v>
      </c>
    </row>
    <row r="225" spans="2:40" x14ac:dyDescent="0.35">
      <c r="B225" s="132" t="s">
        <v>128</v>
      </c>
      <c r="C225" s="44">
        <v>2023</v>
      </c>
      <c r="D225" s="44" t="s">
        <v>100</v>
      </c>
      <c r="E225" s="15" t="s">
        <v>39</v>
      </c>
      <c r="F225" s="99" t="s">
        <v>245</v>
      </c>
      <c r="G225" s="15" t="s">
        <v>159</v>
      </c>
      <c r="H225" s="44"/>
      <c r="I225" s="15" t="s">
        <v>213</v>
      </c>
      <c r="J225" s="15" t="s">
        <v>91</v>
      </c>
      <c r="K225" s="15" t="s">
        <v>97</v>
      </c>
      <c r="L225" s="15" t="s">
        <v>212</v>
      </c>
      <c r="M225" s="15" t="s">
        <v>158</v>
      </c>
      <c r="N225" s="15" t="s">
        <v>68</v>
      </c>
      <c r="O225" s="15" t="s">
        <v>102</v>
      </c>
      <c r="P225" s="15" t="s">
        <v>230</v>
      </c>
      <c r="Q225" s="42"/>
      <c r="R225" s="42">
        <v>364</v>
      </c>
      <c r="S225" s="42">
        <v>364</v>
      </c>
      <c r="T225" s="43">
        <v>364</v>
      </c>
      <c r="U225" s="44" t="s">
        <v>41</v>
      </c>
      <c r="V225" s="153">
        <v>30</v>
      </c>
      <c r="W225" s="45" cm="1">
        <f t="array" ref="W225">IF(U225="",0,_xlfn.XLOOKUP(E225&amp;U225&amp;F225,tab_act&amp;tab_mod&amp;tab_act1,tab_riz)*V225*T225/MGMT)</f>
        <v>0</v>
      </c>
      <c r="X225" s="42" cm="1">
        <f t="array" ref="X225">IF(U225="",0,_xlfn.XLOOKUP(E225&amp;U225&amp;F225,tab_act&amp;tab_mod&amp;tab_act1,tab_mc)*V225*T225/MGMT)</f>
        <v>0</v>
      </c>
      <c r="Y225" s="42" cm="1">
        <f t="array" ref="Y225">IF(U225="",0,_xlfn.XLOOKUP(E225&amp;U225&amp;F225,tab_act&amp;tab_mod&amp;tab_act1,tab_sor)*V225*T225/MGMT)</f>
        <v>0</v>
      </c>
      <c r="Z225" s="42" cm="1">
        <f t="array" ref="Z225">IF(U225="",0,_xlfn.XLOOKUP(E225&amp;U225&amp;F225,tab_act&amp;tab_mod&amp;tab_act1,tab_mg)*V225*T225/MGMT)</f>
        <v>0</v>
      </c>
      <c r="AA225" s="46" cm="1">
        <f t="array" ref="AA225">IF(U225="",0,IF(U225="hybrid-Sch",_xlfn.XLOOKUP(E225&amp;U225&amp;F225,tab_act&amp;tab_mod&amp;tab_act1,tab_ls)*SchLS*T225/MGMT,_xlfn.XLOOKUP(E225&amp;U225&amp;F225,tab_act&amp;tab_mod&amp;tab_act1,tab_ls)*V225*T225/MGMT))</f>
        <v>0</v>
      </c>
      <c r="AB225" s="46" cm="1">
        <f t="array" ref="AB225">IF(U225="",0,_xlfn.XLOOKUP(E225&amp;U225&amp;F225,tab_act&amp;tab_mod&amp;tab_act1,tab_hu)*V225*T225/MGMT)</f>
        <v>0.21840000000000001</v>
      </c>
      <c r="AC225" s="46" cm="1">
        <f t="array" ref="AC225">IF(U225="",0,_xlfn.XLOOKUP(E225&amp;U225&amp;F225,tab_act&amp;tab_mod&amp;tab_act1,tab_mnp)*V225*T225/MGMT)</f>
        <v>0</v>
      </c>
      <c r="AD225" s="46" cm="1">
        <f t="array" ref="AD225">IF(U225="",0,_xlfn.XLOOKUP(E225&amp;U225&amp;F225,tab_act&amp;tab_mod&amp;tab_act1,tab_Psup)*V225*T225/MGMT)</f>
        <v>0</v>
      </c>
      <c r="AE225" s="110" cm="1">
        <f t="array" ref="AE225">IF(U225="",0,_xlfn.XLOOKUP(E225&amp;U225&amp;F225,tab_act&amp;tab_mod&amp;tab_act1,tab_csb1)*V225*T225/MGMT)</f>
        <v>0.88451999999999997</v>
      </c>
      <c r="AF225" s="110" cm="1">
        <f t="array" ref="AF225">IF(U225="",0,_xlfn.XLOOKUP(E225&amp;U225&amp;F225,tab_act&amp;tab_mod&amp;tab_act1,tab_csb2)*V225*T225/MGMT)</f>
        <v>1.29948</v>
      </c>
      <c r="AG225" s="46" cm="1">
        <f t="array" ref="AG225">IF(U225="",0,_xlfn.XLOOKUP(E225&amp;U225&amp;F225,tab_act&amp;tab_mod&amp;tab_act1,tab_pdoz)*V225*T225/MGMT)</f>
        <v>0</v>
      </c>
      <c r="AH225" s="46" cm="1">
        <f t="array" ref="AH225">IF(U225="",0,_xlfn.XLOOKUP(E225&amp;U225&amp;F225,tab_act&amp;tab_mod&amp;tab_act1,tab_lns)*V225*T225/MGMT)</f>
        <v>0</v>
      </c>
      <c r="AI225" s="47">
        <f t="shared" si="21"/>
        <v>2.4024000000000001</v>
      </c>
      <c r="AJ225" s="48" cm="1">
        <f t="array" ref="AJ225">IF(U225="",0,_xlfn.XLOOKUP(E225&amp;U225&amp;F225,tab_act&amp;tab_mod&amp;tab_act1,tab_cash)*T225)</f>
        <v>0</v>
      </c>
      <c r="AK225" s="134" cm="1">
        <f t="array" ref="AK225">IF(B225="",0,IF(C225="",0,AJ225/_xlfn.XLOOKUP(B225&amp;C225,RMth&amp;RYr,RAr)))</f>
        <v>0</v>
      </c>
      <c r="AN225" s="146" t="str">
        <f t="shared" si="22"/>
        <v>A</v>
      </c>
    </row>
    <row r="226" spans="2:40" x14ac:dyDescent="0.35">
      <c r="B226" s="132" t="s">
        <v>128</v>
      </c>
      <c r="C226" s="44">
        <v>2023</v>
      </c>
      <c r="D226" s="44" t="s">
        <v>100</v>
      </c>
      <c r="E226" s="15" t="s">
        <v>39</v>
      </c>
      <c r="F226" s="99" t="s">
        <v>245</v>
      </c>
      <c r="G226" s="15" t="s">
        <v>159</v>
      </c>
      <c r="H226" s="44"/>
      <c r="I226" s="15" t="s">
        <v>213</v>
      </c>
      <c r="J226" s="15" t="s">
        <v>91</v>
      </c>
      <c r="K226" s="15" t="s">
        <v>97</v>
      </c>
      <c r="L226" s="15" t="s">
        <v>212</v>
      </c>
      <c r="M226" s="15" t="s">
        <v>158</v>
      </c>
      <c r="N226" s="15" t="s">
        <v>68</v>
      </c>
      <c r="O226" s="15" t="s">
        <v>102</v>
      </c>
      <c r="P226" s="15" t="s">
        <v>231</v>
      </c>
      <c r="Q226" s="42"/>
      <c r="R226" s="42">
        <v>864</v>
      </c>
      <c r="S226" s="42">
        <v>864</v>
      </c>
      <c r="T226" s="43">
        <v>864</v>
      </c>
      <c r="U226" s="44" t="s">
        <v>41</v>
      </c>
      <c r="V226" s="153">
        <v>30</v>
      </c>
      <c r="W226" s="45" cm="1">
        <f t="array" ref="W226">IF(U226="",0,_xlfn.XLOOKUP(E226&amp;U226&amp;F226,tab_act&amp;tab_mod&amp;tab_act1,tab_riz)*V226*T226/MGMT)</f>
        <v>0</v>
      </c>
      <c r="X226" s="42" cm="1">
        <f t="array" ref="X226">IF(U226="",0,_xlfn.XLOOKUP(E226&amp;U226&amp;F226,tab_act&amp;tab_mod&amp;tab_act1,tab_mc)*V226*T226/MGMT)</f>
        <v>0</v>
      </c>
      <c r="Y226" s="42" cm="1">
        <f t="array" ref="Y226">IF(U226="",0,_xlfn.XLOOKUP(E226&amp;U226&amp;F226,tab_act&amp;tab_mod&amp;tab_act1,tab_sor)*V226*T226/MGMT)</f>
        <v>0</v>
      </c>
      <c r="Z226" s="42" cm="1">
        <f t="array" ref="Z226">IF(U226="",0,_xlfn.XLOOKUP(E226&amp;U226&amp;F226,tab_act&amp;tab_mod&amp;tab_act1,tab_mg)*V226*T226/MGMT)</f>
        <v>0</v>
      </c>
      <c r="AA226" s="46" cm="1">
        <f t="array" ref="AA226">IF(U226="",0,IF(U226="hybrid-Sch",_xlfn.XLOOKUP(E226&amp;U226&amp;F226,tab_act&amp;tab_mod&amp;tab_act1,tab_ls)*SchLS*T226/MGMT,_xlfn.XLOOKUP(E226&amp;U226&amp;F226,tab_act&amp;tab_mod&amp;tab_act1,tab_ls)*V226*T226/MGMT))</f>
        <v>0</v>
      </c>
      <c r="AB226" s="46" cm="1">
        <f t="array" ref="AB226">IF(U226="",0,_xlfn.XLOOKUP(E226&amp;U226&amp;F226,tab_act&amp;tab_mod&amp;tab_act1,tab_hu)*V226*T226/MGMT)</f>
        <v>0.51839999999999997</v>
      </c>
      <c r="AC226" s="46" cm="1">
        <f t="array" ref="AC226">IF(U226="",0,_xlfn.XLOOKUP(E226&amp;U226&amp;F226,tab_act&amp;tab_mod&amp;tab_act1,tab_mnp)*V226*T226/MGMT)</f>
        <v>0</v>
      </c>
      <c r="AD226" s="46" cm="1">
        <f t="array" ref="AD226">IF(U226="",0,_xlfn.XLOOKUP(E226&amp;U226&amp;F226,tab_act&amp;tab_mod&amp;tab_act1,tab_Psup)*V226*T226/MGMT)</f>
        <v>0</v>
      </c>
      <c r="AE226" s="110" cm="1">
        <f t="array" ref="AE226">IF(U226="",0,_xlfn.XLOOKUP(E226&amp;U226&amp;F226,tab_act&amp;tab_mod&amp;tab_act1,tab_csb1)*V226*T226/MGMT)</f>
        <v>2.0995200000000001</v>
      </c>
      <c r="AF226" s="110" cm="1">
        <f t="array" ref="AF226">IF(U226="",0,_xlfn.XLOOKUP(E226&amp;U226&amp;F226,tab_act&amp;tab_mod&amp;tab_act1,tab_csb2)*V226*T226/MGMT)</f>
        <v>3.0844800000000001</v>
      </c>
      <c r="AG226" s="46" cm="1">
        <f t="array" ref="AG226">IF(U226="",0,_xlfn.XLOOKUP(E226&amp;U226&amp;F226,tab_act&amp;tab_mod&amp;tab_act1,tab_pdoz)*V226*T226/MGMT)</f>
        <v>0</v>
      </c>
      <c r="AH226" s="46" cm="1">
        <f t="array" ref="AH226">IF(U226="",0,_xlfn.XLOOKUP(E226&amp;U226&amp;F226,tab_act&amp;tab_mod&amp;tab_act1,tab_lns)*V226*T226/MGMT)</f>
        <v>0</v>
      </c>
      <c r="AI226" s="47">
        <f t="shared" si="21"/>
        <v>5.7023999999999999</v>
      </c>
      <c r="AJ226" s="48" cm="1">
        <f t="array" ref="AJ226">IF(U226="",0,_xlfn.XLOOKUP(E226&amp;U226&amp;F226,tab_act&amp;tab_mod&amp;tab_act1,tab_cash)*T226)</f>
        <v>0</v>
      </c>
      <c r="AK226" s="134" cm="1">
        <f t="array" ref="AK226">IF(B226="",0,IF(C226="",0,AJ226/_xlfn.XLOOKUP(B226&amp;C226,RMth&amp;RYr,RAr)))</f>
        <v>0</v>
      </c>
      <c r="AN226" s="146" t="str">
        <f t="shared" si="22"/>
        <v>A</v>
      </c>
    </row>
    <row r="227" spans="2:40" x14ac:dyDescent="0.35">
      <c r="B227" s="132" t="s">
        <v>128</v>
      </c>
      <c r="C227" s="44">
        <v>2023</v>
      </c>
      <c r="D227" s="44" t="s">
        <v>100</v>
      </c>
      <c r="E227" s="15" t="s">
        <v>39</v>
      </c>
      <c r="F227" s="99" t="s">
        <v>245</v>
      </c>
      <c r="G227" s="15" t="s">
        <v>159</v>
      </c>
      <c r="H227" s="44"/>
      <c r="I227" s="15" t="s">
        <v>213</v>
      </c>
      <c r="J227" s="15" t="s">
        <v>91</v>
      </c>
      <c r="K227" s="15" t="s">
        <v>97</v>
      </c>
      <c r="L227" s="15" t="s">
        <v>212</v>
      </c>
      <c r="M227" s="15" t="s">
        <v>158</v>
      </c>
      <c r="N227" s="15" t="s">
        <v>68</v>
      </c>
      <c r="O227" s="15" t="s">
        <v>102</v>
      </c>
      <c r="P227" s="15" t="s">
        <v>232</v>
      </c>
      <c r="Q227" s="42"/>
      <c r="R227" s="42">
        <v>584</v>
      </c>
      <c r="S227" s="42">
        <v>584</v>
      </c>
      <c r="T227" s="43">
        <v>584</v>
      </c>
      <c r="U227" s="44" t="s">
        <v>41</v>
      </c>
      <c r="V227" s="153">
        <v>30</v>
      </c>
      <c r="W227" s="45" cm="1">
        <f t="array" ref="W227">IF(U227="",0,_xlfn.XLOOKUP(E227&amp;U227&amp;F227,tab_act&amp;tab_mod&amp;tab_act1,tab_riz)*V227*T227/MGMT)</f>
        <v>0</v>
      </c>
      <c r="X227" s="42" cm="1">
        <f t="array" ref="X227">IF(U227="",0,_xlfn.XLOOKUP(E227&amp;U227&amp;F227,tab_act&amp;tab_mod&amp;tab_act1,tab_mc)*V227*T227/MGMT)</f>
        <v>0</v>
      </c>
      <c r="Y227" s="42" cm="1">
        <f t="array" ref="Y227">IF(U227="",0,_xlfn.XLOOKUP(E227&amp;U227&amp;F227,tab_act&amp;tab_mod&amp;tab_act1,tab_sor)*V227*T227/MGMT)</f>
        <v>0</v>
      </c>
      <c r="Z227" s="42" cm="1">
        <f t="array" ref="Z227">IF(U227="",0,_xlfn.XLOOKUP(E227&amp;U227&amp;F227,tab_act&amp;tab_mod&amp;tab_act1,tab_mg)*V227*T227/MGMT)</f>
        <v>0</v>
      </c>
      <c r="AA227" s="46" cm="1">
        <f t="array" ref="AA227">IF(U227="",0,IF(U227="hybrid-Sch",_xlfn.XLOOKUP(E227&amp;U227&amp;F227,tab_act&amp;tab_mod&amp;tab_act1,tab_ls)*SchLS*T227/MGMT,_xlfn.XLOOKUP(E227&amp;U227&amp;F227,tab_act&amp;tab_mod&amp;tab_act1,tab_ls)*V227*T227/MGMT))</f>
        <v>0</v>
      </c>
      <c r="AB227" s="46" cm="1">
        <f t="array" ref="AB227">IF(U227="",0,_xlfn.XLOOKUP(E227&amp;U227&amp;F227,tab_act&amp;tab_mod&amp;tab_act1,tab_hu)*V227*T227/MGMT)</f>
        <v>0.35039999999999999</v>
      </c>
      <c r="AC227" s="46" cm="1">
        <f t="array" ref="AC227">IF(U227="",0,_xlfn.XLOOKUP(E227&amp;U227&amp;F227,tab_act&amp;tab_mod&amp;tab_act1,tab_mnp)*V227*T227/MGMT)</f>
        <v>0</v>
      </c>
      <c r="AD227" s="46" cm="1">
        <f t="array" ref="AD227">IF(U227="",0,_xlfn.XLOOKUP(E227&amp;U227&amp;F227,tab_act&amp;tab_mod&amp;tab_act1,tab_Psup)*V227*T227/MGMT)</f>
        <v>0</v>
      </c>
      <c r="AE227" s="110" cm="1">
        <f t="array" ref="AE227">IF(U227="",0,_xlfn.XLOOKUP(E227&amp;U227&amp;F227,tab_act&amp;tab_mod&amp;tab_act1,tab_csb1)*V227*T227/MGMT)</f>
        <v>1.4191199999999999</v>
      </c>
      <c r="AF227" s="110" cm="1">
        <f t="array" ref="AF227">IF(U227="",0,_xlfn.XLOOKUP(E227&amp;U227&amp;F227,tab_act&amp;tab_mod&amp;tab_act1,tab_csb2)*V227*T227/MGMT)</f>
        <v>2.0848800000000001</v>
      </c>
      <c r="AG227" s="46" cm="1">
        <f t="array" ref="AG227">IF(U227="",0,_xlfn.XLOOKUP(E227&amp;U227&amp;F227,tab_act&amp;tab_mod&amp;tab_act1,tab_pdoz)*V227*T227/MGMT)</f>
        <v>0</v>
      </c>
      <c r="AH227" s="46" cm="1">
        <f t="array" ref="AH227">IF(U227="",0,_xlfn.XLOOKUP(E227&amp;U227&amp;F227,tab_act&amp;tab_mod&amp;tab_act1,tab_lns)*V227*T227/MGMT)</f>
        <v>0</v>
      </c>
      <c r="AI227" s="47">
        <f t="shared" si="21"/>
        <v>3.8544</v>
      </c>
      <c r="AJ227" s="48" cm="1">
        <f t="array" ref="AJ227">IF(U227="",0,_xlfn.XLOOKUP(E227&amp;U227&amp;F227,tab_act&amp;tab_mod&amp;tab_act1,tab_cash)*T227)</f>
        <v>0</v>
      </c>
      <c r="AK227" s="134" cm="1">
        <f t="array" ref="AK227">IF(B227="",0,IF(C227="",0,AJ227/_xlfn.XLOOKUP(B227&amp;C227,RMth&amp;RYr,RAr)))</f>
        <v>0</v>
      </c>
      <c r="AN227" s="146" t="str">
        <f t="shared" si="22"/>
        <v>A</v>
      </c>
    </row>
    <row r="228" spans="2:40" x14ac:dyDescent="0.35">
      <c r="B228" s="132" t="s">
        <v>128</v>
      </c>
      <c r="C228" s="44">
        <v>2023</v>
      </c>
      <c r="D228" s="44" t="s">
        <v>100</v>
      </c>
      <c r="E228" s="15" t="s">
        <v>39</v>
      </c>
      <c r="F228" s="99" t="s">
        <v>245</v>
      </c>
      <c r="G228" s="15" t="s">
        <v>159</v>
      </c>
      <c r="H228" s="44"/>
      <c r="I228" s="15" t="s">
        <v>213</v>
      </c>
      <c r="J228" s="15" t="s">
        <v>91</v>
      </c>
      <c r="K228" s="15" t="s">
        <v>97</v>
      </c>
      <c r="L228" s="15" t="s">
        <v>212</v>
      </c>
      <c r="M228" s="15" t="s">
        <v>158</v>
      </c>
      <c r="N228" s="15" t="s">
        <v>68</v>
      </c>
      <c r="O228" s="15" t="s">
        <v>104</v>
      </c>
      <c r="P228" s="15" t="s">
        <v>233</v>
      </c>
      <c r="Q228" s="42"/>
      <c r="R228" s="42">
        <v>1434</v>
      </c>
      <c r="S228" s="42">
        <v>1434</v>
      </c>
      <c r="T228" s="43">
        <v>1434</v>
      </c>
      <c r="U228" s="44" t="s">
        <v>41</v>
      </c>
      <c r="V228" s="153">
        <v>30</v>
      </c>
      <c r="W228" s="45" cm="1">
        <f t="array" ref="W228">IF(U228="",0,_xlfn.XLOOKUP(E228&amp;U228&amp;F228,tab_act&amp;tab_mod&amp;tab_act1,tab_riz)*V228*T228/MGMT)</f>
        <v>0</v>
      </c>
      <c r="X228" s="42" cm="1">
        <f t="array" ref="X228">IF(U228="",0,_xlfn.XLOOKUP(E228&amp;U228&amp;F228,tab_act&amp;tab_mod&amp;tab_act1,tab_mc)*V228*T228/MGMT)</f>
        <v>0</v>
      </c>
      <c r="Y228" s="42" cm="1">
        <f t="array" ref="Y228">IF(U228="",0,_xlfn.XLOOKUP(E228&amp;U228&amp;F228,tab_act&amp;tab_mod&amp;tab_act1,tab_sor)*V228*T228/MGMT)</f>
        <v>0</v>
      </c>
      <c r="Z228" s="42" cm="1">
        <f t="array" ref="Z228">IF(U228="",0,_xlfn.XLOOKUP(E228&amp;U228&amp;F228,tab_act&amp;tab_mod&amp;tab_act1,tab_mg)*V228*T228/MGMT)</f>
        <v>0</v>
      </c>
      <c r="AA228" s="46" cm="1">
        <f t="array" ref="AA228">IF(U228="",0,IF(U228="hybrid-Sch",_xlfn.XLOOKUP(E228&amp;U228&amp;F228,tab_act&amp;tab_mod&amp;tab_act1,tab_ls)*SchLS*T228/MGMT,_xlfn.XLOOKUP(E228&amp;U228&amp;F228,tab_act&amp;tab_mod&amp;tab_act1,tab_ls)*V228*T228/MGMT))</f>
        <v>0</v>
      </c>
      <c r="AB228" s="46" cm="1">
        <f t="array" ref="AB228">IF(U228="",0,_xlfn.XLOOKUP(E228&amp;U228&amp;F228,tab_act&amp;tab_mod&amp;tab_act1,tab_hu)*V228*T228/MGMT)</f>
        <v>0.86040000000000005</v>
      </c>
      <c r="AC228" s="46" cm="1">
        <f t="array" ref="AC228">IF(U228="",0,_xlfn.XLOOKUP(E228&amp;U228&amp;F228,tab_act&amp;tab_mod&amp;tab_act1,tab_mnp)*V228*T228/MGMT)</f>
        <v>0</v>
      </c>
      <c r="AD228" s="46" cm="1">
        <f t="array" ref="AD228">IF(U228="",0,_xlfn.XLOOKUP(E228&amp;U228&amp;F228,tab_act&amp;tab_mod&amp;tab_act1,tab_Psup)*V228*T228/MGMT)</f>
        <v>0</v>
      </c>
      <c r="AE228" s="110" cm="1">
        <f t="array" ref="AE228">IF(U228="",0,_xlfn.XLOOKUP(E228&amp;U228&amp;F228,tab_act&amp;tab_mod&amp;tab_act1,tab_csb1)*V228*T228/MGMT)</f>
        <v>3.4846200000000001</v>
      </c>
      <c r="AF228" s="110" cm="1">
        <f t="array" ref="AF228">IF(U228="",0,_xlfn.XLOOKUP(E228&amp;U228&amp;F228,tab_act&amp;tab_mod&amp;tab_act1,tab_csb2)*V228*T228/MGMT)</f>
        <v>5.1193799999999996</v>
      </c>
      <c r="AG228" s="46" cm="1">
        <f t="array" ref="AG228">IF(U228="",0,_xlfn.XLOOKUP(E228&amp;U228&amp;F228,tab_act&amp;tab_mod&amp;tab_act1,tab_pdoz)*V228*T228/MGMT)</f>
        <v>0</v>
      </c>
      <c r="AH228" s="46" cm="1">
        <f t="array" ref="AH228">IF(U228="",0,_xlfn.XLOOKUP(E228&amp;U228&amp;F228,tab_act&amp;tab_mod&amp;tab_act1,tab_lns)*V228*T228/MGMT)</f>
        <v>0</v>
      </c>
      <c r="AI228" s="47">
        <f t="shared" si="21"/>
        <v>9.4643999999999995</v>
      </c>
      <c r="AJ228" s="48" cm="1">
        <f t="array" ref="AJ228">IF(U228="",0,_xlfn.XLOOKUP(E228&amp;U228&amp;F228,tab_act&amp;tab_mod&amp;tab_act1,tab_cash)*T228)</f>
        <v>0</v>
      </c>
      <c r="AK228" s="134" cm="1">
        <f t="array" ref="AK228">IF(B228="",0,IF(C228="",0,AJ228/_xlfn.XLOOKUP(B228&amp;C228,RMth&amp;RYr,RAr)))</f>
        <v>0</v>
      </c>
      <c r="AN228" s="146" t="str">
        <f t="shared" si="22"/>
        <v>A</v>
      </c>
    </row>
    <row r="229" spans="2:40" x14ac:dyDescent="0.35">
      <c r="B229" s="132" t="s">
        <v>128</v>
      </c>
      <c r="C229" s="44">
        <v>2023</v>
      </c>
      <c r="D229" s="44" t="s">
        <v>100</v>
      </c>
      <c r="E229" s="15" t="s">
        <v>39</v>
      </c>
      <c r="F229" s="99" t="s">
        <v>245</v>
      </c>
      <c r="G229" s="15" t="s">
        <v>159</v>
      </c>
      <c r="H229" s="44"/>
      <c r="I229" s="15" t="s">
        <v>213</v>
      </c>
      <c r="J229" s="15" t="s">
        <v>91</v>
      </c>
      <c r="K229" s="15" t="s">
        <v>97</v>
      </c>
      <c r="L229" s="15" t="s">
        <v>212</v>
      </c>
      <c r="M229" s="15" t="s">
        <v>158</v>
      </c>
      <c r="N229" s="15" t="s">
        <v>68</v>
      </c>
      <c r="O229" s="15" t="s">
        <v>104</v>
      </c>
      <c r="P229" s="15" t="s">
        <v>234</v>
      </c>
      <c r="Q229" s="42"/>
      <c r="R229" s="42">
        <v>258</v>
      </c>
      <c r="S229" s="42">
        <v>258</v>
      </c>
      <c r="T229" s="43">
        <v>258</v>
      </c>
      <c r="U229" s="44" t="s">
        <v>41</v>
      </c>
      <c r="V229" s="153">
        <v>30</v>
      </c>
      <c r="W229" s="45" cm="1">
        <f t="array" ref="W229">IF(U229="",0,_xlfn.XLOOKUP(E229&amp;U229&amp;F229,tab_act&amp;tab_mod&amp;tab_act1,tab_riz)*V229*T229/MGMT)</f>
        <v>0</v>
      </c>
      <c r="X229" s="42" cm="1">
        <f t="array" ref="X229">IF(U229="",0,_xlfn.XLOOKUP(E229&amp;U229&amp;F229,tab_act&amp;tab_mod&amp;tab_act1,tab_mc)*V229*T229/MGMT)</f>
        <v>0</v>
      </c>
      <c r="Y229" s="42" cm="1">
        <f t="array" ref="Y229">IF(U229="",0,_xlfn.XLOOKUP(E229&amp;U229&amp;F229,tab_act&amp;tab_mod&amp;tab_act1,tab_sor)*V229*T229/MGMT)</f>
        <v>0</v>
      </c>
      <c r="Z229" s="42" cm="1">
        <f t="array" ref="Z229">IF(U229="",0,_xlfn.XLOOKUP(E229&amp;U229&amp;F229,tab_act&amp;tab_mod&amp;tab_act1,tab_mg)*V229*T229/MGMT)</f>
        <v>0</v>
      </c>
      <c r="AA229" s="46" cm="1">
        <f t="array" ref="AA229">IF(U229="",0,IF(U229="hybrid-Sch",_xlfn.XLOOKUP(E229&amp;U229&amp;F229,tab_act&amp;tab_mod&amp;tab_act1,tab_ls)*SchLS*T229/MGMT,_xlfn.XLOOKUP(E229&amp;U229&amp;F229,tab_act&amp;tab_mod&amp;tab_act1,tab_ls)*V229*T229/MGMT))</f>
        <v>0</v>
      </c>
      <c r="AB229" s="46" cm="1">
        <f t="array" ref="AB229">IF(U229="",0,_xlfn.XLOOKUP(E229&amp;U229&amp;F229,tab_act&amp;tab_mod&amp;tab_act1,tab_hu)*V229*T229/MGMT)</f>
        <v>0.15479999999999999</v>
      </c>
      <c r="AC229" s="46" cm="1">
        <f t="array" ref="AC229">IF(U229="",0,_xlfn.XLOOKUP(E229&amp;U229&amp;F229,tab_act&amp;tab_mod&amp;tab_act1,tab_mnp)*V229*T229/MGMT)</f>
        <v>0</v>
      </c>
      <c r="AD229" s="46" cm="1">
        <f t="array" ref="AD229">IF(U229="",0,_xlfn.XLOOKUP(E229&amp;U229&amp;F229,tab_act&amp;tab_mod&amp;tab_act1,tab_Psup)*V229*T229/MGMT)</f>
        <v>0</v>
      </c>
      <c r="AE229" s="110" cm="1">
        <f t="array" ref="AE229">IF(U229="",0,_xlfn.XLOOKUP(E229&amp;U229&amp;F229,tab_act&amp;tab_mod&amp;tab_act1,tab_csb1)*V229*T229/MGMT)</f>
        <v>0.62694000000000005</v>
      </c>
      <c r="AF229" s="110" cm="1">
        <f t="array" ref="AF229">IF(U229="",0,_xlfn.XLOOKUP(E229&amp;U229&amp;F229,tab_act&amp;tab_mod&amp;tab_act1,tab_csb2)*V229*T229/MGMT)</f>
        <v>0.92105999999999999</v>
      </c>
      <c r="AG229" s="46" cm="1">
        <f t="array" ref="AG229">IF(U229="",0,_xlfn.XLOOKUP(E229&amp;U229&amp;F229,tab_act&amp;tab_mod&amp;tab_act1,tab_pdoz)*V229*T229/MGMT)</f>
        <v>0</v>
      </c>
      <c r="AH229" s="46" cm="1">
        <f t="array" ref="AH229">IF(U229="",0,_xlfn.XLOOKUP(E229&amp;U229&amp;F229,tab_act&amp;tab_mod&amp;tab_act1,tab_lns)*V229*T229/MGMT)</f>
        <v>0</v>
      </c>
      <c r="AI229" s="47">
        <f t="shared" si="21"/>
        <v>1.7028000000000001</v>
      </c>
      <c r="AJ229" s="48" cm="1">
        <f t="array" ref="AJ229">IF(U229="",0,_xlfn.XLOOKUP(E229&amp;U229&amp;F229,tab_act&amp;tab_mod&amp;tab_act1,tab_cash)*T229)</f>
        <v>0</v>
      </c>
      <c r="AK229" s="134" cm="1">
        <f t="array" ref="AK229">IF(B229="",0,IF(C229="",0,AJ229/_xlfn.XLOOKUP(B229&amp;C229,RMth&amp;RYr,RAr)))</f>
        <v>0</v>
      </c>
      <c r="AN229" s="146" t="str">
        <f t="shared" si="22"/>
        <v>A</v>
      </c>
    </row>
    <row r="230" spans="2:40" x14ac:dyDescent="0.35">
      <c r="B230" s="132" t="s">
        <v>128</v>
      </c>
      <c r="C230" s="44">
        <v>2023</v>
      </c>
      <c r="D230" s="44" t="s">
        <v>100</v>
      </c>
      <c r="E230" s="15" t="s">
        <v>39</v>
      </c>
      <c r="F230" s="99" t="s">
        <v>245</v>
      </c>
      <c r="G230" s="15" t="s">
        <v>159</v>
      </c>
      <c r="H230" s="44"/>
      <c r="I230" s="15" t="s">
        <v>213</v>
      </c>
      <c r="J230" s="15" t="s">
        <v>91</v>
      </c>
      <c r="K230" s="15" t="s">
        <v>97</v>
      </c>
      <c r="L230" s="15" t="s">
        <v>212</v>
      </c>
      <c r="M230" s="15" t="s">
        <v>158</v>
      </c>
      <c r="N230" s="15" t="s">
        <v>68</v>
      </c>
      <c r="O230" s="15" t="s">
        <v>104</v>
      </c>
      <c r="P230" s="15" t="s">
        <v>235</v>
      </c>
      <c r="Q230" s="42"/>
      <c r="R230" s="42">
        <v>342</v>
      </c>
      <c r="S230" s="42">
        <v>342</v>
      </c>
      <c r="T230" s="43">
        <v>342</v>
      </c>
      <c r="U230" s="44" t="s">
        <v>41</v>
      </c>
      <c r="V230" s="153">
        <v>30</v>
      </c>
      <c r="W230" s="45" cm="1">
        <f t="array" ref="W230">IF(U230="",0,_xlfn.XLOOKUP(E230&amp;U230&amp;F230,tab_act&amp;tab_mod&amp;tab_act1,tab_riz)*V230*T230/MGMT)</f>
        <v>0</v>
      </c>
      <c r="X230" s="42" cm="1">
        <f t="array" ref="X230">IF(U230="",0,_xlfn.XLOOKUP(E230&amp;U230&amp;F230,tab_act&amp;tab_mod&amp;tab_act1,tab_mc)*V230*T230/MGMT)</f>
        <v>0</v>
      </c>
      <c r="Y230" s="42" cm="1">
        <f t="array" ref="Y230">IF(U230="",0,_xlfn.XLOOKUP(E230&amp;U230&amp;F230,tab_act&amp;tab_mod&amp;tab_act1,tab_sor)*V230*T230/MGMT)</f>
        <v>0</v>
      </c>
      <c r="Z230" s="42" cm="1">
        <f t="array" ref="Z230">IF(U230="",0,_xlfn.XLOOKUP(E230&amp;U230&amp;F230,tab_act&amp;tab_mod&amp;tab_act1,tab_mg)*V230*T230/MGMT)</f>
        <v>0</v>
      </c>
      <c r="AA230" s="46" cm="1">
        <f t="array" ref="AA230">IF(U230="",0,IF(U230="hybrid-Sch",_xlfn.XLOOKUP(E230&amp;U230&amp;F230,tab_act&amp;tab_mod&amp;tab_act1,tab_ls)*SchLS*T230/MGMT,_xlfn.XLOOKUP(E230&amp;U230&amp;F230,tab_act&amp;tab_mod&amp;tab_act1,tab_ls)*V230*T230/MGMT))</f>
        <v>0</v>
      </c>
      <c r="AB230" s="46" cm="1">
        <f t="array" ref="AB230">IF(U230="",0,_xlfn.XLOOKUP(E230&amp;U230&amp;F230,tab_act&amp;tab_mod&amp;tab_act1,tab_hu)*V230*T230/MGMT)</f>
        <v>0.20519999999999999</v>
      </c>
      <c r="AC230" s="46" cm="1">
        <f t="array" ref="AC230">IF(U230="",0,_xlfn.XLOOKUP(E230&amp;U230&amp;F230,tab_act&amp;tab_mod&amp;tab_act1,tab_mnp)*V230*T230/MGMT)</f>
        <v>0</v>
      </c>
      <c r="AD230" s="46" cm="1">
        <f t="array" ref="AD230">IF(U230="",0,_xlfn.XLOOKUP(E230&amp;U230&amp;F230,tab_act&amp;tab_mod&amp;tab_act1,tab_Psup)*V230*T230/MGMT)</f>
        <v>0</v>
      </c>
      <c r="AE230" s="110" cm="1">
        <f t="array" ref="AE230">IF(U230="",0,_xlfn.XLOOKUP(E230&amp;U230&amp;F230,tab_act&amp;tab_mod&amp;tab_act1,tab_csb1)*V230*T230/MGMT)</f>
        <v>0.83106000000000002</v>
      </c>
      <c r="AF230" s="110" cm="1">
        <f t="array" ref="AF230">IF(U230="",0,_xlfn.XLOOKUP(E230&amp;U230&amp;F230,tab_act&amp;tab_mod&amp;tab_act1,tab_csb2)*V230*T230/MGMT)</f>
        <v>1.2209399999999999</v>
      </c>
      <c r="AG230" s="46" cm="1">
        <f t="array" ref="AG230">IF(U230="",0,_xlfn.XLOOKUP(E230&amp;U230&amp;F230,tab_act&amp;tab_mod&amp;tab_act1,tab_pdoz)*V230*T230/MGMT)</f>
        <v>0</v>
      </c>
      <c r="AH230" s="46" cm="1">
        <f t="array" ref="AH230">IF(U230="",0,_xlfn.XLOOKUP(E230&amp;U230&amp;F230,tab_act&amp;tab_mod&amp;tab_act1,tab_lns)*V230*T230/MGMT)</f>
        <v>0</v>
      </c>
      <c r="AI230" s="47">
        <f t="shared" si="21"/>
        <v>2.2572000000000001</v>
      </c>
      <c r="AJ230" s="48" cm="1">
        <f t="array" ref="AJ230">IF(U230="",0,_xlfn.XLOOKUP(E230&amp;U230&amp;F230,tab_act&amp;tab_mod&amp;tab_act1,tab_cash)*T230)</f>
        <v>0</v>
      </c>
      <c r="AK230" s="134" cm="1">
        <f t="array" ref="AK230">IF(B230="",0,IF(C230="",0,AJ230/_xlfn.XLOOKUP(B230&amp;C230,RMth&amp;RYr,RAr)))</f>
        <v>0</v>
      </c>
      <c r="AN230" s="146" t="str">
        <f t="shared" si="22"/>
        <v>A</v>
      </c>
    </row>
    <row r="231" spans="2:40" x14ac:dyDescent="0.35">
      <c r="B231" s="132" t="s">
        <v>128</v>
      </c>
      <c r="C231" s="44">
        <v>2023</v>
      </c>
      <c r="D231" s="44" t="s">
        <v>100</v>
      </c>
      <c r="E231" s="15" t="s">
        <v>39</v>
      </c>
      <c r="F231" s="99" t="s">
        <v>245</v>
      </c>
      <c r="G231" s="15" t="s">
        <v>159</v>
      </c>
      <c r="H231" s="44"/>
      <c r="I231" s="15" t="s">
        <v>213</v>
      </c>
      <c r="J231" s="15" t="s">
        <v>91</v>
      </c>
      <c r="K231" s="15" t="s">
        <v>97</v>
      </c>
      <c r="L231" s="15" t="s">
        <v>212</v>
      </c>
      <c r="M231" s="15" t="s">
        <v>158</v>
      </c>
      <c r="N231" s="15" t="s">
        <v>68</v>
      </c>
      <c r="O231" s="15" t="s">
        <v>104</v>
      </c>
      <c r="P231" s="15" t="s">
        <v>236</v>
      </c>
      <c r="Q231" s="42"/>
      <c r="R231" s="42">
        <v>618</v>
      </c>
      <c r="S231" s="42">
        <v>618</v>
      </c>
      <c r="T231" s="43">
        <v>618</v>
      </c>
      <c r="U231" s="44" t="s">
        <v>41</v>
      </c>
      <c r="V231" s="153">
        <v>30</v>
      </c>
      <c r="W231" s="45" cm="1">
        <f t="array" ref="W231">IF(U231="",0,_xlfn.XLOOKUP(E231&amp;U231&amp;F231,tab_act&amp;tab_mod&amp;tab_act1,tab_riz)*V231*T231/MGMT)</f>
        <v>0</v>
      </c>
      <c r="X231" s="42" cm="1">
        <f t="array" ref="X231">IF(U231="",0,_xlfn.XLOOKUP(E231&amp;U231&amp;F231,tab_act&amp;tab_mod&amp;tab_act1,tab_mc)*V231*T231/MGMT)</f>
        <v>0</v>
      </c>
      <c r="Y231" s="42" cm="1">
        <f t="array" ref="Y231">IF(U231="",0,_xlfn.XLOOKUP(E231&amp;U231&amp;F231,tab_act&amp;tab_mod&amp;tab_act1,tab_sor)*V231*T231/MGMT)</f>
        <v>0</v>
      </c>
      <c r="Z231" s="42" cm="1">
        <f t="array" ref="Z231">IF(U231="",0,_xlfn.XLOOKUP(E231&amp;U231&amp;F231,tab_act&amp;tab_mod&amp;tab_act1,tab_mg)*V231*T231/MGMT)</f>
        <v>0</v>
      </c>
      <c r="AA231" s="46" cm="1">
        <f t="array" ref="AA231">IF(U231="",0,IF(U231="hybrid-Sch",_xlfn.XLOOKUP(E231&amp;U231&amp;F231,tab_act&amp;tab_mod&amp;tab_act1,tab_ls)*SchLS*T231/MGMT,_xlfn.XLOOKUP(E231&amp;U231&amp;F231,tab_act&amp;tab_mod&amp;tab_act1,tab_ls)*V231*T231/MGMT))</f>
        <v>0</v>
      </c>
      <c r="AB231" s="46" cm="1">
        <f t="array" ref="AB231">IF(U231="",0,_xlfn.XLOOKUP(E231&amp;U231&amp;F231,tab_act&amp;tab_mod&amp;tab_act1,tab_hu)*V231*T231/MGMT)</f>
        <v>0.37080000000000002</v>
      </c>
      <c r="AC231" s="46" cm="1">
        <f t="array" ref="AC231">IF(U231="",0,_xlfn.XLOOKUP(E231&amp;U231&amp;F231,tab_act&amp;tab_mod&amp;tab_act1,tab_mnp)*V231*T231/MGMT)</f>
        <v>0</v>
      </c>
      <c r="AD231" s="46" cm="1">
        <f t="array" ref="AD231">IF(U231="",0,_xlfn.XLOOKUP(E231&amp;U231&amp;F231,tab_act&amp;tab_mod&amp;tab_act1,tab_Psup)*V231*T231/MGMT)</f>
        <v>0</v>
      </c>
      <c r="AE231" s="110" cm="1">
        <f t="array" ref="AE231">IF(U231="",0,_xlfn.XLOOKUP(E231&amp;U231&amp;F231,tab_act&amp;tab_mod&amp;tab_act1,tab_csb1)*V231*T231/MGMT)</f>
        <v>1.5017400000000001</v>
      </c>
      <c r="AF231" s="110" cm="1">
        <f t="array" ref="AF231">IF(U231="",0,_xlfn.XLOOKUP(E231&amp;U231&amp;F231,tab_act&amp;tab_mod&amp;tab_act1,tab_csb2)*V231*T231/MGMT)</f>
        <v>2.2062599999999999</v>
      </c>
      <c r="AG231" s="46" cm="1">
        <f t="array" ref="AG231">IF(U231="",0,_xlfn.XLOOKUP(E231&amp;U231&amp;F231,tab_act&amp;tab_mod&amp;tab_act1,tab_pdoz)*V231*T231/MGMT)</f>
        <v>0</v>
      </c>
      <c r="AH231" s="46" cm="1">
        <f t="array" ref="AH231">IF(U231="",0,_xlfn.XLOOKUP(E231&amp;U231&amp;F231,tab_act&amp;tab_mod&amp;tab_act1,tab_lns)*V231*T231/MGMT)</f>
        <v>0</v>
      </c>
      <c r="AI231" s="47">
        <f t="shared" si="21"/>
        <v>4.0788000000000002</v>
      </c>
      <c r="AJ231" s="48" cm="1">
        <f t="array" ref="AJ231">IF(U231="",0,_xlfn.XLOOKUP(E231&amp;U231&amp;F231,tab_act&amp;tab_mod&amp;tab_act1,tab_cash)*T231)</f>
        <v>0</v>
      </c>
      <c r="AK231" s="134" cm="1">
        <f t="array" ref="AK231">IF(B231="",0,IF(C231="",0,AJ231/_xlfn.XLOOKUP(B231&amp;C231,RMth&amp;RYr,RAr)))</f>
        <v>0</v>
      </c>
      <c r="AN231" s="146" t="str">
        <f t="shared" si="22"/>
        <v>A</v>
      </c>
    </row>
    <row r="232" spans="2:40" x14ac:dyDescent="0.35">
      <c r="B232" s="132" t="s">
        <v>128</v>
      </c>
      <c r="C232" s="44">
        <v>2023</v>
      </c>
      <c r="D232" s="44" t="s">
        <v>100</v>
      </c>
      <c r="E232" s="15" t="s">
        <v>39</v>
      </c>
      <c r="F232" s="99" t="s">
        <v>245</v>
      </c>
      <c r="G232" s="15" t="s">
        <v>159</v>
      </c>
      <c r="H232" s="44"/>
      <c r="I232" s="15" t="s">
        <v>213</v>
      </c>
      <c r="J232" s="15" t="s">
        <v>91</v>
      </c>
      <c r="K232" s="15" t="s">
        <v>97</v>
      </c>
      <c r="L232" s="15" t="s">
        <v>212</v>
      </c>
      <c r="M232" s="15" t="s">
        <v>158</v>
      </c>
      <c r="N232" s="15" t="s">
        <v>68</v>
      </c>
      <c r="O232" s="15" t="s">
        <v>103</v>
      </c>
      <c r="P232" s="15" t="s">
        <v>237</v>
      </c>
      <c r="Q232" s="42"/>
      <c r="R232" s="42">
        <v>454</v>
      </c>
      <c r="S232" s="42">
        <v>454</v>
      </c>
      <c r="T232" s="43">
        <v>454</v>
      </c>
      <c r="U232" s="44" t="s">
        <v>41</v>
      </c>
      <c r="V232" s="153">
        <v>30</v>
      </c>
      <c r="W232" s="45" cm="1">
        <f t="array" ref="W232">IF(U232="",0,_xlfn.XLOOKUP(E232&amp;U232&amp;F232,tab_act&amp;tab_mod&amp;tab_act1,tab_riz)*V232*T232/MGMT)</f>
        <v>0</v>
      </c>
      <c r="X232" s="42" cm="1">
        <f t="array" ref="X232">IF(U232="",0,_xlfn.XLOOKUP(E232&amp;U232&amp;F232,tab_act&amp;tab_mod&amp;tab_act1,tab_mc)*V232*T232/MGMT)</f>
        <v>0</v>
      </c>
      <c r="Y232" s="42" cm="1">
        <f t="array" ref="Y232">IF(U232="",0,_xlfn.XLOOKUP(E232&amp;U232&amp;F232,tab_act&amp;tab_mod&amp;tab_act1,tab_sor)*V232*T232/MGMT)</f>
        <v>0</v>
      </c>
      <c r="Z232" s="42" cm="1">
        <f t="array" ref="Z232">IF(U232="",0,_xlfn.XLOOKUP(E232&amp;U232&amp;F232,tab_act&amp;tab_mod&amp;tab_act1,tab_mg)*V232*T232/MGMT)</f>
        <v>0</v>
      </c>
      <c r="AA232" s="46" cm="1">
        <f t="array" ref="AA232">IF(U232="",0,IF(U232="hybrid-Sch",_xlfn.XLOOKUP(E232&amp;U232&amp;F232,tab_act&amp;tab_mod&amp;tab_act1,tab_ls)*SchLS*T232/MGMT,_xlfn.XLOOKUP(E232&amp;U232&amp;F232,tab_act&amp;tab_mod&amp;tab_act1,tab_ls)*V232*T232/MGMT))</f>
        <v>0</v>
      </c>
      <c r="AB232" s="46" cm="1">
        <f t="array" ref="AB232">IF(U232="",0,_xlfn.XLOOKUP(E232&amp;U232&amp;F232,tab_act&amp;tab_mod&amp;tab_act1,tab_hu)*V232*T232/MGMT)</f>
        <v>0.27239999999999998</v>
      </c>
      <c r="AC232" s="46" cm="1">
        <f t="array" ref="AC232">IF(U232="",0,_xlfn.XLOOKUP(E232&amp;U232&amp;F232,tab_act&amp;tab_mod&amp;tab_act1,tab_mnp)*V232*T232/MGMT)</f>
        <v>0</v>
      </c>
      <c r="AD232" s="46" cm="1">
        <f t="array" ref="AD232">IF(U232="",0,_xlfn.XLOOKUP(E232&amp;U232&amp;F232,tab_act&amp;tab_mod&amp;tab_act1,tab_Psup)*V232*T232/MGMT)</f>
        <v>0</v>
      </c>
      <c r="AE232" s="110" cm="1">
        <f t="array" ref="AE232">IF(U232="",0,_xlfn.XLOOKUP(E232&amp;U232&amp;F232,tab_act&amp;tab_mod&amp;tab_act1,tab_csb1)*V232*T232/MGMT)</f>
        <v>1.1032200000000001</v>
      </c>
      <c r="AF232" s="110" cm="1">
        <f t="array" ref="AF232">IF(U232="",0,_xlfn.XLOOKUP(E232&amp;U232&amp;F232,tab_act&amp;tab_mod&amp;tab_act1,tab_csb2)*V232*T232/MGMT)</f>
        <v>1.6207800000000001</v>
      </c>
      <c r="AG232" s="46" cm="1">
        <f t="array" ref="AG232">IF(U232="",0,_xlfn.XLOOKUP(E232&amp;U232&amp;F232,tab_act&amp;tab_mod&amp;tab_act1,tab_pdoz)*V232*T232/MGMT)</f>
        <v>0</v>
      </c>
      <c r="AH232" s="46" cm="1">
        <f t="array" ref="AH232">IF(U232="",0,_xlfn.XLOOKUP(E232&amp;U232&amp;F232,tab_act&amp;tab_mod&amp;tab_act1,tab_lns)*V232*T232/MGMT)</f>
        <v>0</v>
      </c>
      <c r="AI232" s="47">
        <f t="shared" si="21"/>
        <v>2.9964000000000004</v>
      </c>
      <c r="AJ232" s="48" cm="1">
        <f t="array" ref="AJ232">IF(U232="",0,_xlfn.XLOOKUP(E232&amp;U232&amp;F232,tab_act&amp;tab_mod&amp;tab_act1,tab_cash)*T232)</f>
        <v>0</v>
      </c>
      <c r="AK232" s="134" cm="1">
        <f t="array" ref="AK232">IF(B232="",0,IF(C232="",0,AJ232/_xlfn.XLOOKUP(B232&amp;C232,RMth&amp;RYr,RAr)))</f>
        <v>0</v>
      </c>
      <c r="AN232" s="146" t="str">
        <f t="shared" si="22"/>
        <v>A</v>
      </c>
    </row>
    <row r="233" spans="2:40" x14ac:dyDescent="0.35">
      <c r="B233" s="132" t="s">
        <v>128</v>
      </c>
      <c r="C233" s="44">
        <v>2023</v>
      </c>
      <c r="D233" s="44" t="s">
        <v>100</v>
      </c>
      <c r="E233" s="15" t="s">
        <v>39</v>
      </c>
      <c r="F233" s="99" t="s">
        <v>245</v>
      </c>
      <c r="G233" s="15" t="s">
        <v>159</v>
      </c>
      <c r="H233" s="44"/>
      <c r="I233" s="15" t="s">
        <v>213</v>
      </c>
      <c r="J233" s="15" t="s">
        <v>91</v>
      </c>
      <c r="K233" s="15" t="s">
        <v>97</v>
      </c>
      <c r="L233" s="15" t="s">
        <v>212</v>
      </c>
      <c r="M233" s="15" t="s">
        <v>158</v>
      </c>
      <c r="N233" s="15" t="s">
        <v>68</v>
      </c>
      <c r="O233" s="15" t="s">
        <v>103</v>
      </c>
      <c r="P233" s="15" t="s">
        <v>238</v>
      </c>
      <c r="Q233" s="42"/>
      <c r="R233" s="42">
        <v>616</v>
      </c>
      <c r="S233" s="42">
        <v>616</v>
      </c>
      <c r="T233" s="43">
        <v>616</v>
      </c>
      <c r="U233" s="44" t="s">
        <v>41</v>
      </c>
      <c r="V233" s="153">
        <v>30</v>
      </c>
      <c r="W233" s="45" cm="1">
        <f t="array" ref="W233">IF(U233="",0,_xlfn.XLOOKUP(E233&amp;U233&amp;F233,tab_act&amp;tab_mod&amp;tab_act1,tab_riz)*V233*T233/MGMT)</f>
        <v>0</v>
      </c>
      <c r="X233" s="42" cm="1">
        <f t="array" ref="X233">IF(U233="",0,_xlfn.XLOOKUP(E233&amp;U233&amp;F233,tab_act&amp;tab_mod&amp;tab_act1,tab_mc)*V233*T233/MGMT)</f>
        <v>0</v>
      </c>
      <c r="Y233" s="42" cm="1">
        <f t="array" ref="Y233">IF(U233="",0,_xlfn.XLOOKUP(E233&amp;U233&amp;F233,tab_act&amp;tab_mod&amp;tab_act1,tab_sor)*V233*T233/MGMT)</f>
        <v>0</v>
      </c>
      <c r="Z233" s="42" cm="1">
        <f t="array" ref="Z233">IF(U233="",0,_xlfn.XLOOKUP(E233&amp;U233&amp;F233,tab_act&amp;tab_mod&amp;tab_act1,tab_mg)*V233*T233/MGMT)</f>
        <v>0</v>
      </c>
      <c r="AA233" s="46" cm="1">
        <f t="array" ref="AA233">IF(U233="",0,IF(U233="hybrid-Sch",_xlfn.XLOOKUP(E233&amp;U233&amp;F233,tab_act&amp;tab_mod&amp;tab_act1,tab_ls)*SchLS*T233/MGMT,_xlfn.XLOOKUP(E233&amp;U233&amp;F233,tab_act&amp;tab_mod&amp;tab_act1,tab_ls)*V233*T233/MGMT))</f>
        <v>0</v>
      </c>
      <c r="AB233" s="46" cm="1">
        <f t="array" ref="AB233">IF(U233="",0,_xlfn.XLOOKUP(E233&amp;U233&amp;F233,tab_act&amp;tab_mod&amp;tab_act1,tab_hu)*V233*T233/MGMT)</f>
        <v>0.36959999999999998</v>
      </c>
      <c r="AC233" s="46" cm="1">
        <f t="array" ref="AC233">IF(U233="",0,_xlfn.XLOOKUP(E233&amp;U233&amp;F233,tab_act&amp;tab_mod&amp;tab_act1,tab_mnp)*V233*T233/MGMT)</f>
        <v>0</v>
      </c>
      <c r="AD233" s="46" cm="1">
        <f t="array" ref="AD233">IF(U233="",0,_xlfn.XLOOKUP(E233&amp;U233&amp;F233,tab_act&amp;tab_mod&amp;tab_act1,tab_Psup)*V233*T233/MGMT)</f>
        <v>0</v>
      </c>
      <c r="AE233" s="110" cm="1">
        <f t="array" ref="AE233">IF(U233="",0,_xlfn.XLOOKUP(E233&amp;U233&amp;F233,tab_act&amp;tab_mod&amp;tab_act1,tab_csb1)*V233*T233/MGMT)</f>
        <v>1.49688</v>
      </c>
      <c r="AF233" s="110" cm="1">
        <f t="array" ref="AF233">IF(U233="",0,_xlfn.XLOOKUP(E233&amp;U233&amp;F233,tab_act&amp;tab_mod&amp;tab_act1,tab_csb2)*V233*T233/MGMT)</f>
        <v>2.1991200000000002</v>
      </c>
      <c r="AG233" s="46" cm="1">
        <f t="array" ref="AG233">IF(U233="",0,_xlfn.XLOOKUP(E233&amp;U233&amp;F233,tab_act&amp;tab_mod&amp;tab_act1,tab_pdoz)*V233*T233/MGMT)</f>
        <v>0</v>
      </c>
      <c r="AH233" s="46" cm="1">
        <f t="array" ref="AH233">IF(U233="",0,_xlfn.XLOOKUP(E233&amp;U233&amp;F233,tab_act&amp;tab_mod&amp;tab_act1,tab_lns)*V233*T233/MGMT)</f>
        <v>0</v>
      </c>
      <c r="AI233" s="47">
        <f t="shared" si="21"/>
        <v>4.0655999999999999</v>
      </c>
      <c r="AJ233" s="48" cm="1">
        <f t="array" ref="AJ233">IF(U233="",0,_xlfn.XLOOKUP(E233&amp;U233&amp;F233,tab_act&amp;tab_mod&amp;tab_act1,tab_cash)*T233)</f>
        <v>0</v>
      </c>
      <c r="AK233" s="134" cm="1">
        <f t="array" ref="AK233">IF(B233="",0,IF(C233="",0,AJ233/_xlfn.XLOOKUP(B233&amp;C233,RMth&amp;RYr,RAr)))</f>
        <v>0</v>
      </c>
      <c r="AN233" s="146" t="str">
        <f t="shared" si="22"/>
        <v>A</v>
      </c>
    </row>
    <row r="234" spans="2:40" x14ac:dyDescent="0.35">
      <c r="B234" s="132" t="s">
        <v>128</v>
      </c>
      <c r="C234" s="44">
        <v>2023</v>
      </c>
      <c r="D234" s="44" t="s">
        <v>100</v>
      </c>
      <c r="E234" s="15" t="s">
        <v>39</v>
      </c>
      <c r="F234" s="99" t="s">
        <v>245</v>
      </c>
      <c r="G234" s="15" t="s">
        <v>159</v>
      </c>
      <c r="H234" s="44"/>
      <c r="I234" s="15" t="s">
        <v>213</v>
      </c>
      <c r="J234" s="15" t="s">
        <v>91</v>
      </c>
      <c r="K234" s="15" t="s">
        <v>97</v>
      </c>
      <c r="L234" s="15" t="s">
        <v>212</v>
      </c>
      <c r="M234" s="15" t="s">
        <v>158</v>
      </c>
      <c r="N234" s="15" t="s">
        <v>68</v>
      </c>
      <c r="O234" s="15" t="s">
        <v>103</v>
      </c>
      <c r="P234" s="15" t="s">
        <v>239</v>
      </c>
      <c r="Q234" s="42"/>
      <c r="R234" s="42">
        <v>482</v>
      </c>
      <c r="S234" s="42">
        <v>482</v>
      </c>
      <c r="T234" s="43">
        <v>482</v>
      </c>
      <c r="U234" s="44" t="s">
        <v>41</v>
      </c>
      <c r="V234" s="153">
        <v>30</v>
      </c>
      <c r="W234" s="45" cm="1">
        <f t="array" ref="W234">IF(U234="",0,_xlfn.XLOOKUP(E234&amp;U234&amp;F234,tab_act&amp;tab_mod&amp;tab_act1,tab_riz)*V234*T234/MGMT)</f>
        <v>0</v>
      </c>
      <c r="X234" s="42" cm="1">
        <f t="array" ref="X234">IF(U234="",0,_xlfn.XLOOKUP(E234&amp;U234&amp;F234,tab_act&amp;tab_mod&amp;tab_act1,tab_mc)*V234*T234/MGMT)</f>
        <v>0</v>
      </c>
      <c r="Y234" s="42" cm="1">
        <f t="array" ref="Y234">IF(U234="",0,_xlfn.XLOOKUP(E234&amp;U234&amp;F234,tab_act&amp;tab_mod&amp;tab_act1,tab_sor)*V234*T234/MGMT)</f>
        <v>0</v>
      </c>
      <c r="Z234" s="42" cm="1">
        <f t="array" ref="Z234">IF(U234="",0,_xlfn.XLOOKUP(E234&amp;U234&amp;F234,tab_act&amp;tab_mod&amp;tab_act1,tab_mg)*V234*T234/MGMT)</f>
        <v>0</v>
      </c>
      <c r="AA234" s="46" cm="1">
        <f t="array" ref="AA234">IF(U234="",0,IF(U234="hybrid-Sch",_xlfn.XLOOKUP(E234&amp;U234&amp;F234,tab_act&amp;tab_mod&amp;tab_act1,tab_ls)*SchLS*T234/MGMT,_xlfn.XLOOKUP(E234&amp;U234&amp;F234,tab_act&amp;tab_mod&amp;tab_act1,tab_ls)*V234*T234/MGMT))</f>
        <v>0</v>
      </c>
      <c r="AB234" s="46" cm="1">
        <f t="array" ref="AB234">IF(U234="",0,_xlfn.XLOOKUP(E234&amp;U234&amp;F234,tab_act&amp;tab_mod&amp;tab_act1,tab_hu)*V234*T234/MGMT)</f>
        <v>0.28920000000000001</v>
      </c>
      <c r="AC234" s="46" cm="1">
        <f t="array" ref="AC234">IF(U234="",0,_xlfn.XLOOKUP(E234&amp;U234&amp;F234,tab_act&amp;tab_mod&amp;tab_act1,tab_mnp)*V234*T234/MGMT)</f>
        <v>0</v>
      </c>
      <c r="AD234" s="46" cm="1">
        <f t="array" ref="AD234">IF(U234="",0,_xlfn.XLOOKUP(E234&amp;U234&amp;F234,tab_act&amp;tab_mod&amp;tab_act1,tab_Psup)*V234*T234/MGMT)</f>
        <v>0</v>
      </c>
      <c r="AE234" s="110" cm="1">
        <f t="array" ref="AE234">IF(U234="",0,_xlfn.XLOOKUP(E234&amp;U234&amp;F234,tab_act&amp;tab_mod&amp;tab_act1,tab_csb1)*V234*T234/MGMT)</f>
        <v>1.17126</v>
      </c>
      <c r="AF234" s="110" cm="1">
        <f t="array" ref="AF234">IF(U234="",0,_xlfn.XLOOKUP(E234&amp;U234&amp;F234,tab_act&amp;tab_mod&amp;tab_act1,tab_csb2)*V234*T234/MGMT)</f>
        <v>1.7207399999999999</v>
      </c>
      <c r="AG234" s="46" cm="1">
        <f t="array" ref="AG234">IF(U234="",0,_xlfn.XLOOKUP(E234&amp;U234&amp;F234,tab_act&amp;tab_mod&amp;tab_act1,tab_pdoz)*V234*T234/MGMT)</f>
        <v>0</v>
      </c>
      <c r="AH234" s="46" cm="1">
        <f t="array" ref="AH234">IF(U234="",0,_xlfn.XLOOKUP(E234&amp;U234&amp;F234,tab_act&amp;tab_mod&amp;tab_act1,tab_lns)*V234*T234/MGMT)</f>
        <v>0</v>
      </c>
      <c r="AI234" s="47">
        <f t="shared" si="21"/>
        <v>3.1811999999999996</v>
      </c>
      <c r="AJ234" s="48" cm="1">
        <f t="array" ref="AJ234">IF(U234="",0,_xlfn.XLOOKUP(E234&amp;U234&amp;F234,tab_act&amp;tab_mod&amp;tab_act1,tab_cash)*T234)</f>
        <v>0</v>
      </c>
      <c r="AK234" s="134" cm="1">
        <f t="array" ref="AK234">IF(B234="",0,IF(C234="",0,AJ234/_xlfn.XLOOKUP(B234&amp;C234,RMth&amp;RYr,RAr)))</f>
        <v>0</v>
      </c>
      <c r="AN234" s="146" t="str">
        <f t="shared" si="22"/>
        <v>A</v>
      </c>
    </row>
    <row r="235" spans="2:40" x14ac:dyDescent="0.35">
      <c r="B235" s="132" t="s">
        <v>128</v>
      </c>
      <c r="C235" s="44">
        <v>2023</v>
      </c>
      <c r="D235" s="44" t="s">
        <v>100</v>
      </c>
      <c r="E235" s="15" t="s">
        <v>39</v>
      </c>
      <c r="F235" s="99" t="s">
        <v>245</v>
      </c>
      <c r="G235" s="15" t="s">
        <v>159</v>
      </c>
      <c r="H235" s="44"/>
      <c r="I235" s="15" t="s">
        <v>213</v>
      </c>
      <c r="J235" s="15" t="s">
        <v>91</v>
      </c>
      <c r="K235" s="15" t="s">
        <v>97</v>
      </c>
      <c r="L235" s="15" t="s">
        <v>212</v>
      </c>
      <c r="M235" s="15" t="s">
        <v>158</v>
      </c>
      <c r="N235" s="15" t="s">
        <v>68</v>
      </c>
      <c r="O235" s="15" t="s">
        <v>103</v>
      </c>
      <c r="P235" s="15" t="s">
        <v>240</v>
      </c>
      <c r="Q235" s="42"/>
      <c r="R235" s="42">
        <v>450</v>
      </c>
      <c r="S235" s="42">
        <v>450</v>
      </c>
      <c r="T235" s="43">
        <v>450</v>
      </c>
      <c r="U235" s="44" t="s">
        <v>41</v>
      </c>
      <c r="V235" s="153">
        <v>30</v>
      </c>
      <c r="W235" s="45" cm="1">
        <f t="array" ref="W235">IF(U235="",0,_xlfn.XLOOKUP(E235&amp;U235&amp;F235,tab_act&amp;tab_mod&amp;tab_act1,tab_riz)*V235*T235/MGMT)</f>
        <v>0</v>
      </c>
      <c r="X235" s="42" cm="1">
        <f t="array" ref="X235">IF(U235="",0,_xlfn.XLOOKUP(E235&amp;U235&amp;F235,tab_act&amp;tab_mod&amp;tab_act1,tab_mc)*V235*T235/MGMT)</f>
        <v>0</v>
      </c>
      <c r="Y235" s="42" cm="1">
        <f t="array" ref="Y235">IF(U235="",0,_xlfn.XLOOKUP(E235&amp;U235&amp;F235,tab_act&amp;tab_mod&amp;tab_act1,tab_sor)*V235*T235/MGMT)</f>
        <v>0</v>
      </c>
      <c r="Z235" s="42" cm="1">
        <f t="array" ref="Z235">IF(U235="",0,_xlfn.XLOOKUP(E235&amp;U235&amp;F235,tab_act&amp;tab_mod&amp;tab_act1,tab_mg)*V235*T235/MGMT)</f>
        <v>0</v>
      </c>
      <c r="AA235" s="46" cm="1">
        <f t="array" ref="AA235">IF(U235="",0,IF(U235="hybrid-Sch",_xlfn.XLOOKUP(E235&amp;U235&amp;F235,tab_act&amp;tab_mod&amp;tab_act1,tab_ls)*SchLS*T235/MGMT,_xlfn.XLOOKUP(E235&amp;U235&amp;F235,tab_act&amp;tab_mod&amp;tab_act1,tab_ls)*V235*T235/MGMT))</f>
        <v>0</v>
      </c>
      <c r="AB235" s="46" cm="1">
        <f t="array" ref="AB235">IF(U235="",0,_xlfn.XLOOKUP(E235&amp;U235&amp;F235,tab_act&amp;tab_mod&amp;tab_act1,tab_hu)*V235*T235/MGMT)</f>
        <v>0.27</v>
      </c>
      <c r="AC235" s="46" cm="1">
        <f t="array" ref="AC235">IF(U235="",0,_xlfn.XLOOKUP(E235&amp;U235&amp;F235,tab_act&amp;tab_mod&amp;tab_act1,tab_mnp)*V235*T235/MGMT)</f>
        <v>0</v>
      </c>
      <c r="AD235" s="46" cm="1">
        <f t="array" ref="AD235">IF(U235="",0,_xlfn.XLOOKUP(E235&amp;U235&amp;F235,tab_act&amp;tab_mod&amp;tab_act1,tab_Psup)*V235*T235/MGMT)</f>
        <v>0</v>
      </c>
      <c r="AE235" s="110" cm="1">
        <f t="array" ref="AE235">IF(U235="",0,_xlfn.XLOOKUP(E235&amp;U235&amp;F235,tab_act&amp;tab_mod&amp;tab_act1,tab_csb1)*V235*T235/MGMT)</f>
        <v>1.0934999999999999</v>
      </c>
      <c r="AF235" s="110" cm="1">
        <f t="array" ref="AF235">IF(U235="",0,_xlfn.XLOOKUP(E235&amp;U235&amp;F235,tab_act&amp;tab_mod&amp;tab_act1,tab_csb2)*V235*T235/MGMT)</f>
        <v>1.6065</v>
      </c>
      <c r="AG235" s="46" cm="1">
        <f t="array" ref="AG235">IF(U235="",0,_xlfn.XLOOKUP(E235&amp;U235&amp;F235,tab_act&amp;tab_mod&amp;tab_act1,tab_pdoz)*V235*T235/MGMT)</f>
        <v>0</v>
      </c>
      <c r="AH235" s="46" cm="1">
        <f t="array" ref="AH235">IF(U235="",0,_xlfn.XLOOKUP(E235&amp;U235&amp;F235,tab_act&amp;tab_mod&amp;tab_act1,tab_lns)*V235*T235/MGMT)</f>
        <v>0</v>
      </c>
      <c r="AI235" s="47">
        <f t="shared" si="21"/>
        <v>2.9699999999999998</v>
      </c>
      <c r="AJ235" s="48" cm="1">
        <f t="array" ref="AJ235">IF(U235="",0,_xlfn.XLOOKUP(E235&amp;U235&amp;F235,tab_act&amp;tab_mod&amp;tab_act1,tab_cash)*T235)</f>
        <v>0</v>
      </c>
      <c r="AK235" s="134" cm="1">
        <f t="array" ref="AK235">IF(B235="",0,IF(C235="",0,AJ235/_xlfn.XLOOKUP(B235&amp;C235,RMth&amp;RYr,RAr)))</f>
        <v>0</v>
      </c>
      <c r="AN235" s="146" t="str">
        <f t="shared" si="22"/>
        <v>A</v>
      </c>
    </row>
    <row r="236" spans="2:40" x14ac:dyDescent="0.35">
      <c r="B236" s="132" t="s">
        <v>128</v>
      </c>
      <c r="C236" s="44">
        <v>2023</v>
      </c>
      <c r="D236" s="44" t="s">
        <v>100</v>
      </c>
      <c r="E236" s="15" t="s">
        <v>39</v>
      </c>
      <c r="F236" s="99" t="s">
        <v>245</v>
      </c>
      <c r="G236" s="15" t="s">
        <v>159</v>
      </c>
      <c r="H236" s="44"/>
      <c r="I236" s="15" t="s">
        <v>213</v>
      </c>
      <c r="J236" s="15" t="s">
        <v>91</v>
      </c>
      <c r="K236" s="15" t="s">
        <v>97</v>
      </c>
      <c r="L236" s="15" t="s">
        <v>212</v>
      </c>
      <c r="M236" s="15" t="s">
        <v>158</v>
      </c>
      <c r="N236" s="15" t="s">
        <v>68</v>
      </c>
      <c r="O236" s="15" t="s">
        <v>103</v>
      </c>
      <c r="P236" s="15" t="s">
        <v>241</v>
      </c>
      <c r="Q236" s="42"/>
      <c r="R236" s="42">
        <v>338</v>
      </c>
      <c r="S236" s="42">
        <v>338</v>
      </c>
      <c r="T236" s="43">
        <v>338</v>
      </c>
      <c r="U236" s="44" t="s">
        <v>41</v>
      </c>
      <c r="V236" s="153">
        <v>30</v>
      </c>
      <c r="W236" s="45" cm="1">
        <f t="array" ref="W236">IF(U236="",0,_xlfn.XLOOKUP(E236&amp;U236&amp;F236,tab_act&amp;tab_mod&amp;tab_act1,tab_riz)*V236*T236/MGMT)</f>
        <v>0</v>
      </c>
      <c r="X236" s="42" cm="1">
        <f t="array" ref="X236">IF(U236="",0,_xlfn.XLOOKUP(E236&amp;U236&amp;F236,tab_act&amp;tab_mod&amp;tab_act1,tab_mc)*V236*T236/MGMT)</f>
        <v>0</v>
      </c>
      <c r="Y236" s="42" cm="1">
        <f t="array" ref="Y236">IF(U236="",0,_xlfn.XLOOKUP(E236&amp;U236&amp;F236,tab_act&amp;tab_mod&amp;tab_act1,tab_sor)*V236*T236/MGMT)</f>
        <v>0</v>
      </c>
      <c r="Z236" s="42" cm="1">
        <f t="array" ref="Z236">IF(U236="",0,_xlfn.XLOOKUP(E236&amp;U236&amp;F236,tab_act&amp;tab_mod&amp;tab_act1,tab_mg)*V236*T236/MGMT)</f>
        <v>0</v>
      </c>
      <c r="AA236" s="46" cm="1">
        <f t="array" ref="AA236">IF(U236="",0,IF(U236="hybrid-Sch",_xlfn.XLOOKUP(E236&amp;U236&amp;F236,tab_act&amp;tab_mod&amp;tab_act1,tab_ls)*SchLS*T236/MGMT,_xlfn.XLOOKUP(E236&amp;U236&amp;F236,tab_act&amp;tab_mod&amp;tab_act1,tab_ls)*V236*T236/MGMT))</f>
        <v>0</v>
      </c>
      <c r="AB236" s="46" cm="1">
        <f t="array" ref="AB236">IF(U236="",0,_xlfn.XLOOKUP(E236&amp;U236&amp;F236,tab_act&amp;tab_mod&amp;tab_act1,tab_hu)*V236*T236/MGMT)</f>
        <v>0.20280000000000001</v>
      </c>
      <c r="AC236" s="46" cm="1">
        <f t="array" ref="AC236">IF(U236="",0,_xlfn.XLOOKUP(E236&amp;U236&amp;F236,tab_act&amp;tab_mod&amp;tab_act1,tab_mnp)*V236*T236/MGMT)</f>
        <v>0</v>
      </c>
      <c r="AD236" s="46" cm="1">
        <f t="array" ref="AD236">IF(U236="",0,_xlfn.XLOOKUP(E236&amp;U236&amp;F236,tab_act&amp;tab_mod&amp;tab_act1,tab_Psup)*V236*T236/MGMT)</f>
        <v>0</v>
      </c>
      <c r="AE236" s="110" cm="1">
        <f t="array" ref="AE236">IF(U236="",0,_xlfn.XLOOKUP(E236&amp;U236&amp;F236,tab_act&amp;tab_mod&amp;tab_act1,tab_csb1)*V236*T236/MGMT)</f>
        <v>0.82133999999999996</v>
      </c>
      <c r="AF236" s="110" cm="1">
        <f t="array" ref="AF236">IF(U236="",0,_xlfn.XLOOKUP(E236&amp;U236&amp;F236,tab_act&amp;tab_mod&amp;tab_act1,tab_csb2)*V236*T236/MGMT)</f>
        <v>1.2066600000000001</v>
      </c>
      <c r="AG236" s="46" cm="1">
        <f t="array" ref="AG236">IF(U236="",0,_xlfn.XLOOKUP(E236&amp;U236&amp;F236,tab_act&amp;tab_mod&amp;tab_act1,tab_pdoz)*V236*T236/MGMT)</f>
        <v>0</v>
      </c>
      <c r="AH236" s="46" cm="1">
        <f t="array" ref="AH236">IF(U236="",0,_xlfn.XLOOKUP(E236&amp;U236&amp;F236,tab_act&amp;tab_mod&amp;tab_act1,tab_lns)*V236*T236/MGMT)</f>
        <v>0</v>
      </c>
      <c r="AI236" s="47">
        <f t="shared" si="21"/>
        <v>2.2308000000000003</v>
      </c>
      <c r="AJ236" s="48" cm="1">
        <f t="array" ref="AJ236">IF(U236="",0,_xlfn.XLOOKUP(E236&amp;U236&amp;F236,tab_act&amp;tab_mod&amp;tab_act1,tab_cash)*T236)</f>
        <v>0</v>
      </c>
      <c r="AK236" s="134" cm="1">
        <f t="array" ref="AK236">IF(B236="",0,IF(C236="",0,AJ236/_xlfn.XLOOKUP(B236&amp;C236,RMth&amp;RYr,RAr)))</f>
        <v>0</v>
      </c>
      <c r="AN236" s="146" t="str">
        <f t="shared" si="22"/>
        <v>A</v>
      </c>
    </row>
    <row r="237" spans="2:40" x14ac:dyDescent="0.35">
      <c r="B237" s="132" t="s">
        <v>128</v>
      </c>
      <c r="C237" s="44">
        <v>2023</v>
      </c>
      <c r="D237" s="44" t="s">
        <v>100</v>
      </c>
      <c r="E237" s="15" t="s">
        <v>39</v>
      </c>
      <c r="F237" s="99" t="s">
        <v>245</v>
      </c>
      <c r="G237" s="15" t="s">
        <v>159</v>
      </c>
      <c r="H237" s="44"/>
      <c r="I237" s="15" t="s">
        <v>213</v>
      </c>
      <c r="J237" s="15" t="s">
        <v>91</v>
      </c>
      <c r="K237" s="15" t="s">
        <v>97</v>
      </c>
      <c r="L237" s="15" t="s">
        <v>212</v>
      </c>
      <c r="M237" s="15" t="s">
        <v>158</v>
      </c>
      <c r="N237" s="15" t="s">
        <v>68</v>
      </c>
      <c r="O237" s="15" t="s">
        <v>103</v>
      </c>
      <c r="P237" s="15" t="s">
        <v>242</v>
      </c>
      <c r="Q237" s="42"/>
      <c r="R237" s="42">
        <v>412</v>
      </c>
      <c r="S237" s="42">
        <v>412</v>
      </c>
      <c r="T237" s="43">
        <v>412</v>
      </c>
      <c r="U237" s="44" t="s">
        <v>41</v>
      </c>
      <c r="V237" s="153">
        <v>30</v>
      </c>
      <c r="W237" s="45" cm="1">
        <f t="array" ref="W237">IF(U237="",0,_xlfn.XLOOKUP(E237&amp;U237&amp;F237,tab_act&amp;tab_mod&amp;tab_act1,tab_riz)*V237*T237/MGMT)</f>
        <v>0</v>
      </c>
      <c r="X237" s="42" cm="1">
        <f t="array" ref="X237">IF(U237="",0,_xlfn.XLOOKUP(E237&amp;U237&amp;F237,tab_act&amp;tab_mod&amp;tab_act1,tab_mc)*V237*T237/MGMT)</f>
        <v>0</v>
      </c>
      <c r="Y237" s="42" cm="1">
        <f t="array" ref="Y237">IF(U237="",0,_xlfn.XLOOKUP(E237&amp;U237&amp;F237,tab_act&amp;tab_mod&amp;tab_act1,tab_sor)*V237*T237/MGMT)</f>
        <v>0</v>
      </c>
      <c r="Z237" s="42" cm="1">
        <f t="array" ref="Z237">IF(U237="",0,_xlfn.XLOOKUP(E237&amp;U237&amp;F237,tab_act&amp;tab_mod&amp;tab_act1,tab_mg)*V237*T237/MGMT)</f>
        <v>0</v>
      </c>
      <c r="AA237" s="46" cm="1">
        <f t="array" ref="AA237">IF(U237="",0,IF(U237="hybrid-Sch",_xlfn.XLOOKUP(E237&amp;U237&amp;F237,tab_act&amp;tab_mod&amp;tab_act1,tab_ls)*SchLS*T237/MGMT,_xlfn.XLOOKUP(E237&amp;U237&amp;F237,tab_act&amp;tab_mod&amp;tab_act1,tab_ls)*V237*T237/MGMT))</f>
        <v>0</v>
      </c>
      <c r="AB237" s="46" cm="1">
        <f t="array" ref="AB237">IF(U237="",0,_xlfn.XLOOKUP(E237&amp;U237&amp;F237,tab_act&amp;tab_mod&amp;tab_act1,tab_hu)*V237*T237/MGMT)</f>
        <v>0.2472</v>
      </c>
      <c r="AC237" s="46" cm="1">
        <f t="array" ref="AC237">IF(U237="",0,_xlfn.XLOOKUP(E237&amp;U237&amp;F237,tab_act&amp;tab_mod&amp;tab_act1,tab_mnp)*V237*T237/MGMT)</f>
        <v>0</v>
      </c>
      <c r="AD237" s="46" cm="1">
        <f t="array" ref="AD237">IF(U237="",0,_xlfn.XLOOKUP(E237&amp;U237&amp;F237,tab_act&amp;tab_mod&amp;tab_act1,tab_Psup)*V237*T237/MGMT)</f>
        <v>0</v>
      </c>
      <c r="AE237" s="110" cm="1">
        <f t="array" ref="AE237">IF(U237="",0,_xlfn.XLOOKUP(E237&amp;U237&amp;F237,tab_act&amp;tab_mod&amp;tab_act1,tab_csb1)*V237*T237/MGMT)</f>
        <v>1.00116</v>
      </c>
      <c r="AF237" s="110" cm="1">
        <f t="array" ref="AF237">IF(U237="",0,_xlfn.XLOOKUP(E237&amp;U237&amp;F237,tab_act&amp;tab_mod&amp;tab_act1,tab_csb2)*V237*T237/MGMT)</f>
        <v>1.4708399999999999</v>
      </c>
      <c r="AG237" s="46" cm="1">
        <f t="array" ref="AG237">IF(U237="",0,_xlfn.XLOOKUP(E237&amp;U237&amp;F237,tab_act&amp;tab_mod&amp;tab_act1,tab_pdoz)*V237*T237/MGMT)</f>
        <v>0</v>
      </c>
      <c r="AH237" s="46" cm="1">
        <f t="array" ref="AH237">IF(U237="",0,_xlfn.XLOOKUP(E237&amp;U237&amp;F237,tab_act&amp;tab_mod&amp;tab_act1,tab_lns)*V237*T237/MGMT)</f>
        <v>0</v>
      </c>
      <c r="AI237" s="47">
        <f t="shared" si="21"/>
        <v>2.7191999999999998</v>
      </c>
      <c r="AJ237" s="48" cm="1">
        <f t="array" ref="AJ237">IF(U237="",0,_xlfn.XLOOKUP(E237&amp;U237&amp;F237,tab_act&amp;tab_mod&amp;tab_act1,tab_cash)*T237)</f>
        <v>0</v>
      </c>
      <c r="AK237" s="134" cm="1">
        <f t="array" ref="AK237">IF(B237="",0,IF(C237="",0,AJ237/_xlfn.XLOOKUP(B237&amp;C237,RMth&amp;RYr,RAr)))</f>
        <v>0</v>
      </c>
      <c r="AN237" s="146" t="str">
        <f t="shared" si="22"/>
        <v>A</v>
      </c>
    </row>
    <row r="238" spans="2:40" x14ac:dyDescent="0.35">
      <c r="B238" s="132" t="s">
        <v>128</v>
      </c>
      <c r="C238" s="44">
        <v>2023</v>
      </c>
      <c r="D238" s="44" t="s">
        <v>100</v>
      </c>
      <c r="E238" s="15" t="s">
        <v>39</v>
      </c>
      <c r="F238" s="99" t="s">
        <v>245</v>
      </c>
      <c r="G238" s="15" t="s">
        <v>159</v>
      </c>
      <c r="H238" s="44"/>
      <c r="I238" s="15" t="s">
        <v>213</v>
      </c>
      <c r="J238" s="15" t="s">
        <v>91</v>
      </c>
      <c r="K238" s="15" t="s">
        <v>97</v>
      </c>
      <c r="L238" s="15" t="s">
        <v>212</v>
      </c>
      <c r="M238" s="15" t="s">
        <v>158</v>
      </c>
      <c r="N238" s="15" t="s">
        <v>68</v>
      </c>
      <c r="O238" s="15" t="s">
        <v>103</v>
      </c>
      <c r="P238" s="15" t="s">
        <v>243</v>
      </c>
      <c r="Q238" s="42"/>
      <c r="R238" s="42">
        <v>448</v>
      </c>
      <c r="S238" s="42">
        <v>448</v>
      </c>
      <c r="T238" s="43">
        <v>448</v>
      </c>
      <c r="U238" s="44" t="s">
        <v>41</v>
      </c>
      <c r="V238" s="153">
        <v>30</v>
      </c>
      <c r="W238" s="45" cm="1">
        <f t="array" ref="W238">IF(U238="",0,_xlfn.XLOOKUP(E238&amp;U238&amp;F238,tab_act&amp;tab_mod&amp;tab_act1,tab_riz)*V238*T238/MGMT)</f>
        <v>0</v>
      </c>
      <c r="X238" s="42" cm="1">
        <f t="array" ref="X238">IF(U238="",0,_xlfn.XLOOKUP(E238&amp;U238&amp;F238,tab_act&amp;tab_mod&amp;tab_act1,tab_mc)*V238*T238/MGMT)</f>
        <v>0</v>
      </c>
      <c r="Y238" s="42" cm="1">
        <f t="array" ref="Y238">IF(U238="",0,_xlfn.XLOOKUP(E238&amp;U238&amp;F238,tab_act&amp;tab_mod&amp;tab_act1,tab_sor)*V238*T238/MGMT)</f>
        <v>0</v>
      </c>
      <c r="Z238" s="42" cm="1">
        <f t="array" ref="Z238">IF(U238="",0,_xlfn.XLOOKUP(E238&amp;U238&amp;F238,tab_act&amp;tab_mod&amp;tab_act1,tab_mg)*V238*T238/MGMT)</f>
        <v>0</v>
      </c>
      <c r="AA238" s="46" cm="1">
        <f t="array" ref="AA238">IF(U238="",0,IF(U238="hybrid-Sch",_xlfn.XLOOKUP(E238&amp;U238&amp;F238,tab_act&amp;tab_mod&amp;tab_act1,tab_ls)*SchLS*T238/MGMT,_xlfn.XLOOKUP(E238&amp;U238&amp;F238,tab_act&amp;tab_mod&amp;tab_act1,tab_ls)*V238*T238/MGMT))</f>
        <v>0</v>
      </c>
      <c r="AB238" s="46" cm="1">
        <f t="array" ref="AB238">IF(U238="",0,_xlfn.XLOOKUP(E238&amp;U238&amp;F238,tab_act&amp;tab_mod&amp;tab_act1,tab_hu)*V238*T238/MGMT)</f>
        <v>0.26879999999999998</v>
      </c>
      <c r="AC238" s="46" cm="1">
        <f t="array" ref="AC238">IF(U238="",0,_xlfn.XLOOKUP(E238&amp;U238&amp;F238,tab_act&amp;tab_mod&amp;tab_act1,tab_mnp)*V238*T238/MGMT)</f>
        <v>0</v>
      </c>
      <c r="AD238" s="46" cm="1">
        <f t="array" ref="AD238">IF(U238="",0,_xlfn.XLOOKUP(E238&amp;U238&amp;F238,tab_act&amp;tab_mod&amp;tab_act1,tab_Psup)*V238*T238/MGMT)</f>
        <v>0</v>
      </c>
      <c r="AE238" s="110" cm="1">
        <f t="array" ref="AE238">IF(U238="",0,_xlfn.XLOOKUP(E238&amp;U238&amp;F238,tab_act&amp;tab_mod&amp;tab_act1,tab_csb1)*V238*T238/MGMT)</f>
        <v>1.0886400000000001</v>
      </c>
      <c r="AF238" s="110" cm="1">
        <f t="array" ref="AF238">IF(U238="",0,_xlfn.XLOOKUP(E238&amp;U238&amp;F238,tab_act&amp;tab_mod&amp;tab_act1,tab_csb2)*V238*T238/MGMT)</f>
        <v>1.5993599999999999</v>
      </c>
      <c r="AG238" s="46" cm="1">
        <f t="array" ref="AG238">IF(U238="",0,_xlfn.XLOOKUP(E238&amp;U238&amp;F238,tab_act&amp;tab_mod&amp;tab_act1,tab_pdoz)*V238*T238/MGMT)</f>
        <v>0</v>
      </c>
      <c r="AH238" s="46" cm="1">
        <f t="array" ref="AH238">IF(U238="",0,_xlfn.XLOOKUP(E238&amp;U238&amp;F238,tab_act&amp;tab_mod&amp;tab_act1,tab_lns)*V238*T238/MGMT)</f>
        <v>0</v>
      </c>
      <c r="AI238" s="47">
        <f t="shared" si="21"/>
        <v>2.9567999999999999</v>
      </c>
      <c r="AJ238" s="48" cm="1">
        <f t="array" ref="AJ238">IF(U238="",0,_xlfn.XLOOKUP(E238&amp;U238&amp;F238,tab_act&amp;tab_mod&amp;tab_act1,tab_cash)*T238)</f>
        <v>0</v>
      </c>
      <c r="AK238" s="134" cm="1">
        <f t="array" ref="AK238">IF(B238="",0,IF(C238="",0,AJ238/_xlfn.XLOOKUP(B238&amp;C238,RMth&amp;RYr,RAr)))</f>
        <v>0</v>
      </c>
      <c r="AN238" s="146" t="str">
        <f t="shared" si="22"/>
        <v>A</v>
      </c>
    </row>
    <row r="239" spans="2:40" x14ac:dyDescent="0.35">
      <c r="B239" s="132" t="s">
        <v>128</v>
      </c>
      <c r="C239" s="44">
        <v>2023</v>
      </c>
      <c r="D239" s="44" t="s">
        <v>100</v>
      </c>
      <c r="E239" s="15" t="s">
        <v>39</v>
      </c>
      <c r="F239" s="99" t="s">
        <v>244</v>
      </c>
      <c r="G239" s="15" t="s">
        <v>159</v>
      </c>
      <c r="H239" s="44"/>
      <c r="I239" s="15" t="s">
        <v>94</v>
      </c>
      <c r="J239" s="15" t="s">
        <v>94</v>
      </c>
      <c r="K239" s="15" t="s">
        <v>160</v>
      </c>
      <c r="L239" s="15" t="s">
        <v>95</v>
      </c>
      <c r="M239" s="15" t="s">
        <v>94</v>
      </c>
      <c r="N239" s="15" t="s">
        <v>67</v>
      </c>
      <c r="O239" s="15" t="s">
        <v>161</v>
      </c>
      <c r="P239" s="15" t="s">
        <v>162</v>
      </c>
      <c r="Q239" s="42"/>
      <c r="R239" s="42">
        <v>431.2</v>
      </c>
      <c r="S239" s="42">
        <v>431.2</v>
      </c>
      <c r="T239" s="43">
        <v>431.2</v>
      </c>
      <c r="U239" s="44" t="s">
        <v>41</v>
      </c>
      <c r="V239" s="153">
        <v>30</v>
      </c>
      <c r="W239" s="45" cm="1">
        <f t="array" ref="W239">IF(U239="",0,_xlfn.XLOOKUP(E239&amp;U239&amp;F239,tab_act&amp;tab_mod&amp;tab_act1,tab_riz)*V239*T239/MGMT)</f>
        <v>0</v>
      </c>
      <c r="X239" s="42" cm="1">
        <f t="array" ref="X239">IF(U239="",0,_xlfn.XLOOKUP(E239&amp;U239&amp;F239,tab_act&amp;tab_mod&amp;tab_act1,tab_mc)*V239*T239/MGMT)</f>
        <v>0</v>
      </c>
      <c r="Y239" s="42" cm="1">
        <f t="array" ref="Y239">IF(U239="",0,_xlfn.XLOOKUP(E239&amp;U239&amp;F239,tab_act&amp;tab_mod&amp;tab_act1,tab_sor)*V239*T239/MGMT)</f>
        <v>0</v>
      </c>
      <c r="Z239" s="42" cm="1">
        <f t="array" ref="Z239">IF(U239="",0,_xlfn.XLOOKUP(E239&amp;U239&amp;F239,tab_act&amp;tab_mod&amp;tab_act1,tab_mg)*V239*T239/MGMT)</f>
        <v>0</v>
      </c>
      <c r="AA239" s="46" cm="1">
        <f t="array" ref="AA239">IF(U239="",0,IF(U239="hybrid-Sch",_xlfn.XLOOKUP(E239&amp;U239&amp;F239,tab_act&amp;tab_mod&amp;tab_act1,tab_ls)*SchLS*T239/MGMT,_xlfn.XLOOKUP(E239&amp;U239&amp;F239,tab_act&amp;tab_mod&amp;tab_act1,tab_ls)*V239*T239/MGMT))</f>
        <v>0</v>
      </c>
      <c r="AB239" s="46" cm="1">
        <f t="array" ref="AB239">IF(U239="",0,_xlfn.XLOOKUP(E239&amp;U239&amp;F239,tab_act&amp;tab_mod&amp;tab_act1,tab_hu)*V239*T239/MGMT)</f>
        <v>0.25872000000000001</v>
      </c>
      <c r="AC239" s="46" cm="1">
        <f t="array" ref="AC239">IF(U239="",0,_xlfn.XLOOKUP(E239&amp;U239&amp;F239,tab_act&amp;tab_mod&amp;tab_act1,tab_mnp)*V239*T239/MGMT)</f>
        <v>0</v>
      </c>
      <c r="AD239" s="46" cm="1">
        <f t="array" ref="AD239">IF(U239="",0,_xlfn.XLOOKUP(E239&amp;U239&amp;F239,tab_act&amp;tab_mod&amp;tab_act1,tab_Psup)*V239*T239/MGMT)</f>
        <v>0</v>
      </c>
      <c r="AE239" s="110" cm="1">
        <f t="array" ref="AE239">IF(U239="",0,_xlfn.XLOOKUP(E239&amp;U239&amp;F239,tab_act&amp;tab_mod&amp;tab_act1,tab_csb1)*V239*T239/MGMT)</f>
        <v>2.39316</v>
      </c>
      <c r="AF239" s="110" cm="1">
        <f t="array" ref="AF239">IF(U239="",0,_xlfn.XLOOKUP(E239&amp;U239&amp;F239,tab_act&amp;tab_mod&amp;tab_act1,tab_csb2)*V239*T239/MGMT)</f>
        <v>0.19403999999999999</v>
      </c>
      <c r="AG239" s="46" cm="1">
        <f t="array" ref="AG239">IF(U239="",0,_xlfn.XLOOKUP(E239&amp;U239&amp;F239,tab_act&amp;tab_mod&amp;tab_act1,tab_pdoz)*V239*T239/MGMT)</f>
        <v>0</v>
      </c>
      <c r="AH239" s="46" cm="1">
        <f t="array" ref="AH239">IF(U239="",0,_xlfn.XLOOKUP(E239&amp;U239&amp;F239,tab_act&amp;tab_mod&amp;tab_act1,tab_lns)*V239*T239/MGMT)</f>
        <v>0</v>
      </c>
      <c r="AI239" s="47">
        <f t="shared" si="21"/>
        <v>2.8459199999999996</v>
      </c>
      <c r="AJ239" s="48" cm="1">
        <f t="array" ref="AJ239">IF(U239="",0,_xlfn.XLOOKUP(E239&amp;U239&amp;F239,tab_act&amp;tab_mod&amp;tab_act1,tab_cash)*T239)</f>
        <v>0</v>
      </c>
      <c r="AK239" s="134" cm="1">
        <f t="array" ref="AK239">IF(B239="",0,IF(C239="",0,AJ239/_xlfn.XLOOKUP(B239&amp;C239,RMth&amp;RYr,RAr)))</f>
        <v>0</v>
      </c>
      <c r="AN239" s="146" t="str">
        <f t="shared" si="22"/>
        <v>A</v>
      </c>
    </row>
    <row r="240" spans="2:40" x14ac:dyDescent="0.35">
      <c r="B240" s="132" t="s">
        <v>128</v>
      </c>
      <c r="C240" s="44">
        <v>2023</v>
      </c>
      <c r="D240" s="44" t="s">
        <v>100</v>
      </c>
      <c r="E240" s="15" t="s">
        <v>39</v>
      </c>
      <c r="F240" s="99" t="s">
        <v>244</v>
      </c>
      <c r="G240" s="15" t="s">
        <v>159</v>
      </c>
      <c r="H240" s="44"/>
      <c r="I240" s="15" t="s">
        <v>94</v>
      </c>
      <c r="J240" s="15" t="s">
        <v>94</v>
      </c>
      <c r="K240" s="15" t="s">
        <v>160</v>
      </c>
      <c r="L240" s="15" t="s">
        <v>95</v>
      </c>
      <c r="M240" s="15" t="s">
        <v>94</v>
      </c>
      <c r="N240" s="15" t="s">
        <v>67</v>
      </c>
      <c r="O240" s="15" t="s">
        <v>161</v>
      </c>
      <c r="P240" s="15" t="s">
        <v>163</v>
      </c>
      <c r="Q240" s="42"/>
      <c r="R240" s="42">
        <v>55</v>
      </c>
      <c r="S240" s="42">
        <v>55</v>
      </c>
      <c r="T240" s="43">
        <v>55</v>
      </c>
      <c r="U240" s="44" t="s">
        <v>41</v>
      </c>
      <c r="V240" s="153">
        <v>30</v>
      </c>
      <c r="W240" s="45" cm="1">
        <f t="array" ref="W240">IF(U240="",0,_xlfn.XLOOKUP(E240&amp;U240&amp;F240,tab_act&amp;tab_mod&amp;tab_act1,tab_riz)*V240*T240/MGMT)</f>
        <v>0</v>
      </c>
      <c r="X240" s="42" cm="1">
        <f t="array" ref="X240">IF(U240="",0,_xlfn.XLOOKUP(E240&amp;U240&amp;F240,tab_act&amp;tab_mod&amp;tab_act1,tab_mc)*V240*T240/MGMT)</f>
        <v>0</v>
      </c>
      <c r="Y240" s="42" cm="1">
        <f t="array" ref="Y240">IF(U240="",0,_xlfn.XLOOKUP(E240&amp;U240&amp;F240,tab_act&amp;tab_mod&amp;tab_act1,tab_sor)*V240*T240/MGMT)</f>
        <v>0</v>
      </c>
      <c r="Z240" s="42" cm="1">
        <f t="array" ref="Z240">IF(U240="",0,_xlfn.XLOOKUP(E240&amp;U240&amp;F240,tab_act&amp;tab_mod&amp;tab_act1,tab_mg)*V240*T240/MGMT)</f>
        <v>0</v>
      </c>
      <c r="AA240" s="46" cm="1">
        <f t="array" ref="AA240">IF(U240="",0,IF(U240="hybrid-Sch",_xlfn.XLOOKUP(E240&amp;U240&amp;F240,tab_act&amp;tab_mod&amp;tab_act1,tab_ls)*SchLS*T240/MGMT,_xlfn.XLOOKUP(E240&amp;U240&amp;F240,tab_act&amp;tab_mod&amp;tab_act1,tab_ls)*V240*T240/MGMT))</f>
        <v>0</v>
      </c>
      <c r="AB240" s="46" cm="1">
        <f t="array" ref="AB240">IF(U240="",0,_xlfn.XLOOKUP(E240&amp;U240&amp;F240,tab_act&amp;tab_mod&amp;tab_act1,tab_hu)*V240*T240/MGMT)</f>
        <v>3.3000000000000002E-2</v>
      </c>
      <c r="AC240" s="46" cm="1">
        <f t="array" ref="AC240">IF(U240="",0,_xlfn.XLOOKUP(E240&amp;U240&amp;F240,tab_act&amp;tab_mod&amp;tab_act1,tab_mnp)*V240*T240/MGMT)</f>
        <v>0</v>
      </c>
      <c r="AD240" s="46" cm="1">
        <f t="array" ref="AD240">IF(U240="",0,_xlfn.XLOOKUP(E240&amp;U240&amp;F240,tab_act&amp;tab_mod&amp;tab_act1,tab_Psup)*V240*T240/MGMT)</f>
        <v>0</v>
      </c>
      <c r="AE240" s="110" cm="1">
        <f t="array" ref="AE240">IF(U240="",0,_xlfn.XLOOKUP(E240&amp;U240&amp;F240,tab_act&amp;tab_mod&amp;tab_act1,tab_csb1)*V240*T240/MGMT)</f>
        <v>0.30525000000000002</v>
      </c>
      <c r="AF240" s="110" cm="1">
        <f t="array" ref="AF240">IF(U240="",0,_xlfn.XLOOKUP(E240&amp;U240&amp;F240,tab_act&amp;tab_mod&amp;tab_act1,tab_csb2)*V240*T240/MGMT)</f>
        <v>2.4750000000000001E-2</v>
      </c>
      <c r="AG240" s="46" cm="1">
        <f t="array" ref="AG240">IF(U240="",0,_xlfn.XLOOKUP(E240&amp;U240&amp;F240,tab_act&amp;tab_mod&amp;tab_act1,tab_pdoz)*V240*T240/MGMT)</f>
        <v>0</v>
      </c>
      <c r="AH240" s="46" cm="1">
        <f t="array" ref="AH240">IF(U240="",0,_xlfn.XLOOKUP(E240&amp;U240&amp;F240,tab_act&amp;tab_mod&amp;tab_act1,tab_lns)*V240*T240/MGMT)</f>
        <v>0</v>
      </c>
      <c r="AI240" s="47">
        <f t="shared" si="21"/>
        <v>0.36300000000000004</v>
      </c>
      <c r="AJ240" s="48" cm="1">
        <f t="array" ref="AJ240">IF(U240="",0,_xlfn.XLOOKUP(E240&amp;U240&amp;F240,tab_act&amp;tab_mod&amp;tab_act1,tab_cash)*T240)</f>
        <v>0</v>
      </c>
      <c r="AK240" s="134" cm="1">
        <f t="array" ref="AK240">IF(B240="",0,IF(C240="",0,AJ240/_xlfn.XLOOKUP(B240&amp;C240,RMth&amp;RYr,RAr)))</f>
        <v>0</v>
      </c>
      <c r="AN240" s="146" t="str">
        <f t="shared" si="22"/>
        <v>A</v>
      </c>
    </row>
    <row r="241" spans="2:40" x14ac:dyDescent="0.35">
      <c r="B241" s="132" t="s">
        <v>128</v>
      </c>
      <c r="C241" s="44">
        <v>2023</v>
      </c>
      <c r="D241" s="44" t="s">
        <v>100</v>
      </c>
      <c r="E241" s="15" t="s">
        <v>39</v>
      </c>
      <c r="F241" s="99" t="s">
        <v>244</v>
      </c>
      <c r="G241" s="15" t="s">
        <v>159</v>
      </c>
      <c r="H241" s="44"/>
      <c r="I241" s="15" t="s">
        <v>94</v>
      </c>
      <c r="J241" s="15" t="s">
        <v>94</v>
      </c>
      <c r="K241" s="15" t="s">
        <v>160</v>
      </c>
      <c r="L241" s="15" t="s">
        <v>95</v>
      </c>
      <c r="M241" s="15" t="s">
        <v>94</v>
      </c>
      <c r="N241" s="15" t="s">
        <v>67</v>
      </c>
      <c r="O241" s="15" t="s">
        <v>161</v>
      </c>
      <c r="P241" s="15" t="s">
        <v>164</v>
      </c>
      <c r="Q241" s="42"/>
      <c r="R241" s="42">
        <v>134.19999999999999</v>
      </c>
      <c r="S241" s="42">
        <v>134.19999999999999</v>
      </c>
      <c r="T241" s="43">
        <v>134.19999999999999</v>
      </c>
      <c r="U241" s="44" t="s">
        <v>41</v>
      </c>
      <c r="V241" s="153">
        <v>30</v>
      </c>
      <c r="W241" s="45" cm="1">
        <f t="array" ref="W241">IF(U241="",0,_xlfn.XLOOKUP(E241&amp;U241&amp;F241,tab_act&amp;tab_mod&amp;tab_act1,tab_riz)*V241*T241/MGMT)</f>
        <v>0</v>
      </c>
      <c r="X241" s="42" cm="1">
        <f t="array" ref="X241">IF(U241="",0,_xlfn.XLOOKUP(E241&amp;U241&amp;F241,tab_act&amp;tab_mod&amp;tab_act1,tab_mc)*V241*T241/MGMT)</f>
        <v>0</v>
      </c>
      <c r="Y241" s="42" cm="1">
        <f t="array" ref="Y241">IF(U241="",0,_xlfn.XLOOKUP(E241&amp;U241&amp;F241,tab_act&amp;tab_mod&amp;tab_act1,tab_sor)*V241*T241/MGMT)</f>
        <v>0</v>
      </c>
      <c r="Z241" s="42" cm="1">
        <f t="array" ref="Z241">IF(U241="",0,_xlfn.XLOOKUP(E241&amp;U241&amp;F241,tab_act&amp;tab_mod&amp;tab_act1,tab_mg)*V241*T241/MGMT)</f>
        <v>0</v>
      </c>
      <c r="AA241" s="46" cm="1">
        <f t="array" ref="AA241">IF(U241="",0,IF(U241="hybrid-Sch",_xlfn.XLOOKUP(E241&amp;U241&amp;F241,tab_act&amp;tab_mod&amp;tab_act1,tab_ls)*SchLS*T241/MGMT,_xlfn.XLOOKUP(E241&amp;U241&amp;F241,tab_act&amp;tab_mod&amp;tab_act1,tab_ls)*V241*T241/MGMT))</f>
        <v>0</v>
      </c>
      <c r="AB241" s="46" cm="1">
        <f t="array" ref="AB241">IF(U241="",0,_xlfn.XLOOKUP(E241&amp;U241&amp;F241,tab_act&amp;tab_mod&amp;tab_act1,tab_hu)*V241*T241/MGMT)</f>
        <v>8.0519999999999994E-2</v>
      </c>
      <c r="AC241" s="46" cm="1">
        <f t="array" ref="AC241">IF(U241="",0,_xlfn.XLOOKUP(E241&amp;U241&amp;F241,tab_act&amp;tab_mod&amp;tab_act1,tab_mnp)*V241*T241/MGMT)</f>
        <v>0</v>
      </c>
      <c r="AD241" s="46" cm="1">
        <f t="array" ref="AD241">IF(U241="",0,_xlfn.XLOOKUP(E241&amp;U241&amp;F241,tab_act&amp;tab_mod&amp;tab_act1,tab_Psup)*V241*T241/MGMT)</f>
        <v>0</v>
      </c>
      <c r="AE241" s="110" cm="1">
        <f t="array" ref="AE241">IF(U241="",0,_xlfn.XLOOKUP(E241&amp;U241&amp;F241,tab_act&amp;tab_mod&amp;tab_act1,tab_csb1)*V241*T241/MGMT)</f>
        <v>0.74480999999999986</v>
      </c>
      <c r="AF241" s="110" cm="1">
        <f t="array" ref="AF241">IF(U241="",0,_xlfn.XLOOKUP(E241&amp;U241&amp;F241,tab_act&amp;tab_mod&amp;tab_act1,tab_csb2)*V241*T241/MGMT)</f>
        <v>6.0389999999999992E-2</v>
      </c>
      <c r="AG241" s="46" cm="1">
        <f t="array" ref="AG241">IF(U241="",0,_xlfn.XLOOKUP(E241&amp;U241&amp;F241,tab_act&amp;tab_mod&amp;tab_act1,tab_pdoz)*V241*T241/MGMT)</f>
        <v>0</v>
      </c>
      <c r="AH241" s="46" cm="1">
        <f t="array" ref="AH241">IF(U241="",0,_xlfn.XLOOKUP(E241&amp;U241&amp;F241,tab_act&amp;tab_mod&amp;tab_act1,tab_lns)*V241*T241/MGMT)</f>
        <v>0</v>
      </c>
      <c r="AI241" s="47">
        <f t="shared" si="21"/>
        <v>0.88571999999999984</v>
      </c>
      <c r="AJ241" s="48" cm="1">
        <f t="array" ref="AJ241">IF(U241="",0,_xlfn.XLOOKUP(E241&amp;U241&amp;F241,tab_act&amp;tab_mod&amp;tab_act1,tab_cash)*T241)</f>
        <v>0</v>
      </c>
      <c r="AK241" s="134" cm="1">
        <f t="array" ref="AK241">IF(B241="",0,IF(C241="",0,AJ241/_xlfn.XLOOKUP(B241&amp;C241,RMth&amp;RYr,RAr)))</f>
        <v>0</v>
      </c>
      <c r="AN241" s="146" t="str">
        <f t="shared" si="22"/>
        <v>A</v>
      </c>
    </row>
    <row r="242" spans="2:40" x14ac:dyDescent="0.35">
      <c r="B242" s="132" t="s">
        <v>128</v>
      </c>
      <c r="C242" s="44">
        <v>2023</v>
      </c>
      <c r="D242" s="44" t="s">
        <v>100</v>
      </c>
      <c r="E242" s="15" t="s">
        <v>39</v>
      </c>
      <c r="F242" s="99" t="s">
        <v>244</v>
      </c>
      <c r="G242" s="15" t="s">
        <v>159</v>
      </c>
      <c r="H242" s="44"/>
      <c r="I242" s="15" t="s">
        <v>94</v>
      </c>
      <c r="J242" s="15" t="s">
        <v>94</v>
      </c>
      <c r="K242" s="15" t="s">
        <v>160</v>
      </c>
      <c r="L242" s="15" t="s">
        <v>95</v>
      </c>
      <c r="M242" s="15" t="s">
        <v>94</v>
      </c>
      <c r="N242" s="15" t="s">
        <v>67</v>
      </c>
      <c r="O242" s="15" t="s">
        <v>161</v>
      </c>
      <c r="P242" s="15" t="s">
        <v>165</v>
      </c>
      <c r="Q242" s="42"/>
      <c r="R242" s="42">
        <v>85.8</v>
      </c>
      <c r="S242" s="42">
        <v>85.8</v>
      </c>
      <c r="T242" s="43">
        <v>85.8</v>
      </c>
      <c r="U242" s="44" t="s">
        <v>41</v>
      </c>
      <c r="V242" s="153">
        <v>30</v>
      </c>
      <c r="W242" s="45" cm="1">
        <f t="array" ref="W242">IF(U242="",0,_xlfn.XLOOKUP(E242&amp;U242&amp;F242,tab_act&amp;tab_mod&amp;tab_act1,tab_riz)*V242*T242/MGMT)</f>
        <v>0</v>
      </c>
      <c r="X242" s="42" cm="1">
        <f t="array" ref="X242">IF(U242="",0,_xlfn.XLOOKUP(E242&amp;U242&amp;F242,tab_act&amp;tab_mod&amp;tab_act1,tab_mc)*V242*T242/MGMT)</f>
        <v>0</v>
      </c>
      <c r="Y242" s="42" cm="1">
        <f t="array" ref="Y242">IF(U242="",0,_xlfn.XLOOKUP(E242&amp;U242&amp;F242,tab_act&amp;tab_mod&amp;tab_act1,tab_sor)*V242*T242/MGMT)</f>
        <v>0</v>
      </c>
      <c r="Z242" s="42" cm="1">
        <f t="array" ref="Z242">IF(U242="",0,_xlfn.XLOOKUP(E242&amp;U242&amp;F242,tab_act&amp;tab_mod&amp;tab_act1,tab_mg)*V242*T242/MGMT)</f>
        <v>0</v>
      </c>
      <c r="AA242" s="46" cm="1">
        <f t="array" ref="AA242">IF(U242="",0,IF(U242="hybrid-Sch",_xlfn.XLOOKUP(E242&amp;U242&amp;F242,tab_act&amp;tab_mod&amp;tab_act1,tab_ls)*SchLS*T242/MGMT,_xlfn.XLOOKUP(E242&amp;U242&amp;F242,tab_act&amp;tab_mod&amp;tab_act1,tab_ls)*V242*T242/MGMT))</f>
        <v>0</v>
      </c>
      <c r="AB242" s="46" cm="1">
        <f t="array" ref="AB242">IF(U242="",0,_xlfn.XLOOKUP(E242&amp;U242&amp;F242,tab_act&amp;tab_mod&amp;tab_act1,tab_hu)*V242*T242/MGMT)</f>
        <v>5.1479999999999998E-2</v>
      </c>
      <c r="AC242" s="46" cm="1">
        <f t="array" ref="AC242">IF(U242="",0,_xlfn.XLOOKUP(E242&amp;U242&amp;F242,tab_act&amp;tab_mod&amp;tab_act1,tab_mnp)*V242*T242/MGMT)</f>
        <v>0</v>
      </c>
      <c r="AD242" s="46" cm="1">
        <f t="array" ref="AD242">IF(U242="",0,_xlfn.XLOOKUP(E242&amp;U242&amp;F242,tab_act&amp;tab_mod&amp;tab_act1,tab_Psup)*V242*T242/MGMT)</f>
        <v>0</v>
      </c>
      <c r="AE242" s="110" cm="1">
        <f t="array" ref="AE242">IF(U242="",0,_xlfn.XLOOKUP(E242&amp;U242&amp;F242,tab_act&amp;tab_mod&amp;tab_act1,tab_csb1)*V242*T242/MGMT)</f>
        <v>0.47619</v>
      </c>
      <c r="AF242" s="110" cm="1">
        <f t="array" ref="AF242">IF(U242="",0,_xlfn.XLOOKUP(E242&amp;U242&amp;F242,tab_act&amp;tab_mod&amp;tab_act1,tab_csb2)*V242*T242/MGMT)</f>
        <v>3.8609999999999998E-2</v>
      </c>
      <c r="AG242" s="46" cm="1">
        <f t="array" ref="AG242">IF(U242="",0,_xlfn.XLOOKUP(E242&amp;U242&amp;F242,tab_act&amp;tab_mod&amp;tab_act1,tab_pdoz)*V242*T242/MGMT)</f>
        <v>0</v>
      </c>
      <c r="AH242" s="46" cm="1">
        <f t="array" ref="AH242">IF(U242="",0,_xlfn.XLOOKUP(E242&amp;U242&amp;F242,tab_act&amp;tab_mod&amp;tab_act1,tab_lns)*V242*T242/MGMT)</f>
        <v>0</v>
      </c>
      <c r="AI242" s="47">
        <f t="shared" si="21"/>
        <v>0.56628000000000001</v>
      </c>
      <c r="AJ242" s="48" cm="1">
        <f t="array" ref="AJ242">IF(U242="",0,_xlfn.XLOOKUP(E242&amp;U242&amp;F242,tab_act&amp;tab_mod&amp;tab_act1,tab_cash)*T242)</f>
        <v>0</v>
      </c>
      <c r="AK242" s="134" cm="1">
        <f t="array" ref="AK242">IF(B242="",0,IF(C242="",0,AJ242/_xlfn.XLOOKUP(B242&amp;C242,RMth&amp;RYr,RAr)))</f>
        <v>0</v>
      </c>
      <c r="AN242" s="146" t="str">
        <f t="shared" si="22"/>
        <v>A</v>
      </c>
    </row>
    <row r="243" spans="2:40" x14ac:dyDescent="0.35">
      <c r="B243" s="132" t="s">
        <v>128</v>
      </c>
      <c r="C243" s="44">
        <v>2023</v>
      </c>
      <c r="D243" s="44" t="s">
        <v>100</v>
      </c>
      <c r="E243" s="15" t="s">
        <v>39</v>
      </c>
      <c r="F243" s="99" t="s">
        <v>244</v>
      </c>
      <c r="G243" s="15" t="s">
        <v>159</v>
      </c>
      <c r="H243" s="44"/>
      <c r="I243" s="15" t="s">
        <v>94</v>
      </c>
      <c r="J243" s="15" t="s">
        <v>94</v>
      </c>
      <c r="K243" s="15" t="s">
        <v>160</v>
      </c>
      <c r="L243" s="15" t="s">
        <v>95</v>
      </c>
      <c r="M243" s="15" t="s">
        <v>94</v>
      </c>
      <c r="N243" s="15" t="s">
        <v>67</v>
      </c>
      <c r="O243" s="15" t="s">
        <v>161</v>
      </c>
      <c r="P243" s="15" t="s">
        <v>161</v>
      </c>
      <c r="Q243" s="42"/>
      <c r="R243" s="42">
        <v>552.20000000000005</v>
      </c>
      <c r="S243" s="42">
        <v>552.20000000000005</v>
      </c>
      <c r="T243" s="43">
        <v>552.20000000000005</v>
      </c>
      <c r="U243" s="44" t="s">
        <v>41</v>
      </c>
      <c r="V243" s="153">
        <v>30</v>
      </c>
      <c r="W243" s="45" cm="1">
        <f t="array" ref="W243">IF(U243="",0,_xlfn.XLOOKUP(E243&amp;U243&amp;F243,tab_act&amp;tab_mod&amp;tab_act1,tab_riz)*V243*T243/MGMT)</f>
        <v>0</v>
      </c>
      <c r="X243" s="42" cm="1">
        <f t="array" ref="X243">IF(U243="",0,_xlfn.XLOOKUP(E243&amp;U243&amp;F243,tab_act&amp;tab_mod&amp;tab_act1,tab_mc)*V243*T243/MGMT)</f>
        <v>0</v>
      </c>
      <c r="Y243" s="42" cm="1">
        <f t="array" ref="Y243">IF(U243="",0,_xlfn.XLOOKUP(E243&amp;U243&amp;F243,tab_act&amp;tab_mod&amp;tab_act1,tab_sor)*V243*T243/MGMT)</f>
        <v>0</v>
      </c>
      <c r="Z243" s="42" cm="1">
        <f t="array" ref="Z243">IF(U243="",0,_xlfn.XLOOKUP(E243&amp;U243&amp;F243,tab_act&amp;tab_mod&amp;tab_act1,tab_mg)*V243*T243/MGMT)</f>
        <v>0</v>
      </c>
      <c r="AA243" s="46" cm="1">
        <f t="array" ref="AA243">IF(U243="",0,IF(U243="hybrid-Sch",_xlfn.XLOOKUP(E243&amp;U243&amp;F243,tab_act&amp;tab_mod&amp;tab_act1,tab_ls)*SchLS*T243/MGMT,_xlfn.XLOOKUP(E243&amp;U243&amp;F243,tab_act&amp;tab_mod&amp;tab_act1,tab_ls)*V243*T243/MGMT))</f>
        <v>0</v>
      </c>
      <c r="AB243" s="46" cm="1">
        <f t="array" ref="AB243">IF(U243="",0,_xlfn.XLOOKUP(E243&amp;U243&amp;F243,tab_act&amp;tab_mod&amp;tab_act1,tab_hu)*V243*T243/MGMT)</f>
        <v>0.33132</v>
      </c>
      <c r="AC243" s="46" cm="1">
        <f t="array" ref="AC243">IF(U243="",0,_xlfn.XLOOKUP(E243&amp;U243&amp;F243,tab_act&amp;tab_mod&amp;tab_act1,tab_mnp)*V243*T243/MGMT)</f>
        <v>0</v>
      </c>
      <c r="AD243" s="46" cm="1">
        <f t="array" ref="AD243">IF(U243="",0,_xlfn.XLOOKUP(E243&amp;U243&amp;F243,tab_act&amp;tab_mod&amp;tab_act1,tab_Psup)*V243*T243/MGMT)</f>
        <v>0</v>
      </c>
      <c r="AE243" s="110" cm="1">
        <f t="array" ref="AE243">IF(U243="",0,_xlfn.XLOOKUP(E243&amp;U243&amp;F243,tab_act&amp;tab_mod&amp;tab_act1,tab_csb1)*V243*T243/MGMT)</f>
        <v>3.0647100000000003</v>
      </c>
      <c r="AF243" s="110" cm="1">
        <f t="array" ref="AF243">IF(U243="",0,_xlfn.XLOOKUP(E243&amp;U243&amp;F243,tab_act&amp;tab_mod&amp;tab_act1,tab_csb2)*V243*T243/MGMT)</f>
        <v>0.24849000000000002</v>
      </c>
      <c r="AG243" s="46" cm="1">
        <f t="array" ref="AG243">IF(U243="",0,_xlfn.XLOOKUP(E243&amp;U243&amp;F243,tab_act&amp;tab_mod&amp;tab_act1,tab_pdoz)*V243*T243/MGMT)</f>
        <v>0</v>
      </c>
      <c r="AH243" s="46" cm="1">
        <f t="array" ref="AH243">IF(U243="",0,_xlfn.XLOOKUP(E243&amp;U243&amp;F243,tab_act&amp;tab_mod&amp;tab_act1,tab_lns)*V243*T243/MGMT)</f>
        <v>0</v>
      </c>
      <c r="AI243" s="47">
        <f t="shared" si="21"/>
        <v>3.64452</v>
      </c>
      <c r="AJ243" s="48" cm="1">
        <f t="array" ref="AJ243">IF(U243="",0,_xlfn.XLOOKUP(E243&amp;U243&amp;F243,tab_act&amp;tab_mod&amp;tab_act1,tab_cash)*T243)</f>
        <v>0</v>
      </c>
      <c r="AK243" s="134" cm="1">
        <f t="array" ref="AK243">IF(B243="",0,IF(C243="",0,AJ243/_xlfn.XLOOKUP(B243&amp;C243,RMth&amp;RYr,RAr)))</f>
        <v>0</v>
      </c>
      <c r="AN243" s="146" t="str">
        <f t="shared" si="22"/>
        <v>A</v>
      </c>
    </row>
    <row r="244" spans="2:40" x14ac:dyDescent="0.35">
      <c r="B244" s="132" t="s">
        <v>128</v>
      </c>
      <c r="C244" s="44">
        <v>2023</v>
      </c>
      <c r="D244" s="44" t="s">
        <v>100</v>
      </c>
      <c r="E244" s="15" t="s">
        <v>39</v>
      </c>
      <c r="F244" s="99" t="s">
        <v>244</v>
      </c>
      <c r="G244" s="15" t="s">
        <v>159</v>
      </c>
      <c r="H244" s="44"/>
      <c r="I244" s="15" t="s">
        <v>94</v>
      </c>
      <c r="J244" s="15" t="s">
        <v>94</v>
      </c>
      <c r="K244" s="15" t="s">
        <v>160</v>
      </c>
      <c r="L244" s="15" t="s">
        <v>95</v>
      </c>
      <c r="M244" s="15" t="s">
        <v>94</v>
      </c>
      <c r="N244" s="15" t="s">
        <v>67</v>
      </c>
      <c r="O244" s="15" t="s">
        <v>161</v>
      </c>
      <c r="P244" s="15" t="s">
        <v>166</v>
      </c>
      <c r="Q244" s="42"/>
      <c r="R244" s="42">
        <v>135.30000000000001</v>
      </c>
      <c r="S244" s="42">
        <v>135.30000000000001</v>
      </c>
      <c r="T244" s="43">
        <v>135.30000000000001</v>
      </c>
      <c r="U244" s="44" t="s">
        <v>41</v>
      </c>
      <c r="V244" s="153">
        <v>30</v>
      </c>
      <c r="W244" s="45" cm="1">
        <f t="array" ref="W244">IF(U244="",0,_xlfn.XLOOKUP(E244&amp;U244&amp;F244,tab_act&amp;tab_mod&amp;tab_act1,tab_riz)*V244*T244/MGMT)</f>
        <v>0</v>
      </c>
      <c r="X244" s="42" cm="1">
        <f t="array" ref="X244">IF(U244="",0,_xlfn.XLOOKUP(E244&amp;U244&amp;F244,tab_act&amp;tab_mod&amp;tab_act1,tab_mc)*V244*T244/MGMT)</f>
        <v>0</v>
      </c>
      <c r="Y244" s="42" cm="1">
        <f t="array" ref="Y244">IF(U244="",0,_xlfn.XLOOKUP(E244&amp;U244&amp;F244,tab_act&amp;tab_mod&amp;tab_act1,tab_sor)*V244*T244/MGMT)</f>
        <v>0</v>
      </c>
      <c r="Z244" s="42" cm="1">
        <f t="array" ref="Z244">IF(U244="",0,_xlfn.XLOOKUP(E244&amp;U244&amp;F244,tab_act&amp;tab_mod&amp;tab_act1,tab_mg)*V244*T244/MGMT)</f>
        <v>0</v>
      </c>
      <c r="AA244" s="46" cm="1">
        <f t="array" ref="AA244">IF(U244="",0,IF(U244="hybrid-Sch",_xlfn.XLOOKUP(E244&amp;U244&amp;F244,tab_act&amp;tab_mod&amp;tab_act1,tab_ls)*SchLS*T244/MGMT,_xlfn.XLOOKUP(E244&amp;U244&amp;F244,tab_act&amp;tab_mod&amp;tab_act1,tab_ls)*V244*T244/MGMT))</f>
        <v>0</v>
      </c>
      <c r="AB244" s="46" cm="1">
        <f t="array" ref="AB244">IF(U244="",0,_xlfn.XLOOKUP(E244&amp;U244&amp;F244,tab_act&amp;tab_mod&amp;tab_act1,tab_hu)*V244*T244/MGMT)</f>
        <v>8.1180000000000002E-2</v>
      </c>
      <c r="AC244" s="46" cm="1">
        <f t="array" ref="AC244">IF(U244="",0,_xlfn.XLOOKUP(E244&amp;U244&amp;F244,tab_act&amp;tab_mod&amp;tab_act1,tab_mnp)*V244*T244/MGMT)</f>
        <v>0</v>
      </c>
      <c r="AD244" s="46" cm="1">
        <f t="array" ref="AD244">IF(U244="",0,_xlfn.XLOOKUP(E244&amp;U244&amp;F244,tab_act&amp;tab_mod&amp;tab_act1,tab_Psup)*V244*T244/MGMT)</f>
        <v>0</v>
      </c>
      <c r="AE244" s="110" cm="1">
        <f t="array" ref="AE244">IF(U244="",0,_xlfn.XLOOKUP(E244&amp;U244&amp;F244,tab_act&amp;tab_mod&amp;tab_act1,tab_csb1)*V244*T244/MGMT)</f>
        <v>0.75091500000000011</v>
      </c>
      <c r="AF244" s="110" cm="1">
        <f t="array" ref="AF244">IF(U244="",0,_xlfn.XLOOKUP(E244&amp;U244&amp;F244,tab_act&amp;tab_mod&amp;tab_act1,tab_csb2)*V244*T244/MGMT)</f>
        <v>6.0885000000000009E-2</v>
      </c>
      <c r="AG244" s="46" cm="1">
        <f t="array" ref="AG244">IF(U244="",0,_xlfn.XLOOKUP(E244&amp;U244&amp;F244,tab_act&amp;tab_mod&amp;tab_act1,tab_pdoz)*V244*T244/MGMT)</f>
        <v>0</v>
      </c>
      <c r="AH244" s="46" cm="1">
        <f t="array" ref="AH244">IF(U244="",0,_xlfn.XLOOKUP(E244&amp;U244&amp;F244,tab_act&amp;tab_mod&amp;tab_act1,tab_lns)*V244*T244/MGMT)</f>
        <v>0</v>
      </c>
      <c r="AI244" s="47">
        <f t="shared" si="21"/>
        <v>0.89298000000000011</v>
      </c>
      <c r="AJ244" s="48" cm="1">
        <f t="array" ref="AJ244">IF(U244="",0,_xlfn.XLOOKUP(E244&amp;U244&amp;F244,tab_act&amp;tab_mod&amp;tab_act1,tab_cash)*T244)</f>
        <v>0</v>
      </c>
      <c r="AK244" s="134" cm="1">
        <f t="array" ref="AK244">IF(B244="",0,IF(C244="",0,AJ244/_xlfn.XLOOKUP(B244&amp;C244,RMth&amp;RYr,RAr)))</f>
        <v>0</v>
      </c>
      <c r="AN244" s="146" t="str">
        <f t="shared" si="22"/>
        <v>A</v>
      </c>
    </row>
    <row r="245" spans="2:40" x14ac:dyDescent="0.35">
      <c r="B245" s="132" t="s">
        <v>128</v>
      </c>
      <c r="C245" s="44">
        <v>2023</v>
      </c>
      <c r="D245" s="44" t="s">
        <v>100</v>
      </c>
      <c r="E245" s="15" t="s">
        <v>39</v>
      </c>
      <c r="F245" s="99" t="s">
        <v>244</v>
      </c>
      <c r="G245" s="15" t="s">
        <v>159</v>
      </c>
      <c r="H245" s="44"/>
      <c r="I245" s="15" t="s">
        <v>94</v>
      </c>
      <c r="J245" s="15" t="s">
        <v>94</v>
      </c>
      <c r="K245" s="15" t="s">
        <v>160</v>
      </c>
      <c r="L245" s="15" t="s">
        <v>95</v>
      </c>
      <c r="M245" s="15" t="s">
        <v>94</v>
      </c>
      <c r="N245" s="15" t="s">
        <v>67</v>
      </c>
      <c r="O245" s="15" t="s">
        <v>161</v>
      </c>
      <c r="P245" s="15" t="s">
        <v>167</v>
      </c>
      <c r="Q245" s="42"/>
      <c r="R245" s="42">
        <v>103.4</v>
      </c>
      <c r="S245" s="42">
        <v>103.4</v>
      </c>
      <c r="T245" s="43">
        <v>103.4</v>
      </c>
      <c r="U245" s="44" t="s">
        <v>41</v>
      </c>
      <c r="V245" s="153">
        <v>30</v>
      </c>
      <c r="W245" s="45" cm="1">
        <f t="array" ref="W245">IF(U245="",0,_xlfn.XLOOKUP(E245&amp;U245&amp;F245,tab_act&amp;tab_mod&amp;tab_act1,tab_riz)*V245*T245/MGMT)</f>
        <v>0</v>
      </c>
      <c r="X245" s="42" cm="1">
        <f t="array" ref="X245">IF(U245="",0,_xlfn.XLOOKUP(E245&amp;U245&amp;F245,tab_act&amp;tab_mod&amp;tab_act1,tab_mc)*V245*T245/MGMT)</f>
        <v>0</v>
      </c>
      <c r="Y245" s="42" cm="1">
        <f t="array" ref="Y245">IF(U245="",0,_xlfn.XLOOKUP(E245&amp;U245&amp;F245,tab_act&amp;tab_mod&amp;tab_act1,tab_sor)*V245*T245/MGMT)</f>
        <v>0</v>
      </c>
      <c r="Z245" s="42" cm="1">
        <f t="array" ref="Z245">IF(U245="",0,_xlfn.XLOOKUP(E245&amp;U245&amp;F245,tab_act&amp;tab_mod&amp;tab_act1,tab_mg)*V245*T245/MGMT)</f>
        <v>0</v>
      </c>
      <c r="AA245" s="46" cm="1">
        <f t="array" ref="AA245">IF(U245="",0,IF(U245="hybrid-Sch",_xlfn.XLOOKUP(E245&amp;U245&amp;F245,tab_act&amp;tab_mod&amp;tab_act1,tab_ls)*SchLS*T245/MGMT,_xlfn.XLOOKUP(E245&amp;U245&amp;F245,tab_act&amp;tab_mod&amp;tab_act1,tab_ls)*V245*T245/MGMT))</f>
        <v>0</v>
      </c>
      <c r="AB245" s="46" cm="1">
        <f t="array" ref="AB245">IF(U245="",0,_xlfn.XLOOKUP(E245&amp;U245&amp;F245,tab_act&amp;tab_mod&amp;tab_act1,tab_hu)*V245*T245/MGMT)</f>
        <v>6.2039999999999998E-2</v>
      </c>
      <c r="AC245" s="46" cm="1">
        <f t="array" ref="AC245">IF(U245="",0,_xlfn.XLOOKUP(E245&amp;U245&amp;F245,tab_act&amp;tab_mod&amp;tab_act1,tab_mnp)*V245*T245/MGMT)</f>
        <v>0</v>
      </c>
      <c r="AD245" s="46" cm="1">
        <f t="array" ref="AD245">IF(U245="",0,_xlfn.XLOOKUP(E245&amp;U245&amp;F245,tab_act&amp;tab_mod&amp;tab_act1,tab_Psup)*V245*T245/MGMT)</f>
        <v>0</v>
      </c>
      <c r="AE245" s="110" cm="1">
        <f t="array" ref="AE245">IF(U245="",0,_xlfn.XLOOKUP(E245&amp;U245&amp;F245,tab_act&amp;tab_mod&amp;tab_act1,tab_csb1)*V245*T245/MGMT)</f>
        <v>0.57386999999999999</v>
      </c>
      <c r="AF245" s="110" cm="1">
        <f t="array" ref="AF245">IF(U245="",0,_xlfn.XLOOKUP(E245&amp;U245&amp;F245,tab_act&amp;tab_mod&amp;tab_act1,tab_csb2)*V245*T245/MGMT)</f>
        <v>4.6530000000000002E-2</v>
      </c>
      <c r="AG245" s="46" cm="1">
        <f t="array" ref="AG245">IF(U245="",0,_xlfn.XLOOKUP(E245&amp;U245&amp;F245,tab_act&amp;tab_mod&amp;tab_act1,tab_pdoz)*V245*T245/MGMT)</f>
        <v>0</v>
      </c>
      <c r="AH245" s="46" cm="1">
        <f t="array" ref="AH245">IF(U245="",0,_xlfn.XLOOKUP(E245&amp;U245&amp;F245,tab_act&amp;tab_mod&amp;tab_act1,tab_lns)*V245*T245/MGMT)</f>
        <v>0</v>
      </c>
      <c r="AI245" s="47">
        <f t="shared" si="21"/>
        <v>0.68243999999999994</v>
      </c>
      <c r="AJ245" s="48" cm="1">
        <f t="array" ref="AJ245">IF(U245="",0,_xlfn.XLOOKUP(E245&amp;U245&amp;F245,tab_act&amp;tab_mod&amp;tab_act1,tab_cash)*T245)</f>
        <v>0</v>
      </c>
      <c r="AK245" s="134" cm="1">
        <f t="array" ref="AK245">IF(B245="",0,IF(C245="",0,AJ245/_xlfn.XLOOKUP(B245&amp;C245,RMth&amp;RYr,RAr)))</f>
        <v>0</v>
      </c>
      <c r="AN245" s="146" t="str">
        <f t="shared" si="22"/>
        <v>A</v>
      </c>
    </row>
    <row r="246" spans="2:40" x14ac:dyDescent="0.35">
      <c r="B246" s="132" t="s">
        <v>128</v>
      </c>
      <c r="C246" s="44">
        <v>2023</v>
      </c>
      <c r="D246" s="44" t="s">
        <v>100</v>
      </c>
      <c r="E246" s="15" t="s">
        <v>39</v>
      </c>
      <c r="F246" s="99" t="s">
        <v>244</v>
      </c>
      <c r="G246" s="15" t="s">
        <v>159</v>
      </c>
      <c r="H246" s="44"/>
      <c r="I246" s="15" t="s">
        <v>94</v>
      </c>
      <c r="J246" s="15" t="s">
        <v>94</v>
      </c>
      <c r="K246" s="15" t="s">
        <v>160</v>
      </c>
      <c r="L246" s="15" t="s">
        <v>95</v>
      </c>
      <c r="M246" s="15" t="s">
        <v>94</v>
      </c>
      <c r="N246" s="15" t="s">
        <v>67</v>
      </c>
      <c r="O246" s="15" t="s">
        <v>161</v>
      </c>
      <c r="P246" s="15" t="s">
        <v>168</v>
      </c>
      <c r="Q246" s="42"/>
      <c r="R246" s="42">
        <v>46.2</v>
      </c>
      <c r="S246" s="42">
        <v>46.2</v>
      </c>
      <c r="T246" s="43">
        <v>46.2</v>
      </c>
      <c r="U246" s="44" t="s">
        <v>41</v>
      </c>
      <c r="V246" s="153">
        <v>30</v>
      </c>
      <c r="W246" s="45" cm="1">
        <f t="array" ref="W246">IF(U246="",0,_xlfn.XLOOKUP(E246&amp;U246&amp;F246,tab_act&amp;tab_mod&amp;tab_act1,tab_riz)*V246*T246/MGMT)</f>
        <v>0</v>
      </c>
      <c r="X246" s="42" cm="1">
        <f t="array" ref="X246">IF(U246="",0,_xlfn.XLOOKUP(E246&amp;U246&amp;F246,tab_act&amp;tab_mod&amp;tab_act1,tab_mc)*V246*T246/MGMT)</f>
        <v>0</v>
      </c>
      <c r="Y246" s="42" cm="1">
        <f t="array" ref="Y246">IF(U246="",0,_xlfn.XLOOKUP(E246&amp;U246&amp;F246,tab_act&amp;tab_mod&amp;tab_act1,tab_sor)*V246*T246/MGMT)</f>
        <v>0</v>
      </c>
      <c r="Z246" s="42" cm="1">
        <f t="array" ref="Z246">IF(U246="",0,_xlfn.XLOOKUP(E246&amp;U246&amp;F246,tab_act&amp;tab_mod&amp;tab_act1,tab_mg)*V246*T246/MGMT)</f>
        <v>0</v>
      </c>
      <c r="AA246" s="46" cm="1">
        <f t="array" ref="AA246">IF(U246="",0,IF(U246="hybrid-Sch",_xlfn.XLOOKUP(E246&amp;U246&amp;F246,tab_act&amp;tab_mod&amp;tab_act1,tab_ls)*SchLS*T246/MGMT,_xlfn.XLOOKUP(E246&amp;U246&amp;F246,tab_act&amp;tab_mod&amp;tab_act1,tab_ls)*V246*T246/MGMT))</f>
        <v>0</v>
      </c>
      <c r="AB246" s="46" cm="1">
        <f t="array" ref="AB246">IF(U246="",0,_xlfn.XLOOKUP(E246&amp;U246&amp;F246,tab_act&amp;tab_mod&amp;tab_act1,tab_hu)*V246*T246/MGMT)</f>
        <v>2.7720000000000002E-2</v>
      </c>
      <c r="AC246" s="46" cm="1">
        <f t="array" ref="AC246">IF(U246="",0,_xlfn.XLOOKUP(E246&amp;U246&amp;F246,tab_act&amp;tab_mod&amp;tab_act1,tab_mnp)*V246*T246/MGMT)</f>
        <v>0</v>
      </c>
      <c r="AD246" s="46" cm="1">
        <f t="array" ref="AD246">IF(U246="",0,_xlfn.XLOOKUP(E246&amp;U246&amp;F246,tab_act&amp;tab_mod&amp;tab_act1,tab_Psup)*V246*T246/MGMT)</f>
        <v>0</v>
      </c>
      <c r="AE246" s="110" cm="1">
        <f t="array" ref="AE246">IF(U246="",0,_xlfn.XLOOKUP(E246&amp;U246&amp;F246,tab_act&amp;tab_mod&amp;tab_act1,tab_csb1)*V246*T246/MGMT)</f>
        <v>0.25641000000000003</v>
      </c>
      <c r="AF246" s="110" cm="1">
        <f t="array" ref="AF246">IF(U246="",0,_xlfn.XLOOKUP(E246&amp;U246&amp;F246,tab_act&amp;tab_mod&amp;tab_act1,tab_csb2)*V246*T246/MGMT)</f>
        <v>2.0789999999999999E-2</v>
      </c>
      <c r="AG246" s="46" cm="1">
        <f t="array" ref="AG246">IF(U246="",0,_xlfn.XLOOKUP(E246&amp;U246&amp;F246,tab_act&amp;tab_mod&amp;tab_act1,tab_pdoz)*V246*T246/MGMT)</f>
        <v>0</v>
      </c>
      <c r="AH246" s="46" cm="1">
        <f t="array" ref="AH246">IF(U246="",0,_xlfn.XLOOKUP(E246&amp;U246&amp;F246,tab_act&amp;tab_mod&amp;tab_act1,tab_lns)*V246*T246/MGMT)</f>
        <v>0</v>
      </c>
      <c r="AI246" s="47">
        <f t="shared" si="21"/>
        <v>0.30492000000000002</v>
      </c>
      <c r="AJ246" s="48" cm="1">
        <f t="array" ref="AJ246">IF(U246="",0,_xlfn.XLOOKUP(E246&amp;U246&amp;F246,tab_act&amp;tab_mod&amp;tab_act1,tab_cash)*T246)</f>
        <v>0</v>
      </c>
      <c r="AK246" s="134" cm="1">
        <f t="array" ref="AK246">IF(B246="",0,IF(C246="",0,AJ246/_xlfn.XLOOKUP(B246&amp;C246,RMth&amp;RYr,RAr)))</f>
        <v>0</v>
      </c>
      <c r="AN246" s="146" t="str">
        <f t="shared" si="22"/>
        <v>A</v>
      </c>
    </row>
    <row r="247" spans="2:40" x14ac:dyDescent="0.35">
      <c r="B247" s="132" t="s">
        <v>128</v>
      </c>
      <c r="C247" s="44">
        <v>2023</v>
      </c>
      <c r="D247" s="44" t="s">
        <v>100</v>
      </c>
      <c r="E247" s="15" t="s">
        <v>39</v>
      </c>
      <c r="F247" s="99" t="s">
        <v>244</v>
      </c>
      <c r="G247" s="15" t="s">
        <v>159</v>
      </c>
      <c r="H247" s="44"/>
      <c r="I247" s="15" t="s">
        <v>94</v>
      </c>
      <c r="J247" s="15" t="s">
        <v>94</v>
      </c>
      <c r="K247" s="15" t="s">
        <v>160</v>
      </c>
      <c r="L247" s="15" t="s">
        <v>95</v>
      </c>
      <c r="M247" s="15" t="s">
        <v>94</v>
      </c>
      <c r="N247" s="15" t="s">
        <v>67</v>
      </c>
      <c r="O247" s="15" t="s">
        <v>161</v>
      </c>
      <c r="P247" s="15" t="s">
        <v>169</v>
      </c>
      <c r="Q247" s="42"/>
      <c r="R247" s="42">
        <v>170.5</v>
      </c>
      <c r="S247" s="42">
        <v>170.5</v>
      </c>
      <c r="T247" s="43">
        <v>170.5</v>
      </c>
      <c r="U247" s="44" t="s">
        <v>41</v>
      </c>
      <c r="V247" s="153">
        <v>30</v>
      </c>
      <c r="W247" s="45" cm="1">
        <f t="array" ref="W247">IF(U247="",0,_xlfn.XLOOKUP(E247&amp;U247&amp;F247,tab_act&amp;tab_mod&amp;tab_act1,tab_riz)*V247*T247/MGMT)</f>
        <v>0</v>
      </c>
      <c r="X247" s="42" cm="1">
        <f t="array" ref="X247">IF(U247="",0,_xlfn.XLOOKUP(E247&amp;U247&amp;F247,tab_act&amp;tab_mod&amp;tab_act1,tab_mc)*V247*T247/MGMT)</f>
        <v>0</v>
      </c>
      <c r="Y247" s="42" cm="1">
        <f t="array" ref="Y247">IF(U247="",0,_xlfn.XLOOKUP(E247&amp;U247&amp;F247,tab_act&amp;tab_mod&amp;tab_act1,tab_sor)*V247*T247/MGMT)</f>
        <v>0</v>
      </c>
      <c r="Z247" s="42" cm="1">
        <f t="array" ref="Z247">IF(U247="",0,_xlfn.XLOOKUP(E247&amp;U247&amp;F247,tab_act&amp;tab_mod&amp;tab_act1,tab_mg)*V247*T247/MGMT)</f>
        <v>0</v>
      </c>
      <c r="AA247" s="46" cm="1">
        <f t="array" ref="AA247">IF(U247="",0,IF(U247="hybrid-Sch",_xlfn.XLOOKUP(E247&amp;U247&amp;F247,tab_act&amp;tab_mod&amp;tab_act1,tab_ls)*SchLS*T247/MGMT,_xlfn.XLOOKUP(E247&amp;U247&amp;F247,tab_act&amp;tab_mod&amp;tab_act1,tab_ls)*V247*T247/MGMT))</f>
        <v>0</v>
      </c>
      <c r="AB247" s="46" cm="1">
        <f t="array" ref="AB247">IF(U247="",0,_xlfn.XLOOKUP(E247&amp;U247&amp;F247,tab_act&amp;tab_mod&amp;tab_act1,tab_hu)*V247*T247/MGMT)</f>
        <v>0.1023</v>
      </c>
      <c r="AC247" s="46" cm="1">
        <f t="array" ref="AC247">IF(U247="",0,_xlfn.XLOOKUP(E247&amp;U247&amp;F247,tab_act&amp;tab_mod&amp;tab_act1,tab_mnp)*V247*T247/MGMT)</f>
        <v>0</v>
      </c>
      <c r="AD247" s="46" cm="1">
        <f t="array" ref="AD247">IF(U247="",0,_xlfn.XLOOKUP(E247&amp;U247&amp;F247,tab_act&amp;tab_mod&amp;tab_act1,tab_Psup)*V247*T247/MGMT)</f>
        <v>0</v>
      </c>
      <c r="AE247" s="110" cm="1">
        <f t="array" ref="AE247">IF(U247="",0,_xlfn.XLOOKUP(E247&amp;U247&amp;F247,tab_act&amp;tab_mod&amp;tab_act1,tab_csb1)*V247*T247/MGMT)</f>
        <v>0.94627499999999998</v>
      </c>
      <c r="AF247" s="110" cm="1">
        <f t="array" ref="AF247">IF(U247="",0,_xlfn.XLOOKUP(E247&amp;U247&amp;F247,tab_act&amp;tab_mod&amp;tab_act1,tab_csb2)*V247*T247/MGMT)</f>
        <v>7.6725000000000002E-2</v>
      </c>
      <c r="AG247" s="46" cm="1">
        <f t="array" ref="AG247">IF(U247="",0,_xlfn.XLOOKUP(E247&amp;U247&amp;F247,tab_act&amp;tab_mod&amp;tab_act1,tab_pdoz)*V247*T247/MGMT)</f>
        <v>0</v>
      </c>
      <c r="AH247" s="46" cm="1">
        <f t="array" ref="AH247">IF(U247="",0,_xlfn.XLOOKUP(E247&amp;U247&amp;F247,tab_act&amp;tab_mod&amp;tab_act1,tab_lns)*V247*T247/MGMT)</f>
        <v>0</v>
      </c>
      <c r="AI247" s="47">
        <f t="shared" si="21"/>
        <v>1.1253</v>
      </c>
      <c r="AJ247" s="48" cm="1">
        <f t="array" ref="AJ247">IF(U247="",0,_xlfn.XLOOKUP(E247&amp;U247&amp;F247,tab_act&amp;tab_mod&amp;tab_act1,tab_cash)*T247)</f>
        <v>0</v>
      </c>
      <c r="AK247" s="134" cm="1">
        <f t="array" ref="AK247">IF(B247="",0,IF(C247="",0,AJ247/_xlfn.XLOOKUP(B247&amp;C247,RMth&amp;RYr,RAr)))</f>
        <v>0</v>
      </c>
      <c r="AN247" s="146" t="str">
        <f t="shared" si="22"/>
        <v>A</v>
      </c>
    </row>
    <row r="248" spans="2:40" x14ac:dyDescent="0.35">
      <c r="B248" s="132" t="s">
        <v>128</v>
      </c>
      <c r="C248" s="44">
        <v>2023</v>
      </c>
      <c r="D248" s="44" t="s">
        <v>100</v>
      </c>
      <c r="E248" s="15" t="s">
        <v>39</v>
      </c>
      <c r="F248" s="99" t="s">
        <v>244</v>
      </c>
      <c r="G248" s="15" t="s">
        <v>159</v>
      </c>
      <c r="H248" s="44"/>
      <c r="I248" s="15" t="s">
        <v>94</v>
      </c>
      <c r="J248" s="15" t="s">
        <v>94</v>
      </c>
      <c r="K248" s="15" t="s">
        <v>160</v>
      </c>
      <c r="L248" s="15" t="s">
        <v>95</v>
      </c>
      <c r="M248" s="15" t="s">
        <v>94</v>
      </c>
      <c r="N248" s="15" t="s">
        <v>67</v>
      </c>
      <c r="O248" s="15" t="s">
        <v>161</v>
      </c>
      <c r="P248" s="15" t="s">
        <v>170</v>
      </c>
      <c r="Q248" s="42"/>
      <c r="R248" s="42">
        <v>303.60000000000002</v>
      </c>
      <c r="S248" s="42">
        <v>303.60000000000002</v>
      </c>
      <c r="T248" s="43">
        <v>303.60000000000002</v>
      </c>
      <c r="U248" s="44" t="s">
        <v>41</v>
      </c>
      <c r="V248" s="153">
        <v>30</v>
      </c>
      <c r="W248" s="45" cm="1">
        <f t="array" ref="W248">IF(U248="",0,_xlfn.XLOOKUP(E248&amp;U248&amp;F248,tab_act&amp;tab_mod&amp;tab_act1,tab_riz)*V248*T248/MGMT)</f>
        <v>0</v>
      </c>
      <c r="X248" s="42" cm="1">
        <f t="array" ref="X248">IF(U248="",0,_xlfn.XLOOKUP(E248&amp;U248&amp;F248,tab_act&amp;tab_mod&amp;tab_act1,tab_mc)*V248*T248/MGMT)</f>
        <v>0</v>
      </c>
      <c r="Y248" s="42" cm="1">
        <f t="array" ref="Y248">IF(U248="",0,_xlfn.XLOOKUP(E248&amp;U248&amp;F248,tab_act&amp;tab_mod&amp;tab_act1,tab_sor)*V248*T248/MGMT)</f>
        <v>0</v>
      </c>
      <c r="Z248" s="42" cm="1">
        <f t="array" ref="Z248">IF(U248="",0,_xlfn.XLOOKUP(E248&amp;U248&amp;F248,tab_act&amp;tab_mod&amp;tab_act1,tab_mg)*V248*T248/MGMT)</f>
        <v>0</v>
      </c>
      <c r="AA248" s="46" cm="1">
        <f t="array" ref="AA248">IF(U248="",0,IF(U248="hybrid-Sch",_xlfn.XLOOKUP(E248&amp;U248&amp;F248,tab_act&amp;tab_mod&amp;tab_act1,tab_ls)*SchLS*T248/MGMT,_xlfn.XLOOKUP(E248&amp;U248&amp;F248,tab_act&amp;tab_mod&amp;tab_act1,tab_ls)*V248*T248/MGMT))</f>
        <v>0</v>
      </c>
      <c r="AB248" s="46" cm="1">
        <f t="array" ref="AB248">IF(U248="",0,_xlfn.XLOOKUP(E248&amp;U248&amp;F248,tab_act&amp;tab_mod&amp;tab_act1,tab_hu)*V248*T248/MGMT)</f>
        <v>0.18215999999999999</v>
      </c>
      <c r="AC248" s="46" cm="1">
        <f t="array" ref="AC248">IF(U248="",0,_xlfn.XLOOKUP(E248&amp;U248&amp;F248,tab_act&amp;tab_mod&amp;tab_act1,tab_mnp)*V248*T248/MGMT)</f>
        <v>0</v>
      </c>
      <c r="AD248" s="46" cm="1">
        <f t="array" ref="AD248">IF(U248="",0,_xlfn.XLOOKUP(E248&amp;U248&amp;F248,tab_act&amp;tab_mod&amp;tab_act1,tab_Psup)*V248*T248/MGMT)</f>
        <v>0</v>
      </c>
      <c r="AE248" s="110" cm="1">
        <f t="array" ref="AE248">IF(U248="",0,_xlfn.XLOOKUP(E248&amp;U248&amp;F248,tab_act&amp;tab_mod&amp;tab_act1,tab_csb1)*V248*T248/MGMT)</f>
        <v>1.6849800000000001</v>
      </c>
      <c r="AF248" s="110" cm="1">
        <f t="array" ref="AF248">IF(U248="",0,_xlfn.XLOOKUP(E248&amp;U248&amp;F248,tab_act&amp;tab_mod&amp;tab_act1,tab_csb2)*V248*T248/MGMT)</f>
        <v>0.13661999999999999</v>
      </c>
      <c r="AG248" s="46" cm="1">
        <f t="array" ref="AG248">IF(U248="",0,_xlfn.XLOOKUP(E248&amp;U248&amp;F248,tab_act&amp;tab_mod&amp;tab_act1,tab_pdoz)*V248*T248/MGMT)</f>
        <v>0</v>
      </c>
      <c r="AH248" s="46" cm="1">
        <f t="array" ref="AH248">IF(U248="",0,_xlfn.XLOOKUP(E248&amp;U248&amp;F248,tab_act&amp;tab_mod&amp;tab_act1,tab_lns)*V248*T248/MGMT)</f>
        <v>0</v>
      </c>
      <c r="AI248" s="47">
        <f t="shared" si="21"/>
        <v>2.0037600000000002</v>
      </c>
      <c r="AJ248" s="48" cm="1">
        <f t="array" ref="AJ248">IF(U248="",0,_xlfn.XLOOKUP(E248&amp;U248&amp;F248,tab_act&amp;tab_mod&amp;tab_act1,tab_cash)*T248)</f>
        <v>0</v>
      </c>
      <c r="AK248" s="134" cm="1">
        <f t="array" ref="AK248">IF(B248="",0,IF(C248="",0,AJ248/_xlfn.XLOOKUP(B248&amp;C248,RMth&amp;RYr,RAr)))</f>
        <v>0</v>
      </c>
      <c r="AN248" s="146" t="str">
        <f t="shared" si="22"/>
        <v>A</v>
      </c>
    </row>
    <row r="249" spans="2:40" x14ac:dyDescent="0.35">
      <c r="B249" s="132" t="s">
        <v>128</v>
      </c>
      <c r="C249" s="44">
        <v>2023</v>
      </c>
      <c r="D249" s="44" t="s">
        <v>100</v>
      </c>
      <c r="E249" s="15" t="s">
        <v>39</v>
      </c>
      <c r="F249" s="99" t="s">
        <v>244</v>
      </c>
      <c r="G249" s="15" t="s">
        <v>159</v>
      </c>
      <c r="H249" s="44"/>
      <c r="I249" s="15" t="s">
        <v>94</v>
      </c>
      <c r="J249" s="15" t="s">
        <v>94</v>
      </c>
      <c r="K249" s="15" t="s">
        <v>160</v>
      </c>
      <c r="L249" s="15" t="s">
        <v>95</v>
      </c>
      <c r="M249" s="15" t="s">
        <v>94</v>
      </c>
      <c r="N249" s="15" t="s">
        <v>67</v>
      </c>
      <c r="O249" s="15" t="s">
        <v>161</v>
      </c>
      <c r="P249" s="15" t="s">
        <v>171</v>
      </c>
      <c r="Q249" s="42"/>
      <c r="R249" s="42">
        <v>58.3</v>
      </c>
      <c r="S249" s="42">
        <v>58.3</v>
      </c>
      <c r="T249" s="43">
        <v>58.3</v>
      </c>
      <c r="U249" s="44" t="s">
        <v>41</v>
      </c>
      <c r="V249" s="153">
        <v>30</v>
      </c>
      <c r="W249" s="45" cm="1">
        <f t="array" ref="W249">IF(U249="",0,_xlfn.XLOOKUP(E249&amp;U249&amp;F249,tab_act&amp;tab_mod&amp;tab_act1,tab_riz)*V249*T249/MGMT)</f>
        <v>0</v>
      </c>
      <c r="X249" s="42" cm="1">
        <f t="array" ref="X249">IF(U249="",0,_xlfn.XLOOKUP(E249&amp;U249&amp;F249,tab_act&amp;tab_mod&amp;tab_act1,tab_mc)*V249*T249/MGMT)</f>
        <v>0</v>
      </c>
      <c r="Y249" s="42" cm="1">
        <f t="array" ref="Y249">IF(U249="",0,_xlfn.XLOOKUP(E249&amp;U249&amp;F249,tab_act&amp;tab_mod&amp;tab_act1,tab_sor)*V249*T249/MGMT)</f>
        <v>0</v>
      </c>
      <c r="Z249" s="42" cm="1">
        <f t="array" ref="Z249">IF(U249="",0,_xlfn.XLOOKUP(E249&amp;U249&amp;F249,tab_act&amp;tab_mod&amp;tab_act1,tab_mg)*V249*T249/MGMT)</f>
        <v>0</v>
      </c>
      <c r="AA249" s="46" cm="1">
        <f t="array" ref="AA249">IF(U249="",0,IF(U249="hybrid-Sch",_xlfn.XLOOKUP(E249&amp;U249&amp;F249,tab_act&amp;tab_mod&amp;tab_act1,tab_ls)*SchLS*T249/MGMT,_xlfn.XLOOKUP(E249&amp;U249&amp;F249,tab_act&amp;tab_mod&amp;tab_act1,tab_ls)*V249*T249/MGMT))</f>
        <v>0</v>
      </c>
      <c r="AB249" s="46" cm="1">
        <f t="array" ref="AB249">IF(U249="",0,_xlfn.XLOOKUP(E249&amp;U249&amp;F249,tab_act&amp;tab_mod&amp;tab_act1,tab_hu)*V249*T249/MGMT)</f>
        <v>3.4979999999999997E-2</v>
      </c>
      <c r="AC249" s="46" cm="1">
        <f t="array" ref="AC249">IF(U249="",0,_xlfn.XLOOKUP(E249&amp;U249&amp;F249,tab_act&amp;tab_mod&amp;tab_act1,tab_mnp)*V249*T249/MGMT)</f>
        <v>0</v>
      </c>
      <c r="AD249" s="46" cm="1">
        <f t="array" ref="AD249">IF(U249="",0,_xlfn.XLOOKUP(E249&amp;U249&amp;F249,tab_act&amp;tab_mod&amp;tab_act1,tab_Psup)*V249*T249/MGMT)</f>
        <v>0</v>
      </c>
      <c r="AE249" s="110" cm="1">
        <f t="array" ref="AE249">IF(U249="",0,_xlfn.XLOOKUP(E249&amp;U249&amp;F249,tab_act&amp;tab_mod&amp;tab_act1,tab_csb1)*V249*T249/MGMT)</f>
        <v>0.32356499999999999</v>
      </c>
      <c r="AF249" s="110" cm="1">
        <f t="array" ref="AF249">IF(U249="",0,_xlfn.XLOOKUP(E249&amp;U249&amp;F249,tab_act&amp;tab_mod&amp;tab_act1,tab_csb2)*V249*T249/MGMT)</f>
        <v>2.6235000000000001E-2</v>
      </c>
      <c r="AG249" s="46" cm="1">
        <f t="array" ref="AG249">IF(U249="",0,_xlfn.XLOOKUP(E249&amp;U249&amp;F249,tab_act&amp;tab_mod&amp;tab_act1,tab_pdoz)*V249*T249/MGMT)</f>
        <v>0</v>
      </c>
      <c r="AH249" s="46" cm="1">
        <f t="array" ref="AH249">IF(U249="",0,_xlfn.XLOOKUP(E249&amp;U249&amp;F249,tab_act&amp;tab_mod&amp;tab_act1,tab_lns)*V249*T249/MGMT)</f>
        <v>0</v>
      </c>
      <c r="AI249" s="47">
        <f t="shared" si="21"/>
        <v>0.38478000000000001</v>
      </c>
      <c r="AJ249" s="48" cm="1">
        <f t="array" ref="AJ249">IF(U249="",0,_xlfn.XLOOKUP(E249&amp;U249&amp;F249,tab_act&amp;tab_mod&amp;tab_act1,tab_cash)*T249)</f>
        <v>0</v>
      </c>
      <c r="AK249" s="134" cm="1">
        <f t="array" ref="AK249">IF(B249="",0,IF(C249="",0,AJ249/_xlfn.XLOOKUP(B249&amp;C249,RMth&amp;RYr,RAr)))</f>
        <v>0</v>
      </c>
      <c r="AN249" s="146" t="str">
        <f t="shared" si="22"/>
        <v>A</v>
      </c>
    </row>
    <row r="250" spans="2:40" x14ac:dyDescent="0.35">
      <c r="B250" s="132" t="s">
        <v>128</v>
      </c>
      <c r="C250" s="44">
        <v>2023</v>
      </c>
      <c r="D250" s="44" t="s">
        <v>100</v>
      </c>
      <c r="E250" s="15" t="s">
        <v>39</v>
      </c>
      <c r="F250" s="99" t="s">
        <v>244</v>
      </c>
      <c r="G250" s="15" t="s">
        <v>159</v>
      </c>
      <c r="H250" s="44"/>
      <c r="I250" s="15" t="s">
        <v>94</v>
      </c>
      <c r="J250" s="15" t="s">
        <v>94</v>
      </c>
      <c r="K250" s="15" t="s">
        <v>160</v>
      </c>
      <c r="L250" s="15" t="s">
        <v>95</v>
      </c>
      <c r="M250" s="15" t="s">
        <v>94</v>
      </c>
      <c r="N250" s="15" t="s">
        <v>67</v>
      </c>
      <c r="O250" s="15" t="s">
        <v>161</v>
      </c>
      <c r="P250" s="15" t="s">
        <v>172</v>
      </c>
      <c r="Q250" s="42"/>
      <c r="R250" s="42">
        <v>198</v>
      </c>
      <c r="S250" s="42">
        <v>198</v>
      </c>
      <c r="T250" s="43">
        <v>198</v>
      </c>
      <c r="U250" s="44" t="s">
        <v>41</v>
      </c>
      <c r="V250" s="153">
        <v>30</v>
      </c>
      <c r="W250" s="45" cm="1">
        <f t="array" ref="W250">IF(U250="",0,_xlfn.XLOOKUP(E250&amp;U250&amp;F250,tab_act&amp;tab_mod&amp;tab_act1,tab_riz)*V250*T250/MGMT)</f>
        <v>0</v>
      </c>
      <c r="X250" s="42" cm="1">
        <f t="array" ref="X250">IF(U250="",0,_xlfn.XLOOKUP(E250&amp;U250&amp;F250,tab_act&amp;tab_mod&amp;tab_act1,tab_mc)*V250*T250/MGMT)</f>
        <v>0</v>
      </c>
      <c r="Y250" s="42" cm="1">
        <f t="array" ref="Y250">IF(U250="",0,_xlfn.XLOOKUP(E250&amp;U250&amp;F250,tab_act&amp;tab_mod&amp;tab_act1,tab_sor)*V250*T250/MGMT)</f>
        <v>0</v>
      </c>
      <c r="Z250" s="42" cm="1">
        <f t="array" ref="Z250">IF(U250="",0,_xlfn.XLOOKUP(E250&amp;U250&amp;F250,tab_act&amp;tab_mod&amp;tab_act1,tab_mg)*V250*T250/MGMT)</f>
        <v>0</v>
      </c>
      <c r="AA250" s="46" cm="1">
        <f t="array" ref="AA250">IF(U250="",0,IF(U250="hybrid-Sch",_xlfn.XLOOKUP(E250&amp;U250&amp;F250,tab_act&amp;tab_mod&amp;tab_act1,tab_ls)*SchLS*T250/MGMT,_xlfn.XLOOKUP(E250&amp;U250&amp;F250,tab_act&amp;tab_mod&amp;tab_act1,tab_ls)*V250*T250/MGMT))</f>
        <v>0</v>
      </c>
      <c r="AB250" s="46" cm="1">
        <f t="array" ref="AB250">IF(U250="",0,_xlfn.XLOOKUP(E250&amp;U250&amp;F250,tab_act&amp;tab_mod&amp;tab_act1,tab_hu)*V250*T250/MGMT)</f>
        <v>0.1188</v>
      </c>
      <c r="AC250" s="46" cm="1">
        <f t="array" ref="AC250">IF(U250="",0,_xlfn.XLOOKUP(E250&amp;U250&amp;F250,tab_act&amp;tab_mod&amp;tab_act1,tab_mnp)*V250*T250/MGMT)</f>
        <v>0</v>
      </c>
      <c r="AD250" s="46" cm="1">
        <f t="array" ref="AD250">IF(U250="",0,_xlfn.XLOOKUP(E250&amp;U250&amp;F250,tab_act&amp;tab_mod&amp;tab_act1,tab_Psup)*V250*T250/MGMT)</f>
        <v>0</v>
      </c>
      <c r="AE250" s="110" cm="1">
        <f t="array" ref="AE250">IF(U250="",0,_xlfn.XLOOKUP(E250&amp;U250&amp;F250,tab_act&amp;tab_mod&amp;tab_act1,tab_csb1)*V250*T250/MGMT)</f>
        <v>1.0989</v>
      </c>
      <c r="AF250" s="110" cm="1">
        <f t="array" ref="AF250">IF(U250="",0,_xlfn.XLOOKUP(E250&amp;U250&amp;F250,tab_act&amp;tab_mod&amp;tab_act1,tab_csb2)*V250*T250/MGMT)</f>
        <v>8.9099999999999999E-2</v>
      </c>
      <c r="AG250" s="46" cm="1">
        <f t="array" ref="AG250">IF(U250="",0,_xlfn.XLOOKUP(E250&amp;U250&amp;F250,tab_act&amp;tab_mod&amp;tab_act1,tab_pdoz)*V250*T250/MGMT)</f>
        <v>0</v>
      </c>
      <c r="AH250" s="46" cm="1">
        <f t="array" ref="AH250">IF(U250="",0,_xlfn.XLOOKUP(E250&amp;U250&amp;F250,tab_act&amp;tab_mod&amp;tab_act1,tab_lns)*V250*T250/MGMT)</f>
        <v>0</v>
      </c>
      <c r="AI250" s="47">
        <f t="shared" si="21"/>
        <v>1.3068</v>
      </c>
      <c r="AJ250" s="48" cm="1">
        <f t="array" ref="AJ250">IF(U250="",0,_xlfn.XLOOKUP(E250&amp;U250&amp;F250,tab_act&amp;tab_mod&amp;tab_act1,tab_cash)*T250)</f>
        <v>0</v>
      </c>
      <c r="AK250" s="134" cm="1">
        <f t="array" ref="AK250">IF(B250="",0,IF(C250="",0,AJ250/_xlfn.XLOOKUP(B250&amp;C250,RMth&amp;RYr,RAr)))</f>
        <v>0</v>
      </c>
      <c r="AN250" s="146" t="str">
        <f t="shared" si="22"/>
        <v>A</v>
      </c>
    </row>
    <row r="251" spans="2:40" x14ac:dyDescent="0.35">
      <c r="B251" s="132" t="s">
        <v>128</v>
      </c>
      <c r="C251" s="44">
        <v>2023</v>
      </c>
      <c r="D251" s="44" t="s">
        <v>100</v>
      </c>
      <c r="E251" s="15" t="s">
        <v>39</v>
      </c>
      <c r="F251" s="99" t="s">
        <v>244</v>
      </c>
      <c r="G251" s="15" t="s">
        <v>159</v>
      </c>
      <c r="H251" s="44"/>
      <c r="I251" s="15" t="s">
        <v>94</v>
      </c>
      <c r="J251" s="15" t="s">
        <v>94</v>
      </c>
      <c r="K251" s="15" t="s">
        <v>160</v>
      </c>
      <c r="L251" s="15" t="s">
        <v>95</v>
      </c>
      <c r="M251" s="15" t="s">
        <v>94</v>
      </c>
      <c r="N251" s="15" t="s">
        <v>67</v>
      </c>
      <c r="O251" s="15" t="s">
        <v>161</v>
      </c>
      <c r="P251" s="15" t="s">
        <v>173</v>
      </c>
      <c r="Q251" s="42"/>
      <c r="R251" s="42">
        <v>190.3</v>
      </c>
      <c r="S251" s="42">
        <v>190.3</v>
      </c>
      <c r="T251" s="43">
        <v>190.3</v>
      </c>
      <c r="U251" s="44" t="s">
        <v>41</v>
      </c>
      <c r="V251" s="153">
        <v>30</v>
      </c>
      <c r="W251" s="45" cm="1">
        <f t="array" ref="W251">IF(U251="",0,_xlfn.XLOOKUP(E251&amp;U251&amp;F251,tab_act&amp;tab_mod&amp;tab_act1,tab_riz)*V251*T251/MGMT)</f>
        <v>0</v>
      </c>
      <c r="X251" s="42" cm="1">
        <f t="array" ref="X251">IF(U251="",0,_xlfn.XLOOKUP(E251&amp;U251&amp;F251,tab_act&amp;tab_mod&amp;tab_act1,tab_mc)*V251*T251/MGMT)</f>
        <v>0</v>
      </c>
      <c r="Y251" s="42" cm="1">
        <f t="array" ref="Y251">IF(U251="",0,_xlfn.XLOOKUP(E251&amp;U251&amp;F251,tab_act&amp;tab_mod&amp;tab_act1,tab_sor)*V251*T251/MGMT)</f>
        <v>0</v>
      </c>
      <c r="Z251" s="42" cm="1">
        <f t="array" ref="Z251">IF(U251="",0,_xlfn.XLOOKUP(E251&amp;U251&amp;F251,tab_act&amp;tab_mod&amp;tab_act1,tab_mg)*V251*T251/MGMT)</f>
        <v>0</v>
      </c>
      <c r="AA251" s="46" cm="1">
        <f t="array" ref="AA251">IF(U251="",0,IF(U251="hybrid-Sch",_xlfn.XLOOKUP(E251&amp;U251&amp;F251,tab_act&amp;tab_mod&amp;tab_act1,tab_ls)*SchLS*T251/MGMT,_xlfn.XLOOKUP(E251&amp;U251&amp;F251,tab_act&amp;tab_mod&amp;tab_act1,tab_ls)*V251*T251/MGMT))</f>
        <v>0</v>
      </c>
      <c r="AB251" s="46" cm="1">
        <f t="array" ref="AB251">IF(U251="",0,_xlfn.XLOOKUP(E251&amp;U251&amp;F251,tab_act&amp;tab_mod&amp;tab_act1,tab_hu)*V251*T251/MGMT)</f>
        <v>0.11418</v>
      </c>
      <c r="AC251" s="46" cm="1">
        <f t="array" ref="AC251">IF(U251="",0,_xlfn.XLOOKUP(E251&amp;U251&amp;F251,tab_act&amp;tab_mod&amp;tab_act1,tab_mnp)*V251*T251/MGMT)</f>
        <v>0</v>
      </c>
      <c r="AD251" s="46" cm="1">
        <f t="array" ref="AD251">IF(U251="",0,_xlfn.XLOOKUP(E251&amp;U251&amp;F251,tab_act&amp;tab_mod&amp;tab_act1,tab_Psup)*V251*T251/MGMT)</f>
        <v>0</v>
      </c>
      <c r="AE251" s="110" cm="1">
        <f t="array" ref="AE251">IF(U251="",0,_xlfn.XLOOKUP(E251&amp;U251&amp;F251,tab_act&amp;tab_mod&amp;tab_act1,tab_csb1)*V251*T251/MGMT)</f>
        <v>1.056165</v>
      </c>
      <c r="AF251" s="110" cm="1">
        <f t="array" ref="AF251">IF(U251="",0,_xlfn.XLOOKUP(E251&amp;U251&amp;F251,tab_act&amp;tab_mod&amp;tab_act1,tab_csb2)*V251*T251/MGMT)</f>
        <v>8.5635000000000003E-2</v>
      </c>
      <c r="AG251" s="46" cm="1">
        <f t="array" ref="AG251">IF(U251="",0,_xlfn.XLOOKUP(E251&amp;U251&amp;F251,tab_act&amp;tab_mod&amp;tab_act1,tab_pdoz)*V251*T251/MGMT)</f>
        <v>0</v>
      </c>
      <c r="AH251" s="46" cm="1">
        <f t="array" ref="AH251">IF(U251="",0,_xlfn.XLOOKUP(E251&amp;U251&amp;F251,tab_act&amp;tab_mod&amp;tab_act1,tab_lns)*V251*T251/MGMT)</f>
        <v>0</v>
      </c>
      <c r="AI251" s="47">
        <f t="shared" si="21"/>
        <v>1.2559799999999999</v>
      </c>
      <c r="AJ251" s="48" cm="1">
        <f t="array" ref="AJ251">IF(U251="",0,_xlfn.XLOOKUP(E251&amp;U251&amp;F251,tab_act&amp;tab_mod&amp;tab_act1,tab_cash)*T251)</f>
        <v>0</v>
      </c>
      <c r="AK251" s="134" cm="1">
        <f t="array" ref="AK251">IF(B251="",0,IF(C251="",0,AJ251/_xlfn.XLOOKUP(B251&amp;C251,RMth&amp;RYr,RAr)))</f>
        <v>0</v>
      </c>
      <c r="AN251" s="146" t="str">
        <f t="shared" si="22"/>
        <v>A</v>
      </c>
    </row>
    <row r="252" spans="2:40" x14ac:dyDescent="0.35">
      <c r="B252" s="132" t="s">
        <v>128</v>
      </c>
      <c r="C252" s="44">
        <v>2023</v>
      </c>
      <c r="D252" s="44" t="s">
        <v>100</v>
      </c>
      <c r="E252" s="15" t="s">
        <v>39</v>
      </c>
      <c r="F252" s="99" t="s">
        <v>244</v>
      </c>
      <c r="G252" s="15" t="s">
        <v>159</v>
      </c>
      <c r="H252" s="44"/>
      <c r="I252" s="15" t="s">
        <v>94</v>
      </c>
      <c r="J252" s="15" t="s">
        <v>94</v>
      </c>
      <c r="K252" s="15" t="s">
        <v>160</v>
      </c>
      <c r="L252" s="15" t="s">
        <v>95</v>
      </c>
      <c r="M252" s="15" t="s">
        <v>94</v>
      </c>
      <c r="N252" s="15" t="s">
        <v>67</v>
      </c>
      <c r="O252" s="15" t="s">
        <v>161</v>
      </c>
      <c r="P252" s="15" t="s">
        <v>174</v>
      </c>
      <c r="Q252" s="42"/>
      <c r="R252" s="42">
        <v>152.9</v>
      </c>
      <c r="S252" s="42">
        <v>152.9</v>
      </c>
      <c r="T252" s="43">
        <v>152.9</v>
      </c>
      <c r="U252" s="44" t="s">
        <v>41</v>
      </c>
      <c r="V252" s="153">
        <v>30</v>
      </c>
      <c r="W252" s="45" cm="1">
        <f t="array" ref="W252">IF(U252="",0,_xlfn.XLOOKUP(E252&amp;U252&amp;F252,tab_act&amp;tab_mod&amp;tab_act1,tab_riz)*V252*T252/MGMT)</f>
        <v>0</v>
      </c>
      <c r="X252" s="42" cm="1">
        <f t="array" ref="X252">IF(U252="",0,_xlfn.XLOOKUP(E252&amp;U252&amp;F252,tab_act&amp;tab_mod&amp;tab_act1,tab_mc)*V252*T252/MGMT)</f>
        <v>0</v>
      </c>
      <c r="Y252" s="42" cm="1">
        <f t="array" ref="Y252">IF(U252="",0,_xlfn.XLOOKUP(E252&amp;U252&amp;F252,tab_act&amp;tab_mod&amp;tab_act1,tab_sor)*V252*T252/MGMT)</f>
        <v>0</v>
      </c>
      <c r="Z252" s="42" cm="1">
        <f t="array" ref="Z252">IF(U252="",0,_xlfn.XLOOKUP(E252&amp;U252&amp;F252,tab_act&amp;tab_mod&amp;tab_act1,tab_mg)*V252*T252/MGMT)</f>
        <v>0</v>
      </c>
      <c r="AA252" s="46" cm="1">
        <f t="array" ref="AA252">IF(U252="",0,IF(U252="hybrid-Sch",_xlfn.XLOOKUP(E252&amp;U252&amp;F252,tab_act&amp;tab_mod&amp;tab_act1,tab_ls)*SchLS*T252/MGMT,_xlfn.XLOOKUP(E252&amp;U252&amp;F252,tab_act&amp;tab_mod&amp;tab_act1,tab_ls)*V252*T252/MGMT))</f>
        <v>0</v>
      </c>
      <c r="AB252" s="46" cm="1">
        <f t="array" ref="AB252">IF(U252="",0,_xlfn.XLOOKUP(E252&amp;U252&amp;F252,tab_act&amp;tab_mod&amp;tab_act1,tab_hu)*V252*T252/MGMT)</f>
        <v>9.1740000000000002E-2</v>
      </c>
      <c r="AC252" s="46" cm="1">
        <f t="array" ref="AC252">IF(U252="",0,_xlfn.XLOOKUP(E252&amp;U252&amp;F252,tab_act&amp;tab_mod&amp;tab_act1,tab_mnp)*V252*T252/MGMT)</f>
        <v>0</v>
      </c>
      <c r="AD252" s="46" cm="1">
        <f t="array" ref="AD252">IF(U252="",0,_xlfn.XLOOKUP(E252&amp;U252&amp;F252,tab_act&amp;tab_mod&amp;tab_act1,tab_Psup)*V252*T252/MGMT)</f>
        <v>0</v>
      </c>
      <c r="AE252" s="110" cm="1">
        <f t="array" ref="AE252">IF(U252="",0,_xlfn.XLOOKUP(E252&amp;U252&amp;F252,tab_act&amp;tab_mod&amp;tab_act1,tab_csb1)*V252*T252/MGMT)</f>
        <v>0.84859499999999999</v>
      </c>
      <c r="AF252" s="110" cm="1">
        <f t="array" ref="AF252">IF(U252="",0,_xlfn.XLOOKUP(E252&amp;U252&amp;F252,tab_act&amp;tab_mod&amp;tab_act1,tab_csb2)*V252*T252/MGMT)</f>
        <v>6.8805000000000005E-2</v>
      </c>
      <c r="AG252" s="46" cm="1">
        <f t="array" ref="AG252">IF(U252="",0,_xlfn.XLOOKUP(E252&amp;U252&amp;F252,tab_act&amp;tab_mod&amp;tab_act1,tab_pdoz)*V252*T252/MGMT)</f>
        <v>0</v>
      </c>
      <c r="AH252" s="46" cm="1">
        <f t="array" ref="AH252">IF(U252="",0,_xlfn.XLOOKUP(E252&amp;U252&amp;F252,tab_act&amp;tab_mod&amp;tab_act1,tab_lns)*V252*T252/MGMT)</f>
        <v>0</v>
      </c>
      <c r="AI252" s="47">
        <f t="shared" si="21"/>
        <v>1.0091399999999999</v>
      </c>
      <c r="AJ252" s="48" cm="1">
        <f t="array" ref="AJ252">IF(U252="",0,_xlfn.XLOOKUP(E252&amp;U252&amp;F252,tab_act&amp;tab_mod&amp;tab_act1,tab_cash)*T252)</f>
        <v>0</v>
      </c>
      <c r="AK252" s="134" cm="1">
        <f t="array" ref="AK252">IF(B252="",0,IF(C252="",0,AJ252/_xlfn.XLOOKUP(B252&amp;C252,RMth&amp;RYr,RAr)))</f>
        <v>0</v>
      </c>
      <c r="AN252" s="146" t="str">
        <f t="shared" si="22"/>
        <v>A</v>
      </c>
    </row>
    <row r="253" spans="2:40" x14ac:dyDescent="0.35">
      <c r="B253" s="132" t="s">
        <v>128</v>
      </c>
      <c r="C253" s="44">
        <v>2023</v>
      </c>
      <c r="D253" s="44" t="s">
        <v>100</v>
      </c>
      <c r="E253" s="15" t="s">
        <v>39</v>
      </c>
      <c r="F253" s="99" t="s">
        <v>244</v>
      </c>
      <c r="G253" s="15" t="s">
        <v>159</v>
      </c>
      <c r="H253" s="44"/>
      <c r="I253" s="15" t="s">
        <v>94</v>
      </c>
      <c r="J253" s="15" t="s">
        <v>94</v>
      </c>
      <c r="K253" s="15" t="s">
        <v>160</v>
      </c>
      <c r="L253" s="15" t="s">
        <v>95</v>
      </c>
      <c r="M253" s="15" t="s">
        <v>94</v>
      </c>
      <c r="N253" s="15" t="s">
        <v>67</v>
      </c>
      <c r="O253" s="15" t="s">
        <v>161</v>
      </c>
      <c r="P253" s="15" t="s">
        <v>175</v>
      </c>
      <c r="Q253" s="42"/>
      <c r="R253" s="42">
        <v>187</v>
      </c>
      <c r="S253" s="42">
        <v>187</v>
      </c>
      <c r="T253" s="43">
        <v>187</v>
      </c>
      <c r="U253" s="44" t="s">
        <v>41</v>
      </c>
      <c r="V253" s="153">
        <v>30</v>
      </c>
      <c r="W253" s="45" cm="1">
        <f t="array" ref="W253">IF(U253="",0,_xlfn.XLOOKUP(E253&amp;U253&amp;F253,tab_act&amp;tab_mod&amp;tab_act1,tab_riz)*V253*T253/MGMT)</f>
        <v>0</v>
      </c>
      <c r="X253" s="42" cm="1">
        <f t="array" ref="X253">IF(U253="",0,_xlfn.XLOOKUP(E253&amp;U253&amp;F253,tab_act&amp;tab_mod&amp;tab_act1,tab_mc)*V253*T253/MGMT)</f>
        <v>0</v>
      </c>
      <c r="Y253" s="42" cm="1">
        <f t="array" ref="Y253">IF(U253="",0,_xlfn.XLOOKUP(E253&amp;U253&amp;F253,tab_act&amp;tab_mod&amp;tab_act1,tab_sor)*V253*T253/MGMT)</f>
        <v>0</v>
      </c>
      <c r="Z253" s="42" cm="1">
        <f t="array" ref="Z253">IF(U253="",0,_xlfn.XLOOKUP(E253&amp;U253&amp;F253,tab_act&amp;tab_mod&amp;tab_act1,tab_mg)*V253*T253/MGMT)</f>
        <v>0</v>
      </c>
      <c r="AA253" s="46" cm="1">
        <f t="array" ref="AA253">IF(U253="",0,IF(U253="hybrid-Sch",_xlfn.XLOOKUP(E253&amp;U253&amp;F253,tab_act&amp;tab_mod&amp;tab_act1,tab_ls)*SchLS*T253/MGMT,_xlfn.XLOOKUP(E253&amp;U253&amp;F253,tab_act&amp;tab_mod&amp;tab_act1,tab_ls)*V253*T253/MGMT))</f>
        <v>0</v>
      </c>
      <c r="AB253" s="46" cm="1">
        <f t="array" ref="AB253">IF(U253="",0,_xlfn.XLOOKUP(E253&amp;U253&amp;F253,tab_act&amp;tab_mod&amp;tab_act1,tab_hu)*V253*T253/MGMT)</f>
        <v>0.11219999999999999</v>
      </c>
      <c r="AC253" s="46" cm="1">
        <f t="array" ref="AC253">IF(U253="",0,_xlfn.XLOOKUP(E253&amp;U253&amp;F253,tab_act&amp;tab_mod&amp;tab_act1,tab_mnp)*V253*T253/MGMT)</f>
        <v>0</v>
      </c>
      <c r="AD253" s="46" cm="1">
        <f t="array" ref="AD253">IF(U253="",0,_xlfn.XLOOKUP(E253&amp;U253&amp;F253,tab_act&amp;tab_mod&amp;tab_act1,tab_Psup)*V253*T253/MGMT)</f>
        <v>0</v>
      </c>
      <c r="AE253" s="110" cm="1">
        <f t="array" ref="AE253">IF(U253="",0,_xlfn.XLOOKUP(E253&amp;U253&amp;F253,tab_act&amp;tab_mod&amp;tab_act1,tab_csb1)*V253*T253/MGMT)</f>
        <v>1.0378499999999999</v>
      </c>
      <c r="AF253" s="110" cm="1">
        <f t="array" ref="AF253">IF(U253="",0,_xlfn.XLOOKUP(E253&amp;U253&amp;F253,tab_act&amp;tab_mod&amp;tab_act1,tab_csb2)*V253*T253/MGMT)</f>
        <v>8.4150000000000003E-2</v>
      </c>
      <c r="AG253" s="46" cm="1">
        <f t="array" ref="AG253">IF(U253="",0,_xlfn.XLOOKUP(E253&amp;U253&amp;F253,tab_act&amp;tab_mod&amp;tab_act1,tab_pdoz)*V253*T253/MGMT)</f>
        <v>0</v>
      </c>
      <c r="AH253" s="46" cm="1">
        <f t="array" ref="AH253">IF(U253="",0,_xlfn.XLOOKUP(E253&amp;U253&amp;F253,tab_act&amp;tab_mod&amp;tab_act1,tab_lns)*V253*T253/MGMT)</f>
        <v>0</v>
      </c>
      <c r="AI253" s="47">
        <f t="shared" si="21"/>
        <v>1.2342</v>
      </c>
      <c r="AJ253" s="48" cm="1">
        <f t="array" ref="AJ253">IF(U253="",0,_xlfn.XLOOKUP(E253&amp;U253&amp;F253,tab_act&amp;tab_mod&amp;tab_act1,tab_cash)*T253)</f>
        <v>0</v>
      </c>
      <c r="AK253" s="134" cm="1">
        <f t="array" ref="AK253">IF(B253="",0,IF(C253="",0,AJ253/_xlfn.XLOOKUP(B253&amp;C253,RMth&amp;RYr,RAr)))</f>
        <v>0</v>
      </c>
      <c r="AN253" s="146" t="str">
        <f t="shared" si="22"/>
        <v>A</v>
      </c>
    </row>
    <row r="254" spans="2:40" x14ac:dyDescent="0.35">
      <c r="B254" s="132" t="s">
        <v>128</v>
      </c>
      <c r="C254" s="44">
        <v>2023</v>
      </c>
      <c r="D254" s="44" t="s">
        <v>100</v>
      </c>
      <c r="E254" s="15" t="s">
        <v>39</v>
      </c>
      <c r="F254" s="99" t="s">
        <v>244</v>
      </c>
      <c r="G254" s="15" t="s">
        <v>159</v>
      </c>
      <c r="H254" s="44"/>
      <c r="I254" s="15" t="s">
        <v>94</v>
      </c>
      <c r="J254" s="15" t="s">
        <v>94</v>
      </c>
      <c r="K254" s="15" t="s">
        <v>160</v>
      </c>
      <c r="L254" s="15" t="s">
        <v>95</v>
      </c>
      <c r="M254" s="15" t="s">
        <v>94</v>
      </c>
      <c r="N254" s="15" t="s">
        <v>67</v>
      </c>
      <c r="O254" s="15" t="s">
        <v>161</v>
      </c>
      <c r="P254" s="15" t="s">
        <v>176</v>
      </c>
      <c r="Q254" s="42"/>
      <c r="R254" s="42">
        <v>60.5</v>
      </c>
      <c r="S254" s="42">
        <v>60.5</v>
      </c>
      <c r="T254" s="43">
        <v>60.5</v>
      </c>
      <c r="U254" s="44" t="s">
        <v>41</v>
      </c>
      <c r="V254" s="153">
        <v>30</v>
      </c>
      <c r="W254" s="45" cm="1">
        <f t="array" ref="W254">IF(U254="",0,_xlfn.XLOOKUP(E254&amp;U254&amp;F254,tab_act&amp;tab_mod&amp;tab_act1,tab_riz)*V254*T254/MGMT)</f>
        <v>0</v>
      </c>
      <c r="X254" s="42" cm="1">
        <f t="array" ref="X254">IF(U254="",0,_xlfn.XLOOKUP(E254&amp;U254&amp;F254,tab_act&amp;tab_mod&amp;tab_act1,tab_mc)*V254*T254/MGMT)</f>
        <v>0</v>
      </c>
      <c r="Y254" s="42" cm="1">
        <f t="array" ref="Y254">IF(U254="",0,_xlfn.XLOOKUP(E254&amp;U254&amp;F254,tab_act&amp;tab_mod&amp;tab_act1,tab_sor)*V254*T254/MGMT)</f>
        <v>0</v>
      </c>
      <c r="Z254" s="42" cm="1">
        <f t="array" ref="Z254">IF(U254="",0,_xlfn.XLOOKUP(E254&amp;U254&amp;F254,tab_act&amp;tab_mod&amp;tab_act1,tab_mg)*V254*T254/MGMT)</f>
        <v>0</v>
      </c>
      <c r="AA254" s="46" cm="1">
        <f t="array" ref="AA254">IF(U254="",0,IF(U254="hybrid-Sch",_xlfn.XLOOKUP(E254&amp;U254&amp;F254,tab_act&amp;tab_mod&amp;tab_act1,tab_ls)*SchLS*T254/MGMT,_xlfn.XLOOKUP(E254&amp;U254&amp;F254,tab_act&amp;tab_mod&amp;tab_act1,tab_ls)*V254*T254/MGMT))</f>
        <v>0</v>
      </c>
      <c r="AB254" s="46" cm="1">
        <f t="array" ref="AB254">IF(U254="",0,_xlfn.XLOOKUP(E254&amp;U254&amp;F254,tab_act&amp;tab_mod&amp;tab_act1,tab_hu)*V254*T254/MGMT)</f>
        <v>3.6299999999999999E-2</v>
      </c>
      <c r="AC254" s="46" cm="1">
        <f t="array" ref="AC254">IF(U254="",0,_xlfn.XLOOKUP(E254&amp;U254&amp;F254,tab_act&amp;tab_mod&amp;tab_act1,tab_mnp)*V254*T254/MGMT)</f>
        <v>0</v>
      </c>
      <c r="AD254" s="46" cm="1">
        <f t="array" ref="AD254">IF(U254="",0,_xlfn.XLOOKUP(E254&amp;U254&amp;F254,tab_act&amp;tab_mod&amp;tab_act1,tab_Psup)*V254*T254/MGMT)</f>
        <v>0</v>
      </c>
      <c r="AE254" s="110" cm="1">
        <f t="array" ref="AE254">IF(U254="",0,_xlfn.XLOOKUP(E254&amp;U254&amp;F254,tab_act&amp;tab_mod&amp;tab_act1,tab_csb1)*V254*T254/MGMT)</f>
        <v>0.33577499999999999</v>
      </c>
      <c r="AF254" s="110" cm="1">
        <f t="array" ref="AF254">IF(U254="",0,_xlfn.XLOOKUP(E254&amp;U254&amp;F254,tab_act&amp;tab_mod&amp;tab_act1,tab_csb2)*V254*T254/MGMT)</f>
        <v>2.7224999999999999E-2</v>
      </c>
      <c r="AG254" s="46" cm="1">
        <f t="array" ref="AG254">IF(U254="",0,_xlfn.XLOOKUP(E254&amp;U254&amp;F254,tab_act&amp;tab_mod&amp;tab_act1,tab_pdoz)*V254*T254/MGMT)</f>
        <v>0</v>
      </c>
      <c r="AH254" s="46" cm="1">
        <f t="array" ref="AH254">IF(U254="",0,_xlfn.XLOOKUP(E254&amp;U254&amp;F254,tab_act&amp;tab_mod&amp;tab_act1,tab_lns)*V254*T254/MGMT)</f>
        <v>0</v>
      </c>
      <c r="AI254" s="47">
        <f t="shared" si="21"/>
        <v>0.39929999999999999</v>
      </c>
      <c r="AJ254" s="48" cm="1">
        <f t="array" ref="AJ254">IF(U254="",0,_xlfn.XLOOKUP(E254&amp;U254&amp;F254,tab_act&amp;tab_mod&amp;tab_act1,tab_cash)*T254)</f>
        <v>0</v>
      </c>
      <c r="AK254" s="134" cm="1">
        <f t="array" ref="AK254">IF(B254="",0,IF(C254="",0,AJ254/_xlfn.XLOOKUP(B254&amp;C254,RMth&amp;RYr,RAr)))</f>
        <v>0</v>
      </c>
      <c r="AN254" s="146" t="str">
        <f t="shared" si="22"/>
        <v>A</v>
      </c>
    </row>
    <row r="255" spans="2:40" x14ac:dyDescent="0.35">
      <c r="B255" s="132" t="s">
        <v>128</v>
      </c>
      <c r="C255" s="44">
        <v>2023</v>
      </c>
      <c r="D255" s="44" t="s">
        <v>100</v>
      </c>
      <c r="E255" s="15" t="s">
        <v>39</v>
      </c>
      <c r="F255" s="99" t="s">
        <v>244</v>
      </c>
      <c r="G255" s="15" t="s">
        <v>159</v>
      </c>
      <c r="H255" s="44"/>
      <c r="I255" s="15" t="s">
        <v>94</v>
      </c>
      <c r="J255" s="15" t="s">
        <v>94</v>
      </c>
      <c r="K255" s="15" t="s">
        <v>160</v>
      </c>
      <c r="L255" s="15" t="s">
        <v>95</v>
      </c>
      <c r="M255" s="15" t="s">
        <v>94</v>
      </c>
      <c r="N255" s="15" t="s">
        <v>67</v>
      </c>
      <c r="O255" s="15" t="s">
        <v>161</v>
      </c>
      <c r="P255" s="15" t="s">
        <v>177</v>
      </c>
      <c r="Q255" s="42"/>
      <c r="R255" s="42">
        <v>133.1</v>
      </c>
      <c r="S255" s="42">
        <v>133.1</v>
      </c>
      <c r="T255" s="43">
        <v>133.1</v>
      </c>
      <c r="U255" s="44" t="s">
        <v>41</v>
      </c>
      <c r="V255" s="153">
        <v>30</v>
      </c>
      <c r="W255" s="45" cm="1">
        <f t="array" ref="W255">IF(U255="",0,_xlfn.XLOOKUP(E255&amp;U255&amp;F255,tab_act&amp;tab_mod&amp;tab_act1,tab_riz)*V255*T255/MGMT)</f>
        <v>0</v>
      </c>
      <c r="X255" s="42" cm="1">
        <f t="array" ref="X255">IF(U255="",0,_xlfn.XLOOKUP(E255&amp;U255&amp;F255,tab_act&amp;tab_mod&amp;tab_act1,tab_mc)*V255*T255/MGMT)</f>
        <v>0</v>
      </c>
      <c r="Y255" s="42" cm="1">
        <f t="array" ref="Y255">IF(U255="",0,_xlfn.XLOOKUP(E255&amp;U255&amp;F255,tab_act&amp;tab_mod&amp;tab_act1,tab_sor)*V255*T255/MGMT)</f>
        <v>0</v>
      </c>
      <c r="Z255" s="42" cm="1">
        <f t="array" ref="Z255">IF(U255="",0,_xlfn.XLOOKUP(E255&amp;U255&amp;F255,tab_act&amp;tab_mod&amp;tab_act1,tab_mg)*V255*T255/MGMT)</f>
        <v>0</v>
      </c>
      <c r="AA255" s="46" cm="1">
        <f t="array" ref="AA255">IF(U255="",0,IF(U255="hybrid-Sch",_xlfn.XLOOKUP(E255&amp;U255&amp;F255,tab_act&amp;tab_mod&amp;tab_act1,tab_ls)*SchLS*T255/MGMT,_xlfn.XLOOKUP(E255&amp;U255&amp;F255,tab_act&amp;tab_mod&amp;tab_act1,tab_ls)*V255*T255/MGMT))</f>
        <v>0</v>
      </c>
      <c r="AB255" s="46" cm="1">
        <f t="array" ref="AB255">IF(U255="",0,_xlfn.XLOOKUP(E255&amp;U255&amp;F255,tab_act&amp;tab_mod&amp;tab_act1,tab_hu)*V255*T255/MGMT)</f>
        <v>7.986E-2</v>
      </c>
      <c r="AC255" s="46" cm="1">
        <f t="array" ref="AC255">IF(U255="",0,_xlfn.XLOOKUP(E255&amp;U255&amp;F255,tab_act&amp;tab_mod&amp;tab_act1,tab_mnp)*V255*T255/MGMT)</f>
        <v>0</v>
      </c>
      <c r="AD255" s="46" cm="1">
        <f t="array" ref="AD255">IF(U255="",0,_xlfn.XLOOKUP(E255&amp;U255&amp;F255,tab_act&amp;tab_mod&amp;tab_act1,tab_Psup)*V255*T255/MGMT)</f>
        <v>0</v>
      </c>
      <c r="AE255" s="110" cm="1">
        <f t="array" ref="AE255">IF(U255="",0,_xlfn.XLOOKUP(E255&amp;U255&amp;F255,tab_act&amp;tab_mod&amp;tab_act1,tab_csb1)*V255*T255/MGMT)</f>
        <v>0.73870499999999995</v>
      </c>
      <c r="AF255" s="110" cm="1">
        <f t="array" ref="AF255">IF(U255="",0,_xlfn.XLOOKUP(E255&amp;U255&amp;F255,tab_act&amp;tab_mod&amp;tab_act1,tab_csb2)*V255*T255/MGMT)</f>
        <v>5.9894999999999997E-2</v>
      </c>
      <c r="AG255" s="46" cm="1">
        <f t="array" ref="AG255">IF(U255="",0,_xlfn.XLOOKUP(E255&amp;U255&amp;F255,tab_act&amp;tab_mod&amp;tab_act1,tab_pdoz)*V255*T255/MGMT)</f>
        <v>0</v>
      </c>
      <c r="AH255" s="46" cm="1">
        <f t="array" ref="AH255">IF(U255="",0,_xlfn.XLOOKUP(E255&amp;U255&amp;F255,tab_act&amp;tab_mod&amp;tab_act1,tab_lns)*V255*T255/MGMT)</f>
        <v>0</v>
      </c>
      <c r="AI255" s="47">
        <f t="shared" si="21"/>
        <v>0.87846000000000002</v>
      </c>
      <c r="AJ255" s="48" cm="1">
        <f t="array" ref="AJ255">IF(U255="",0,_xlfn.XLOOKUP(E255&amp;U255&amp;F255,tab_act&amp;tab_mod&amp;tab_act1,tab_cash)*T255)</f>
        <v>0</v>
      </c>
      <c r="AK255" s="134" cm="1">
        <f t="array" ref="AK255">IF(B255="",0,IF(C255="",0,AJ255/_xlfn.XLOOKUP(B255&amp;C255,RMth&amp;RYr,RAr)))</f>
        <v>0</v>
      </c>
      <c r="AN255" s="146" t="str">
        <f t="shared" si="22"/>
        <v>A</v>
      </c>
    </row>
    <row r="256" spans="2:40" x14ac:dyDescent="0.35">
      <c r="B256" s="132" t="s">
        <v>128</v>
      </c>
      <c r="C256" s="44">
        <v>2023</v>
      </c>
      <c r="D256" s="44" t="s">
        <v>100</v>
      </c>
      <c r="E256" s="15" t="s">
        <v>39</v>
      </c>
      <c r="F256" s="99" t="s">
        <v>244</v>
      </c>
      <c r="G256" s="15" t="s">
        <v>159</v>
      </c>
      <c r="H256" s="44"/>
      <c r="I256" s="15" t="s">
        <v>94</v>
      </c>
      <c r="J256" s="15" t="s">
        <v>94</v>
      </c>
      <c r="K256" s="15" t="s">
        <v>160</v>
      </c>
      <c r="L256" s="15" t="s">
        <v>95</v>
      </c>
      <c r="M256" s="15" t="s">
        <v>94</v>
      </c>
      <c r="N256" s="15" t="s">
        <v>67</v>
      </c>
      <c r="O256" s="15" t="s">
        <v>161</v>
      </c>
      <c r="P256" s="15" t="s">
        <v>178</v>
      </c>
      <c r="Q256" s="42"/>
      <c r="R256" s="42">
        <v>225.5</v>
      </c>
      <c r="S256" s="42">
        <v>225.5</v>
      </c>
      <c r="T256" s="43">
        <v>225.5</v>
      </c>
      <c r="U256" s="44" t="s">
        <v>41</v>
      </c>
      <c r="V256" s="153">
        <v>30</v>
      </c>
      <c r="W256" s="45" cm="1">
        <f t="array" ref="W256">IF(U256="",0,_xlfn.XLOOKUP(E256&amp;U256&amp;F256,tab_act&amp;tab_mod&amp;tab_act1,tab_riz)*V256*T256/MGMT)</f>
        <v>0</v>
      </c>
      <c r="X256" s="42" cm="1">
        <f t="array" ref="X256">IF(U256="",0,_xlfn.XLOOKUP(E256&amp;U256&amp;F256,tab_act&amp;tab_mod&amp;tab_act1,tab_mc)*V256*T256/MGMT)</f>
        <v>0</v>
      </c>
      <c r="Y256" s="42" cm="1">
        <f t="array" ref="Y256">IF(U256="",0,_xlfn.XLOOKUP(E256&amp;U256&amp;F256,tab_act&amp;tab_mod&amp;tab_act1,tab_sor)*V256*T256/MGMT)</f>
        <v>0</v>
      </c>
      <c r="Z256" s="42" cm="1">
        <f t="array" ref="Z256">IF(U256="",0,_xlfn.XLOOKUP(E256&amp;U256&amp;F256,tab_act&amp;tab_mod&amp;tab_act1,tab_mg)*V256*T256/MGMT)</f>
        <v>0</v>
      </c>
      <c r="AA256" s="46" cm="1">
        <f t="array" ref="AA256">IF(U256="",0,IF(U256="hybrid-Sch",_xlfn.XLOOKUP(E256&amp;U256&amp;F256,tab_act&amp;tab_mod&amp;tab_act1,tab_ls)*SchLS*T256/MGMT,_xlfn.XLOOKUP(E256&amp;U256&amp;F256,tab_act&amp;tab_mod&amp;tab_act1,tab_ls)*V256*T256/MGMT))</f>
        <v>0</v>
      </c>
      <c r="AB256" s="46" cm="1">
        <f t="array" ref="AB256">IF(U256="",0,_xlfn.XLOOKUP(E256&amp;U256&amp;F256,tab_act&amp;tab_mod&amp;tab_act1,tab_hu)*V256*T256/MGMT)</f>
        <v>0.1353</v>
      </c>
      <c r="AC256" s="46" cm="1">
        <f t="array" ref="AC256">IF(U256="",0,_xlfn.XLOOKUP(E256&amp;U256&amp;F256,tab_act&amp;tab_mod&amp;tab_act1,tab_mnp)*V256*T256/MGMT)</f>
        <v>0</v>
      </c>
      <c r="AD256" s="46" cm="1">
        <f t="array" ref="AD256">IF(U256="",0,_xlfn.XLOOKUP(E256&amp;U256&amp;F256,tab_act&amp;tab_mod&amp;tab_act1,tab_Psup)*V256*T256/MGMT)</f>
        <v>0</v>
      </c>
      <c r="AE256" s="110" cm="1">
        <f t="array" ref="AE256">IF(U256="",0,_xlfn.XLOOKUP(E256&amp;U256&amp;F256,tab_act&amp;tab_mod&amp;tab_act1,tab_csb1)*V256*T256/MGMT)</f>
        <v>1.251525</v>
      </c>
      <c r="AF256" s="110" cm="1">
        <f t="array" ref="AF256">IF(U256="",0,_xlfn.XLOOKUP(E256&amp;U256&amp;F256,tab_act&amp;tab_mod&amp;tab_act1,tab_csb2)*V256*T256/MGMT)</f>
        <v>0.101475</v>
      </c>
      <c r="AG256" s="46" cm="1">
        <f t="array" ref="AG256">IF(U256="",0,_xlfn.XLOOKUP(E256&amp;U256&amp;F256,tab_act&amp;tab_mod&amp;tab_act1,tab_pdoz)*V256*T256/MGMT)</f>
        <v>0</v>
      </c>
      <c r="AH256" s="46" cm="1">
        <f t="array" ref="AH256">IF(U256="",0,_xlfn.XLOOKUP(E256&amp;U256&amp;F256,tab_act&amp;tab_mod&amp;tab_act1,tab_lns)*V256*T256/MGMT)</f>
        <v>0</v>
      </c>
      <c r="AI256" s="47">
        <f t="shared" si="21"/>
        <v>1.4883</v>
      </c>
      <c r="AJ256" s="48" cm="1">
        <f t="array" ref="AJ256">IF(U256="",0,_xlfn.XLOOKUP(E256&amp;U256&amp;F256,tab_act&amp;tab_mod&amp;tab_act1,tab_cash)*T256)</f>
        <v>0</v>
      </c>
      <c r="AK256" s="134" cm="1">
        <f t="array" ref="AK256">IF(B256="",0,IF(C256="",0,AJ256/_xlfn.XLOOKUP(B256&amp;C256,RMth&amp;RYr,RAr)))</f>
        <v>0</v>
      </c>
      <c r="AN256" s="146" t="str">
        <f t="shared" si="22"/>
        <v>A</v>
      </c>
    </row>
    <row r="257" spans="2:40" x14ac:dyDescent="0.35">
      <c r="B257" s="132" t="s">
        <v>128</v>
      </c>
      <c r="C257" s="44">
        <v>2023</v>
      </c>
      <c r="D257" s="44" t="s">
        <v>100</v>
      </c>
      <c r="E257" s="15" t="s">
        <v>39</v>
      </c>
      <c r="F257" s="99" t="s">
        <v>244</v>
      </c>
      <c r="G257" s="15" t="s">
        <v>159</v>
      </c>
      <c r="H257" s="44"/>
      <c r="I257" s="15" t="s">
        <v>94</v>
      </c>
      <c r="J257" s="15" t="s">
        <v>94</v>
      </c>
      <c r="K257" s="15" t="s">
        <v>160</v>
      </c>
      <c r="L257" s="15" t="s">
        <v>95</v>
      </c>
      <c r="M257" s="15" t="s">
        <v>94</v>
      </c>
      <c r="N257" s="15" t="s">
        <v>67</v>
      </c>
      <c r="O257" s="15" t="s">
        <v>161</v>
      </c>
      <c r="P257" s="15" t="s">
        <v>179</v>
      </c>
      <c r="Q257" s="42"/>
      <c r="R257" s="42">
        <v>93.5</v>
      </c>
      <c r="S257" s="42">
        <v>93.5</v>
      </c>
      <c r="T257" s="43">
        <v>93.5</v>
      </c>
      <c r="U257" s="44" t="s">
        <v>41</v>
      </c>
      <c r="V257" s="153">
        <v>30</v>
      </c>
      <c r="W257" s="45" cm="1">
        <f t="array" ref="W257">IF(U257="",0,_xlfn.XLOOKUP(E257&amp;U257&amp;F257,tab_act&amp;tab_mod&amp;tab_act1,tab_riz)*V257*T257/MGMT)</f>
        <v>0</v>
      </c>
      <c r="X257" s="42" cm="1">
        <f t="array" ref="X257">IF(U257="",0,_xlfn.XLOOKUP(E257&amp;U257&amp;F257,tab_act&amp;tab_mod&amp;tab_act1,tab_mc)*V257*T257/MGMT)</f>
        <v>0</v>
      </c>
      <c r="Y257" s="42" cm="1">
        <f t="array" ref="Y257">IF(U257="",0,_xlfn.XLOOKUP(E257&amp;U257&amp;F257,tab_act&amp;tab_mod&amp;tab_act1,tab_sor)*V257*T257/MGMT)</f>
        <v>0</v>
      </c>
      <c r="Z257" s="42" cm="1">
        <f t="array" ref="Z257">IF(U257="",0,_xlfn.XLOOKUP(E257&amp;U257&amp;F257,tab_act&amp;tab_mod&amp;tab_act1,tab_mg)*V257*T257/MGMT)</f>
        <v>0</v>
      </c>
      <c r="AA257" s="46" cm="1">
        <f t="array" ref="AA257">IF(U257="",0,IF(U257="hybrid-Sch",_xlfn.XLOOKUP(E257&amp;U257&amp;F257,tab_act&amp;tab_mod&amp;tab_act1,tab_ls)*SchLS*T257/MGMT,_xlfn.XLOOKUP(E257&amp;U257&amp;F257,tab_act&amp;tab_mod&amp;tab_act1,tab_ls)*V257*T257/MGMT))</f>
        <v>0</v>
      </c>
      <c r="AB257" s="46" cm="1">
        <f t="array" ref="AB257">IF(U257="",0,_xlfn.XLOOKUP(E257&amp;U257&amp;F257,tab_act&amp;tab_mod&amp;tab_act1,tab_hu)*V257*T257/MGMT)</f>
        <v>5.6099999999999997E-2</v>
      </c>
      <c r="AC257" s="46" cm="1">
        <f t="array" ref="AC257">IF(U257="",0,_xlfn.XLOOKUP(E257&amp;U257&amp;F257,tab_act&amp;tab_mod&amp;tab_act1,tab_mnp)*V257*T257/MGMT)</f>
        <v>0</v>
      </c>
      <c r="AD257" s="46" cm="1">
        <f t="array" ref="AD257">IF(U257="",0,_xlfn.XLOOKUP(E257&amp;U257&amp;F257,tab_act&amp;tab_mod&amp;tab_act1,tab_Psup)*V257*T257/MGMT)</f>
        <v>0</v>
      </c>
      <c r="AE257" s="110" cm="1">
        <f t="array" ref="AE257">IF(U257="",0,_xlfn.XLOOKUP(E257&amp;U257&amp;F257,tab_act&amp;tab_mod&amp;tab_act1,tab_csb1)*V257*T257/MGMT)</f>
        <v>0.51892499999999997</v>
      </c>
      <c r="AF257" s="110" cm="1">
        <f t="array" ref="AF257">IF(U257="",0,_xlfn.XLOOKUP(E257&amp;U257&amp;F257,tab_act&amp;tab_mod&amp;tab_act1,tab_csb2)*V257*T257/MGMT)</f>
        <v>4.2075000000000001E-2</v>
      </c>
      <c r="AG257" s="46" cm="1">
        <f t="array" ref="AG257">IF(U257="",0,_xlfn.XLOOKUP(E257&amp;U257&amp;F257,tab_act&amp;tab_mod&amp;tab_act1,tab_pdoz)*V257*T257/MGMT)</f>
        <v>0</v>
      </c>
      <c r="AH257" s="46" cm="1">
        <f t="array" ref="AH257">IF(U257="",0,_xlfn.XLOOKUP(E257&amp;U257&amp;F257,tab_act&amp;tab_mod&amp;tab_act1,tab_lns)*V257*T257/MGMT)</f>
        <v>0</v>
      </c>
      <c r="AI257" s="47">
        <f t="shared" si="21"/>
        <v>0.61709999999999998</v>
      </c>
      <c r="AJ257" s="48" cm="1">
        <f t="array" ref="AJ257">IF(U257="",0,_xlfn.XLOOKUP(E257&amp;U257&amp;F257,tab_act&amp;tab_mod&amp;tab_act1,tab_cash)*T257)</f>
        <v>0</v>
      </c>
      <c r="AK257" s="134" cm="1">
        <f t="array" ref="AK257">IF(B257="",0,IF(C257="",0,AJ257/_xlfn.XLOOKUP(B257&amp;C257,RMth&amp;RYr,RAr)))</f>
        <v>0</v>
      </c>
      <c r="AN257" s="146" t="str">
        <f t="shared" si="22"/>
        <v>A</v>
      </c>
    </row>
    <row r="258" spans="2:40" x14ac:dyDescent="0.35">
      <c r="B258" s="132" t="s">
        <v>128</v>
      </c>
      <c r="C258" s="44">
        <v>2023</v>
      </c>
      <c r="D258" s="44" t="s">
        <v>100</v>
      </c>
      <c r="E258" s="15" t="s">
        <v>39</v>
      </c>
      <c r="F258" s="108" t="s">
        <v>22</v>
      </c>
      <c r="G258" s="15" t="s">
        <v>159</v>
      </c>
      <c r="H258" s="44"/>
      <c r="I258" s="15" t="s">
        <v>213</v>
      </c>
      <c r="J258" s="15" t="s">
        <v>91</v>
      </c>
      <c r="K258" s="15" t="s">
        <v>97</v>
      </c>
      <c r="L258" s="15" t="s">
        <v>212</v>
      </c>
      <c r="M258" s="15" t="s">
        <v>158</v>
      </c>
      <c r="N258" s="15" t="s">
        <v>68</v>
      </c>
      <c r="O258" s="15" t="s">
        <v>152</v>
      </c>
      <c r="P258" s="15" t="s">
        <v>214</v>
      </c>
      <c r="Q258" s="42"/>
      <c r="R258" s="42"/>
      <c r="S258" s="42">
        <v>732</v>
      </c>
      <c r="T258" s="43">
        <v>732</v>
      </c>
      <c r="U258" s="44" t="s">
        <v>41</v>
      </c>
      <c r="V258" s="153">
        <v>30</v>
      </c>
      <c r="W258" s="45" cm="1">
        <f t="array" ref="W258">IF(U258="",0,_xlfn.XLOOKUP(E258&amp;U258&amp;F258,tab_act&amp;tab_mod&amp;tab_act1,tab_riz)*V258*T258/MGMT)</f>
        <v>0</v>
      </c>
      <c r="X258" s="42" cm="1">
        <f t="array" ref="X258">IF(U258="",0,_xlfn.XLOOKUP(E258&amp;U258&amp;F258,tab_act&amp;tab_mod&amp;tab_act1,tab_mc)*V258*T258/MGMT)</f>
        <v>0</v>
      </c>
      <c r="Y258" s="42" cm="1">
        <f t="array" ref="Y258">IF(U258="",0,_xlfn.XLOOKUP(E258&amp;U258&amp;F258,tab_act&amp;tab_mod&amp;tab_act1,tab_sor)*V258*T258/MGMT)</f>
        <v>0</v>
      </c>
      <c r="Z258" s="42" cm="1">
        <f t="array" ref="Z258">IF(U258="",0,_xlfn.XLOOKUP(E258&amp;U258&amp;F258,tab_act&amp;tab_mod&amp;tab_act1,tab_mg)*V258*T258/MGMT)</f>
        <v>0</v>
      </c>
      <c r="AA258" s="46" cm="1">
        <f t="array" ref="AA258">IF(U258="",0,IF(U258="hybrid-Sch",_xlfn.XLOOKUP(E258&amp;U258&amp;F258,tab_act&amp;tab_mod&amp;tab_act1,tab_ls)*SchLS*T258/MGMT,_xlfn.XLOOKUP(E258&amp;U258&amp;F258,tab_act&amp;tab_mod&amp;tab_act1,tab_ls)*V258*T258/MGMT))</f>
        <v>0</v>
      </c>
      <c r="AB258" s="46" cm="1">
        <f t="array" ref="AB258">IF(U258="",0,_xlfn.XLOOKUP(E258&amp;U258&amp;F258,tab_act&amp;tab_mod&amp;tab_act1,tab_hu)*V258*T258/MGMT)</f>
        <v>0</v>
      </c>
      <c r="AC258" s="46" cm="1">
        <f t="array" ref="AC258">IF(U258="",0,_xlfn.XLOOKUP(E258&amp;U258&amp;F258,tab_act&amp;tab_mod&amp;tab_act1,tab_mnp)*V258*T258/MGMT)</f>
        <v>0</v>
      </c>
      <c r="AD258" s="46" cm="1">
        <f t="array" ref="AD258">IF(U258="",0,_xlfn.XLOOKUP(E258&amp;U258&amp;F258,tab_act&amp;tab_mod&amp;tab_act1,tab_Psup)*V258*T258/MGMT)</f>
        <v>0</v>
      </c>
      <c r="AE258" s="46" cm="1">
        <f t="array" ref="AE258">IF(U258="",0,_xlfn.XLOOKUP(E258&amp;U258&amp;F258,tab_act&amp;tab_mod&amp;tab_act1,tab_csb1)*V258*T258/MGMT)</f>
        <v>0</v>
      </c>
      <c r="AF258" s="46" cm="1">
        <f t="array" ref="AF258">IF(U258="",0,_xlfn.XLOOKUP(E258&amp;U258&amp;F258,tab_act&amp;tab_mod&amp;tab_act1,tab_csb2)*V258*T258/MGMT)</f>
        <v>0</v>
      </c>
      <c r="AG258" s="109" cm="1">
        <f t="array" ref="AG258">IF(U258="",0,_xlfn.XLOOKUP(E258&amp;U258&amp;F258,tab_act&amp;tab_mod&amp;tab_act1,tab_pdoz)*V258*T258/MGMT)</f>
        <v>1.0980000000000001</v>
      </c>
      <c r="AH258" s="46" cm="1">
        <f t="array" ref="AH258">IF(U258="",0,_xlfn.XLOOKUP(E258&amp;U258&amp;F258,tab_act&amp;tab_mod&amp;tab_act1,tab_lns)*V258*T258/MGMT)</f>
        <v>0</v>
      </c>
      <c r="AI258" s="47">
        <f t="shared" si="21"/>
        <v>1.0980000000000001</v>
      </c>
      <c r="AJ258" s="48" cm="1">
        <f t="array" ref="AJ258">IF(U258="",0,_xlfn.XLOOKUP(E258&amp;U258&amp;F258,tab_act&amp;tab_mod&amp;tab_act1,tab_cash)*T258)</f>
        <v>0</v>
      </c>
      <c r="AK258" s="134" cm="1">
        <f t="array" ref="AK258">IF(B258="",0,IF(C258="",0,AJ258/_xlfn.XLOOKUP(B258&amp;C258,RMth&amp;RYr,RAr)))</f>
        <v>0</v>
      </c>
      <c r="AN258" s="146" t="str">
        <f t="shared" si="22"/>
        <v>A</v>
      </c>
    </row>
    <row r="259" spans="2:40" x14ac:dyDescent="0.35">
      <c r="B259" s="132" t="s">
        <v>128</v>
      </c>
      <c r="C259" s="44">
        <v>2023</v>
      </c>
      <c r="D259" s="44" t="s">
        <v>100</v>
      </c>
      <c r="E259" s="15" t="s">
        <v>39</v>
      </c>
      <c r="F259" s="108" t="s">
        <v>22</v>
      </c>
      <c r="G259" s="15" t="s">
        <v>159</v>
      </c>
      <c r="H259" s="44"/>
      <c r="I259" s="15" t="s">
        <v>213</v>
      </c>
      <c r="J259" s="15" t="s">
        <v>91</v>
      </c>
      <c r="K259" s="15" t="s">
        <v>97</v>
      </c>
      <c r="L259" s="15" t="s">
        <v>212</v>
      </c>
      <c r="M259" s="15" t="s">
        <v>158</v>
      </c>
      <c r="N259" s="15" t="s">
        <v>68</v>
      </c>
      <c r="O259" s="15" t="s">
        <v>152</v>
      </c>
      <c r="P259" s="15" t="s">
        <v>215</v>
      </c>
      <c r="Q259" s="42"/>
      <c r="R259" s="42"/>
      <c r="S259" s="42">
        <v>300</v>
      </c>
      <c r="T259" s="43">
        <v>300</v>
      </c>
      <c r="U259" s="44" t="s">
        <v>41</v>
      </c>
      <c r="V259" s="153">
        <v>30</v>
      </c>
      <c r="W259" s="45" cm="1">
        <f t="array" ref="W259">IF(U259="",0,_xlfn.XLOOKUP(E259&amp;U259&amp;F259,tab_act&amp;tab_mod&amp;tab_act1,tab_riz)*V259*T259/MGMT)</f>
        <v>0</v>
      </c>
      <c r="X259" s="42" cm="1">
        <f t="array" ref="X259">IF(U259="",0,_xlfn.XLOOKUP(E259&amp;U259&amp;F259,tab_act&amp;tab_mod&amp;tab_act1,tab_mc)*V259*T259/MGMT)</f>
        <v>0</v>
      </c>
      <c r="Y259" s="42" cm="1">
        <f t="array" ref="Y259">IF(U259="",0,_xlfn.XLOOKUP(E259&amp;U259&amp;F259,tab_act&amp;tab_mod&amp;tab_act1,tab_sor)*V259*T259/MGMT)</f>
        <v>0</v>
      </c>
      <c r="Z259" s="42" cm="1">
        <f t="array" ref="Z259">IF(U259="",0,_xlfn.XLOOKUP(E259&amp;U259&amp;F259,tab_act&amp;tab_mod&amp;tab_act1,tab_mg)*V259*T259/MGMT)</f>
        <v>0</v>
      </c>
      <c r="AA259" s="46" cm="1">
        <f t="array" ref="AA259">IF(U259="",0,IF(U259="hybrid-Sch",_xlfn.XLOOKUP(E259&amp;U259&amp;F259,tab_act&amp;tab_mod&amp;tab_act1,tab_ls)*SchLS*T259/MGMT,_xlfn.XLOOKUP(E259&amp;U259&amp;F259,tab_act&amp;tab_mod&amp;tab_act1,tab_ls)*V259*T259/MGMT))</f>
        <v>0</v>
      </c>
      <c r="AB259" s="46" cm="1">
        <f t="array" ref="AB259">IF(U259="",0,_xlfn.XLOOKUP(E259&amp;U259&amp;F259,tab_act&amp;tab_mod&amp;tab_act1,tab_hu)*V259*T259/MGMT)</f>
        <v>0</v>
      </c>
      <c r="AC259" s="46" cm="1">
        <f t="array" ref="AC259">IF(U259="",0,_xlfn.XLOOKUP(E259&amp;U259&amp;F259,tab_act&amp;tab_mod&amp;tab_act1,tab_mnp)*V259*T259/MGMT)</f>
        <v>0</v>
      </c>
      <c r="AD259" s="46" cm="1">
        <f t="array" ref="AD259">IF(U259="",0,_xlfn.XLOOKUP(E259&amp;U259&amp;F259,tab_act&amp;tab_mod&amp;tab_act1,tab_Psup)*V259*T259/MGMT)</f>
        <v>0</v>
      </c>
      <c r="AE259" s="46" cm="1">
        <f t="array" ref="AE259">IF(U259="",0,_xlfn.XLOOKUP(E259&amp;U259&amp;F259,tab_act&amp;tab_mod&amp;tab_act1,tab_csb1)*V259*T259/MGMT)</f>
        <v>0</v>
      </c>
      <c r="AF259" s="46" cm="1">
        <f t="array" ref="AF259">IF(U259="",0,_xlfn.XLOOKUP(E259&amp;U259&amp;F259,tab_act&amp;tab_mod&amp;tab_act1,tab_csb2)*V259*T259/MGMT)</f>
        <v>0</v>
      </c>
      <c r="AG259" s="109" cm="1">
        <f t="array" ref="AG259">IF(U259="",0,_xlfn.XLOOKUP(E259&amp;U259&amp;F259,tab_act&amp;tab_mod&amp;tab_act1,tab_pdoz)*V259*T259/MGMT)</f>
        <v>0.45</v>
      </c>
      <c r="AH259" s="46" cm="1">
        <f t="array" ref="AH259">IF(U259="",0,_xlfn.XLOOKUP(E259&amp;U259&amp;F259,tab_act&amp;tab_mod&amp;tab_act1,tab_lns)*V259*T259/MGMT)</f>
        <v>0</v>
      </c>
      <c r="AI259" s="47">
        <f t="shared" si="21"/>
        <v>0.45</v>
      </c>
      <c r="AJ259" s="48" cm="1">
        <f t="array" ref="AJ259">IF(U259="",0,_xlfn.XLOOKUP(E259&amp;U259&amp;F259,tab_act&amp;tab_mod&amp;tab_act1,tab_cash)*T259)</f>
        <v>0</v>
      </c>
      <c r="AK259" s="134" cm="1">
        <f t="array" ref="AK259">IF(B259="",0,IF(C259="",0,AJ259/_xlfn.XLOOKUP(B259&amp;C259,RMth&amp;RYr,RAr)))</f>
        <v>0</v>
      </c>
      <c r="AN259" s="146" t="str">
        <f t="shared" si="22"/>
        <v>A</v>
      </c>
    </row>
    <row r="260" spans="2:40" x14ac:dyDescent="0.35">
      <c r="B260" s="132" t="s">
        <v>128</v>
      </c>
      <c r="C260" s="44">
        <v>2023</v>
      </c>
      <c r="D260" s="44" t="s">
        <v>100</v>
      </c>
      <c r="E260" s="15" t="s">
        <v>39</v>
      </c>
      <c r="F260" s="108" t="s">
        <v>22</v>
      </c>
      <c r="G260" s="15" t="s">
        <v>159</v>
      </c>
      <c r="H260" s="44"/>
      <c r="I260" s="15" t="s">
        <v>213</v>
      </c>
      <c r="J260" s="15" t="s">
        <v>91</v>
      </c>
      <c r="K260" s="15" t="s">
        <v>97</v>
      </c>
      <c r="L260" s="15" t="s">
        <v>212</v>
      </c>
      <c r="M260" s="15" t="s">
        <v>158</v>
      </c>
      <c r="N260" s="15" t="s">
        <v>68</v>
      </c>
      <c r="O260" s="15" t="s">
        <v>152</v>
      </c>
      <c r="P260" s="15" t="s">
        <v>216</v>
      </c>
      <c r="Q260" s="42"/>
      <c r="R260" s="42"/>
      <c r="S260" s="42">
        <v>342</v>
      </c>
      <c r="T260" s="43">
        <v>342</v>
      </c>
      <c r="U260" s="44" t="s">
        <v>41</v>
      </c>
      <c r="V260" s="153">
        <v>30</v>
      </c>
      <c r="W260" s="45" cm="1">
        <f t="array" ref="W260">IF(U260="",0,_xlfn.XLOOKUP(E260&amp;U260&amp;F260,tab_act&amp;tab_mod&amp;tab_act1,tab_riz)*V260*T260/MGMT)</f>
        <v>0</v>
      </c>
      <c r="X260" s="42" cm="1">
        <f t="array" ref="X260">IF(U260="",0,_xlfn.XLOOKUP(E260&amp;U260&amp;F260,tab_act&amp;tab_mod&amp;tab_act1,tab_mc)*V260*T260/MGMT)</f>
        <v>0</v>
      </c>
      <c r="Y260" s="42" cm="1">
        <f t="array" ref="Y260">IF(U260="",0,_xlfn.XLOOKUP(E260&amp;U260&amp;F260,tab_act&amp;tab_mod&amp;tab_act1,tab_sor)*V260*T260/MGMT)</f>
        <v>0</v>
      </c>
      <c r="Z260" s="42" cm="1">
        <f t="array" ref="Z260">IF(U260="",0,_xlfn.XLOOKUP(E260&amp;U260&amp;F260,tab_act&amp;tab_mod&amp;tab_act1,tab_mg)*V260*T260/MGMT)</f>
        <v>0</v>
      </c>
      <c r="AA260" s="46" cm="1">
        <f t="array" ref="AA260">IF(U260="",0,IF(U260="hybrid-Sch",_xlfn.XLOOKUP(E260&amp;U260&amp;F260,tab_act&amp;tab_mod&amp;tab_act1,tab_ls)*SchLS*T260/MGMT,_xlfn.XLOOKUP(E260&amp;U260&amp;F260,tab_act&amp;tab_mod&amp;tab_act1,tab_ls)*V260*T260/MGMT))</f>
        <v>0</v>
      </c>
      <c r="AB260" s="46" cm="1">
        <f t="array" ref="AB260">IF(U260="",0,_xlfn.XLOOKUP(E260&amp;U260&amp;F260,tab_act&amp;tab_mod&amp;tab_act1,tab_hu)*V260*T260/MGMT)</f>
        <v>0</v>
      </c>
      <c r="AC260" s="46" cm="1">
        <f t="array" ref="AC260">IF(U260="",0,_xlfn.XLOOKUP(E260&amp;U260&amp;F260,tab_act&amp;tab_mod&amp;tab_act1,tab_mnp)*V260*T260/MGMT)</f>
        <v>0</v>
      </c>
      <c r="AD260" s="46" cm="1">
        <f t="array" ref="AD260">IF(U260="",0,_xlfn.XLOOKUP(E260&amp;U260&amp;F260,tab_act&amp;tab_mod&amp;tab_act1,tab_Psup)*V260*T260/MGMT)</f>
        <v>0</v>
      </c>
      <c r="AE260" s="46" cm="1">
        <f t="array" ref="AE260">IF(U260="",0,_xlfn.XLOOKUP(E260&amp;U260&amp;F260,tab_act&amp;tab_mod&amp;tab_act1,tab_csb1)*V260*T260/MGMT)</f>
        <v>0</v>
      </c>
      <c r="AF260" s="46" cm="1">
        <f t="array" ref="AF260">IF(U260="",0,_xlfn.XLOOKUP(E260&amp;U260&amp;F260,tab_act&amp;tab_mod&amp;tab_act1,tab_csb2)*V260*T260/MGMT)</f>
        <v>0</v>
      </c>
      <c r="AG260" s="109" cm="1">
        <f t="array" ref="AG260">IF(U260="",0,_xlfn.XLOOKUP(E260&amp;U260&amp;F260,tab_act&amp;tab_mod&amp;tab_act1,tab_pdoz)*V260*T260/MGMT)</f>
        <v>0.51300000000000001</v>
      </c>
      <c r="AH260" s="46" cm="1">
        <f t="array" ref="AH260">IF(U260="",0,_xlfn.XLOOKUP(E260&amp;U260&amp;F260,tab_act&amp;tab_mod&amp;tab_act1,tab_lns)*V260*T260/MGMT)</f>
        <v>0</v>
      </c>
      <c r="AI260" s="47">
        <f t="shared" ref="AI260:AI323" si="23">SUM(W260:AH260)</f>
        <v>0.51300000000000001</v>
      </c>
      <c r="AJ260" s="48" cm="1">
        <f t="array" ref="AJ260">IF(U260="",0,_xlfn.XLOOKUP(E260&amp;U260&amp;F260,tab_act&amp;tab_mod&amp;tab_act1,tab_cash)*T260)</f>
        <v>0</v>
      </c>
      <c r="AK260" s="134" cm="1">
        <f t="array" ref="AK260">IF(B260="",0,IF(C260="",0,AJ260/_xlfn.XLOOKUP(B260&amp;C260,RMth&amp;RYr,RAr)))</f>
        <v>0</v>
      </c>
      <c r="AN260" s="146" t="str">
        <f t="shared" ref="AN260:AN315" si="24">IF(V260="","IA",IF(V260=0,"IA","A"))</f>
        <v>A</v>
      </c>
    </row>
    <row r="261" spans="2:40" x14ac:dyDescent="0.35">
      <c r="B261" s="132" t="s">
        <v>128</v>
      </c>
      <c r="C261" s="44">
        <v>2023</v>
      </c>
      <c r="D261" s="44" t="s">
        <v>100</v>
      </c>
      <c r="E261" s="15" t="s">
        <v>39</v>
      </c>
      <c r="F261" s="108" t="s">
        <v>22</v>
      </c>
      <c r="G261" s="15" t="s">
        <v>159</v>
      </c>
      <c r="H261" s="44"/>
      <c r="I261" s="15" t="s">
        <v>213</v>
      </c>
      <c r="J261" s="15" t="s">
        <v>91</v>
      </c>
      <c r="K261" s="15" t="s">
        <v>97</v>
      </c>
      <c r="L261" s="15" t="s">
        <v>212</v>
      </c>
      <c r="M261" s="15" t="s">
        <v>158</v>
      </c>
      <c r="N261" s="15" t="s">
        <v>68</v>
      </c>
      <c r="O261" s="15" t="s">
        <v>152</v>
      </c>
      <c r="P261" s="15" t="s">
        <v>217</v>
      </c>
      <c r="Q261" s="42"/>
      <c r="R261" s="42"/>
      <c r="S261" s="42">
        <v>166</v>
      </c>
      <c r="T261" s="43">
        <v>166</v>
      </c>
      <c r="U261" s="44" t="s">
        <v>41</v>
      </c>
      <c r="V261" s="153">
        <v>30</v>
      </c>
      <c r="W261" s="45" cm="1">
        <f t="array" ref="W261">IF(U261="",0,_xlfn.XLOOKUP(E261&amp;U261&amp;F261,tab_act&amp;tab_mod&amp;tab_act1,tab_riz)*V261*T261/MGMT)</f>
        <v>0</v>
      </c>
      <c r="X261" s="42" cm="1">
        <f t="array" ref="X261">IF(U261="",0,_xlfn.XLOOKUP(E261&amp;U261&amp;F261,tab_act&amp;tab_mod&amp;tab_act1,tab_mc)*V261*T261/MGMT)</f>
        <v>0</v>
      </c>
      <c r="Y261" s="42" cm="1">
        <f t="array" ref="Y261">IF(U261="",0,_xlfn.XLOOKUP(E261&amp;U261&amp;F261,tab_act&amp;tab_mod&amp;tab_act1,tab_sor)*V261*T261/MGMT)</f>
        <v>0</v>
      </c>
      <c r="Z261" s="42" cm="1">
        <f t="array" ref="Z261">IF(U261="",0,_xlfn.XLOOKUP(E261&amp;U261&amp;F261,tab_act&amp;tab_mod&amp;tab_act1,tab_mg)*V261*T261/MGMT)</f>
        <v>0</v>
      </c>
      <c r="AA261" s="46" cm="1">
        <f t="array" ref="AA261">IF(U261="",0,IF(U261="hybrid-Sch",_xlfn.XLOOKUP(E261&amp;U261&amp;F261,tab_act&amp;tab_mod&amp;tab_act1,tab_ls)*SchLS*T261/MGMT,_xlfn.XLOOKUP(E261&amp;U261&amp;F261,tab_act&amp;tab_mod&amp;tab_act1,tab_ls)*V261*T261/MGMT))</f>
        <v>0</v>
      </c>
      <c r="AB261" s="46" cm="1">
        <f t="array" ref="AB261">IF(U261="",0,_xlfn.XLOOKUP(E261&amp;U261&amp;F261,tab_act&amp;tab_mod&amp;tab_act1,tab_hu)*V261*T261/MGMT)</f>
        <v>0</v>
      </c>
      <c r="AC261" s="46" cm="1">
        <f t="array" ref="AC261">IF(U261="",0,_xlfn.XLOOKUP(E261&amp;U261&amp;F261,tab_act&amp;tab_mod&amp;tab_act1,tab_mnp)*V261*T261/MGMT)</f>
        <v>0</v>
      </c>
      <c r="AD261" s="46" cm="1">
        <f t="array" ref="AD261">IF(U261="",0,_xlfn.XLOOKUP(E261&amp;U261&amp;F261,tab_act&amp;tab_mod&amp;tab_act1,tab_Psup)*V261*T261/MGMT)</f>
        <v>0</v>
      </c>
      <c r="AE261" s="46" cm="1">
        <f t="array" ref="AE261">IF(U261="",0,_xlfn.XLOOKUP(E261&amp;U261&amp;F261,tab_act&amp;tab_mod&amp;tab_act1,tab_csb1)*V261*T261/MGMT)</f>
        <v>0</v>
      </c>
      <c r="AF261" s="46" cm="1">
        <f t="array" ref="AF261">IF(U261="",0,_xlfn.XLOOKUP(E261&amp;U261&amp;F261,tab_act&amp;tab_mod&amp;tab_act1,tab_csb2)*V261*T261/MGMT)</f>
        <v>0</v>
      </c>
      <c r="AG261" s="109" cm="1">
        <f t="array" ref="AG261">IF(U261="",0,_xlfn.XLOOKUP(E261&amp;U261&amp;F261,tab_act&amp;tab_mod&amp;tab_act1,tab_pdoz)*V261*T261/MGMT)</f>
        <v>0.249</v>
      </c>
      <c r="AH261" s="46" cm="1">
        <f t="array" ref="AH261">IF(U261="",0,_xlfn.XLOOKUP(E261&amp;U261&amp;F261,tab_act&amp;tab_mod&amp;tab_act1,tab_lns)*V261*T261/MGMT)</f>
        <v>0</v>
      </c>
      <c r="AI261" s="47">
        <f t="shared" si="23"/>
        <v>0.249</v>
      </c>
      <c r="AJ261" s="48" cm="1">
        <f t="array" ref="AJ261">IF(U261="",0,_xlfn.XLOOKUP(E261&amp;U261&amp;F261,tab_act&amp;tab_mod&amp;tab_act1,tab_cash)*T261)</f>
        <v>0</v>
      </c>
      <c r="AK261" s="134" cm="1">
        <f t="array" ref="AK261">IF(B261="",0,IF(C261="",0,AJ261/_xlfn.XLOOKUP(B261&amp;C261,RMth&amp;RYr,RAr)))</f>
        <v>0</v>
      </c>
      <c r="AN261" s="146" t="str">
        <f t="shared" si="24"/>
        <v>A</v>
      </c>
    </row>
    <row r="262" spans="2:40" x14ac:dyDescent="0.35">
      <c r="B262" s="132" t="s">
        <v>128</v>
      </c>
      <c r="C262" s="44">
        <v>2023</v>
      </c>
      <c r="D262" s="44" t="s">
        <v>100</v>
      </c>
      <c r="E262" s="15" t="s">
        <v>39</v>
      </c>
      <c r="F262" s="108" t="s">
        <v>22</v>
      </c>
      <c r="G262" s="15" t="s">
        <v>159</v>
      </c>
      <c r="H262" s="44"/>
      <c r="I262" s="15" t="s">
        <v>213</v>
      </c>
      <c r="J262" s="15" t="s">
        <v>91</v>
      </c>
      <c r="K262" s="15" t="s">
        <v>97</v>
      </c>
      <c r="L262" s="15" t="s">
        <v>212</v>
      </c>
      <c r="M262" s="15" t="s">
        <v>158</v>
      </c>
      <c r="N262" s="15" t="s">
        <v>68</v>
      </c>
      <c r="O262" s="15" t="s">
        <v>152</v>
      </c>
      <c r="P262" s="15" t="s">
        <v>218</v>
      </c>
      <c r="Q262" s="42"/>
      <c r="R262" s="42"/>
      <c r="S262" s="42">
        <v>320</v>
      </c>
      <c r="T262" s="43">
        <v>320</v>
      </c>
      <c r="U262" s="44" t="s">
        <v>41</v>
      </c>
      <c r="V262" s="153">
        <v>30</v>
      </c>
      <c r="W262" s="45" cm="1">
        <f t="array" ref="W262">IF(U262="",0,_xlfn.XLOOKUP(E262&amp;U262&amp;F262,tab_act&amp;tab_mod&amp;tab_act1,tab_riz)*V262*T262/MGMT)</f>
        <v>0</v>
      </c>
      <c r="X262" s="42" cm="1">
        <f t="array" ref="X262">IF(U262="",0,_xlfn.XLOOKUP(E262&amp;U262&amp;F262,tab_act&amp;tab_mod&amp;tab_act1,tab_mc)*V262*T262/MGMT)</f>
        <v>0</v>
      </c>
      <c r="Y262" s="42" cm="1">
        <f t="array" ref="Y262">IF(U262="",0,_xlfn.XLOOKUP(E262&amp;U262&amp;F262,tab_act&amp;tab_mod&amp;tab_act1,tab_sor)*V262*T262/MGMT)</f>
        <v>0</v>
      </c>
      <c r="Z262" s="42" cm="1">
        <f t="array" ref="Z262">IF(U262="",0,_xlfn.XLOOKUP(E262&amp;U262&amp;F262,tab_act&amp;tab_mod&amp;tab_act1,tab_mg)*V262*T262/MGMT)</f>
        <v>0</v>
      </c>
      <c r="AA262" s="46" cm="1">
        <f t="array" ref="AA262">IF(U262="",0,IF(U262="hybrid-Sch",_xlfn.XLOOKUP(E262&amp;U262&amp;F262,tab_act&amp;tab_mod&amp;tab_act1,tab_ls)*SchLS*T262/MGMT,_xlfn.XLOOKUP(E262&amp;U262&amp;F262,tab_act&amp;tab_mod&amp;tab_act1,tab_ls)*V262*T262/MGMT))</f>
        <v>0</v>
      </c>
      <c r="AB262" s="46" cm="1">
        <f t="array" ref="AB262">IF(U262="",0,_xlfn.XLOOKUP(E262&amp;U262&amp;F262,tab_act&amp;tab_mod&amp;tab_act1,tab_hu)*V262*T262/MGMT)</f>
        <v>0</v>
      </c>
      <c r="AC262" s="46" cm="1">
        <f t="array" ref="AC262">IF(U262="",0,_xlfn.XLOOKUP(E262&amp;U262&amp;F262,tab_act&amp;tab_mod&amp;tab_act1,tab_mnp)*V262*T262/MGMT)</f>
        <v>0</v>
      </c>
      <c r="AD262" s="46" cm="1">
        <f t="array" ref="AD262">IF(U262="",0,_xlfn.XLOOKUP(E262&amp;U262&amp;F262,tab_act&amp;tab_mod&amp;tab_act1,tab_Psup)*V262*T262/MGMT)</f>
        <v>0</v>
      </c>
      <c r="AE262" s="46" cm="1">
        <f t="array" ref="AE262">IF(U262="",0,_xlfn.XLOOKUP(E262&amp;U262&amp;F262,tab_act&amp;tab_mod&amp;tab_act1,tab_csb1)*V262*T262/MGMT)</f>
        <v>0</v>
      </c>
      <c r="AF262" s="46" cm="1">
        <f t="array" ref="AF262">IF(U262="",0,_xlfn.XLOOKUP(E262&amp;U262&amp;F262,tab_act&amp;tab_mod&amp;tab_act1,tab_csb2)*V262*T262/MGMT)</f>
        <v>0</v>
      </c>
      <c r="AG262" s="109" cm="1">
        <f t="array" ref="AG262">IF(U262="",0,_xlfn.XLOOKUP(E262&amp;U262&amp;F262,tab_act&amp;tab_mod&amp;tab_act1,tab_pdoz)*V262*T262/MGMT)</f>
        <v>0.48</v>
      </c>
      <c r="AH262" s="46" cm="1">
        <f t="array" ref="AH262">IF(U262="",0,_xlfn.XLOOKUP(E262&amp;U262&amp;F262,tab_act&amp;tab_mod&amp;tab_act1,tab_lns)*V262*T262/MGMT)</f>
        <v>0</v>
      </c>
      <c r="AI262" s="47">
        <f t="shared" si="23"/>
        <v>0.48</v>
      </c>
      <c r="AJ262" s="48" cm="1">
        <f t="array" ref="AJ262">IF(U262="",0,_xlfn.XLOOKUP(E262&amp;U262&amp;F262,tab_act&amp;tab_mod&amp;tab_act1,tab_cash)*T262)</f>
        <v>0</v>
      </c>
      <c r="AK262" s="134" cm="1">
        <f t="array" ref="AK262">IF(B262="",0,IF(C262="",0,AJ262/_xlfn.XLOOKUP(B262&amp;C262,RMth&amp;RYr,RAr)))</f>
        <v>0</v>
      </c>
      <c r="AN262" s="146" t="str">
        <f t="shared" si="24"/>
        <v>A</v>
      </c>
    </row>
    <row r="263" spans="2:40" x14ac:dyDescent="0.35">
      <c r="B263" s="132" t="s">
        <v>128</v>
      </c>
      <c r="C263" s="44">
        <v>2023</v>
      </c>
      <c r="D263" s="44" t="s">
        <v>100</v>
      </c>
      <c r="E263" s="15" t="s">
        <v>39</v>
      </c>
      <c r="F263" s="108" t="s">
        <v>22</v>
      </c>
      <c r="G263" s="15" t="s">
        <v>159</v>
      </c>
      <c r="H263" s="44"/>
      <c r="I263" s="15" t="s">
        <v>213</v>
      </c>
      <c r="J263" s="15" t="s">
        <v>91</v>
      </c>
      <c r="K263" s="15" t="s">
        <v>97</v>
      </c>
      <c r="L263" s="15" t="s">
        <v>212</v>
      </c>
      <c r="M263" s="15" t="s">
        <v>158</v>
      </c>
      <c r="N263" s="15" t="s">
        <v>68</v>
      </c>
      <c r="O263" s="15" t="s">
        <v>152</v>
      </c>
      <c r="P263" s="15" t="s">
        <v>219</v>
      </c>
      <c r="Q263" s="42"/>
      <c r="R263" s="42"/>
      <c r="S263" s="42">
        <v>324</v>
      </c>
      <c r="T263" s="43">
        <v>324</v>
      </c>
      <c r="U263" s="44" t="s">
        <v>41</v>
      </c>
      <c r="V263" s="153">
        <v>30</v>
      </c>
      <c r="W263" s="45" cm="1">
        <f t="array" ref="W263">IF(U263="",0,_xlfn.XLOOKUP(E263&amp;U263&amp;F263,tab_act&amp;tab_mod&amp;tab_act1,tab_riz)*V263*T263/MGMT)</f>
        <v>0</v>
      </c>
      <c r="X263" s="42" cm="1">
        <f t="array" ref="X263">IF(U263="",0,_xlfn.XLOOKUP(E263&amp;U263&amp;F263,tab_act&amp;tab_mod&amp;tab_act1,tab_mc)*V263*T263/MGMT)</f>
        <v>0</v>
      </c>
      <c r="Y263" s="42" cm="1">
        <f t="array" ref="Y263">IF(U263="",0,_xlfn.XLOOKUP(E263&amp;U263&amp;F263,tab_act&amp;tab_mod&amp;tab_act1,tab_sor)*V263*T263/MGMT)</f>
        <v>0</v>
      </c>
      <c r="Z263" s="42" cm="1">
        <f t="array" ref="Z263">IF(U263="",0,_xlfn.XLOOKUP(E263&amp;U263&amp;F263,tab_act&amp;tab_mod&amp;tab_act1,tab_mg)*V263*T263/MGMT)</f>
        <v>0</v>
      </c>
      <c r="AA263" s="46" cm="1">
        <f t="array" ref="AA263">IF(U263="",0,IF(U263="hybrid-Sch",_xlfn.XLOOKUP(E263&amp;U263&amp;F263,tab_act&amp;tab_mod&amp;tab_act1,tab_ls)*SchLS*T263/MGMT,_xlfn.XLOOKUP(E263&amp;U263&amp;F263,tab_act&amp;tab_mod&amp;tab_act1,tab_ls)*V263*T263/MGMT))</f>
        <v>0</v>
      </c>
      <c r="AB263" s="46" cm="1">
        <f t="array" ref="AB263">IF(U263="",0,_xlfn.XLOOKUP(E263&amp;U263&amp;F263,tab_act&amp;tab_mod&amp;tab_act1,tab_hu)*V263*T263/MGMT)</f>
        <v>0</v>
      </c>
      <c r="AC263" s="46" cm="1">
        <f t="array" ref="AC263">IF(U263="",0,_xlfn.XLOOKUP(E263&amp;U263&amp;F263,tab_act&amp;tab_mod&amp;tab_act1,tab_mnp)*V263*T263/MGMT)</f>
        <v>0</v>
      </c>
      <c r="AD263" s="46" cm="1">
        <f t="array" ref="AD263">IF(U263="",0,_xlfn.XLOOKUP(E263&amp;U263&amp;F263,tab_act&amp;tab_mod&amp;tab_act1,tab_Psup)*V263*T263/MGMT)</f>
        <v>0</v>
      </c>
      <c r="AE263" s="46" cm="1">
        <f t="array" ref="AE263">IF(U263="",0,_xlfn.XLOOKUP(E263&amp;U263&amp;F263,tab_act&amp;tab_mod&amp;tab_act1,tab_csb1)*V263*T263/MGMT)</f>
        <v>0</v>
      </c>
      <c r="AF263" s="46" cm="1">
        <f t="array" ref="AF263">IF(U263="",0,_xlfn.XLOOKUP(E263&amp;U263&amp;F263,tab_act&amp;tab_mod&amp;tab_act1,tab_csb2)*V263*T263/MGMT)</f>
        <v>0</v>
      </c>
      <c r="AG263" s="109" cm="1">
        <f t="array" ref="AG263">IF(U263="",0,_xlfn.XLOOKUP(E263&amp;U263&amp;F263,tab_act&amp;tab_mod&amp;tab_act1,tab_pdoz)*V263*T263/MGMT)</f>
        <v>0.48599999999999999</v>
      </c>
      <c r="AH263" s="46" cm="1">
        <f t="array" ref="AH263">IF(U263="",0,_xlfn.XLOOKUP(E263&amp;U263&amp;F263,tab_act&amp;tab_mod&amp;tab_act1,tab_lns)*V263*T263/MGMT)</f>
        <v>0</v>
      </c>
      <c r="AI263" s="47">
        <f t="shared" si="23"/>
        <v>0.48599999999999999</v>
      </c>
      <c r="AJ263" s="48" cm="1">
        <f t="array" ref="AJ263">IF(U263="",0,_xlfn.XLOOKUP(E263&amp;U263&amp;F263,tab_act&amp;tab_mod&amp;tab_act1,tab_cash)*T263)</f>
        <v>0</v>
      </c>
      <c r="AK263" s="134" cm="1">
        <f t="array" ref="AK263">IF(B263="",0,IF(C263="",0,AJ263/_xlfn.XLOOKUP(B263&amp;C263,RMth&amp;RYr,RAr)))</f>
        <v>0</v>
      </c>
      <c r="AN263" s="146" t="str">
        <f t="shared" si="24"/>
        <v>A</v>
      </c>
    </row>
    <row r="264" spans="2:40" x14ac:dyDescent="0.35">
      <c r="B264" s="132" t="s">
        <v>128</v>
      </c>
      <c r="C264" s="44">
        <v>2023</v>
      </c>
      <c r="D264" s="44" t="s">
        <v>100</v>
      </c>
      <c r="E264" s="15" t="s">
        <v>39</v>
      </c>
      <c r="F264" s="108" t="s">
        <v>22</v>
      </c>
      <c r="G264" s="15" t="s">
        <v>159</v>
      </c>
      <c r="H264" s="44"/>
      <c r="I264" s="15" t="s">
        <v>213</v>
      </c>
      <c r="J264" s="15" t="s">
        <v>91</v>
      </c>
      <c r="K264" s="15" t="s">
        <v>97</v>
      </c>
      <c r="L264" s="15" t="s">
        <v>212</v>
      </c>
      <c r="M264" s="15" t="s">
        <v>158</v>
      </c>
      <c r="N264" s="15" t="s">
        <v>68</v>
      </c>
      <c r="O264" s="15" t="s">
        <v>152</v>
      </c>
      <c r="P264" s="15" t="s">
        <v>220</v>
      </c>
      <c r="Q264" s="42"/>
      <c r="R264" s="42"/>
      <c r="S264" s="42">
        <v>282</v>
      </c>
      <c r="T264" s="43">
        <v>282</v>
      </c>
      <c r="U264" s="44" t="s">
        <v>41</v>
      </c>
      <c r="V264" s="153">
        <v>30</v>
      </c>
      <c r="W264" s="45" cm="1">
        <f t="array" ref="W264">IF(U264="",0,_xlfn.XLOOKUP(E264&amp;U264&amp;F264,tab_act&amp;tab_mod&amp;tab_act1,tab_riz)*V264*T264/MGMT)</f>
        <v>0</v>
      </c>
      <c r="X264" s="42" cm="1">
        <f t="array" ref="X264">IF(U264="",0,_xlfn.XLOOKUP(E264&amp;U264&amp;F264,tab_act&amp;tab_mod&amp;tab_act1,tab_mc)*V264*T264/MGMT)</f>
        <v>0</v>
      </c>
      <c r="Y264" s="42" cm="1">
        <f t="array" ref="Y264">IF(U264="",0,_xlfn.XLOOKUP(E264&amp;U264&amp;F264,tab_act&amp;tab_mod&amp;tab_act1,tab_sor)*V264*T264/MGMT)</f>
        <v>0</v>
      </c>
      <c r="Z264" s="42" cm="1">
        <f t="array" ref="Z264">IF(U264="",0,_xlfn.XLOOKUP(E264&amp;U264&amp;F264,tab_act&amp;tab_mod&amp;tab_act1,tab_mg)*V264*T264/MGMT)</f>
        <v>0</v>
      </c>
      <c r="AA264" s="46" cm="1">
        <f t="array" ref="AA264">IF(U264="",0,IF(U264="hybrid-Sch",_xlfn.XLOOKUP(E264&amp;U264&amp;F264,tab_act&amp;tab_mod&amp;tab_act1,tab_ls)*SchLS*T264/MGMT,_xlfn.XLOOKUP(E264&amp;U264&amp;F264,tab_act&amp;tab_mod&amp;tab_act1,tab_ls)*V264*T264/MGMT))</f>
        <v>0</v>
      </c>
      <c r="AB264" s="46" cm="1">
        <f t="array" ref="AB264">IF(U264="",0,_xlfn.XLOOKUP(E264&amp;U264&amp;F264,tab_act&amp;tab_mod&amp;tab_act1,tab_hu)*V264*T264/MGMT)</f>
        <v>0</v>
      </c>
      <c r="AC264" s="46" cm="1">
        <f t="array" ref="AC264">IF(U264="",0,_xlfn.XLOOKUP(E264&amp;U264&amp;F264,tab_act&amp;tab_mod&amp;tab_act1,tab_mnp)*V264*T264/MGMT)</f>
        <v>0</v>
      </c>
      <c r="AD264" s="46" cm="1">
        <f t="array" ref="AD264">IF(U264="",0,_xlfn.XLOOKUP(E264&amp;U264&amp;F264,tab_act&amp;tab_mod&amp;tab_act1,tab_Psup)*V264*T264/MGMT)</f>
        <v>0</v>
      </c>
      <c r="AE264" s="46" cm="1">
        <f t="array" ref="AE264">IF(U264="",0,_xlfn.XLOOKUP(E264&amp;U264&amp;F264,tab_act&amp;tab_mod&amp;tab_act1,tab_csb1)*V264*T264/MGMT)</f>
        <v>0</v>
      </c>
      <c r="AF264" s="46" cm="1">
        <f t="array" ref="AF264">IF(U264="",0,_xlfn.XLOOKUP(E264&amp;U264&amp;F264,tab_act&amp;tab_mod&amp;tab_act1,tab_csb2)*V264*T264/MGMT)</f>
        <v>0</v>
      </c>
      <c r="AG264" s="109" cm="1">
        <f t="array" ref="AG264">IF(U264="",0,_xlfn.XLOOKUP(E264&amp;U264&amp;F264,tab_act&amp;tab_mod&amp;tab_act1,tab_pdoz)*V264*T264/MGMT)</f>
        <v>0.42299999999999999</v>
      </c>
      <c r="AH264" s="46" cm="1">
        <f t="array" ref="AH264">IF(U264="",0,_xlfn.XLOOKUP(E264&amp;U264&amp;F264,tab_act&amp;tab_mod&amp;tab_act1,tab_lns)*V264*T264/MGMT)</f>
        <v>0</v>
      </c>
      <c r="AI264" s="47">
        <f t="shared" si="23"/>
        <v>0.42299999999999999</v>
      </c>
      <c r="AJ264" s="48" cm="1">
        <f t="array" ref="AJ264">IF(U264="",0,_xlfn.XLOOKUP(E264&amp;U264&amp;F264,tab_act&amp;tab_mod&amp;tab_act1,tab_cash)*T264)</f>
        <v>0</v>
      </c>
      <c r="AK264" s="134" cm="1">
        <f t="array" ref="AK264">IF(B264="",0,IF(C264="",0,AJ264/_xlfn.XLOOKUP(B264&amp;C264,RMth&amp;RYr,RAr)))</f>
        <v>0</v>
      </c>
      <c r="AN264" s="146" t="str">
        <f t="shared" si="24"/>
        <v>A</v>
      </c>
    </row>
    <row r="265" spans="2:40" x14ac:dyDescent="0.35">
      <c r="B265" s="132" t="s">
        <v>128</v>
      </c>
      <c r="C265" s="44">
        <v>2023</v>
      </c>
      <c r="D265" s="44" t="s">
        <v>100</v>
      </c>
      <c r="E265" s="15" t="s">
        <v>39</v>
      </c>
      <c r="F265" s="108" t="s">
        <v>22</v>
      </c>
      <c r="G265" s="15" t="s">
        <v>159</v>
      </c>
      <c r="H265" s="44"/>
      <c r="I265" s="15" t="s">
        <v>213</v>
      </c>
      <c r="J265" s="15" t="s">
        <v>91</v>
      </c>
      <c r="K265" s="15" t="s">
        <v>97</v>
      </c>
      <c r="L265" s="15" t="s">
        <v>212</v>
      </c>
      <c r="M265" s="15" t="s">
        <v>158</v>
      </c>
      <c r="N265" s="15" t="s">
        <v>68</v>
      </c>
      <c r="O265" s="15" t="s">
        <v>152</v>
      </c>
      <c r="P265" s="15" t="s">
        <v>221</v>
      </c>
      <c r="Q265" s="42"/>
      <c r="R265" s="42"/>
      <c r="S265" s="42">
        <v>214</v>
      </c>
      <c r="T265" s="43">
        <v>214</v>
      </c>
      <c r="U265" s="44" t="s">
        <v>41</v>
      </c>
      <c r="V265" s="153">
        <v>30</v>
      </c>
      <c r="W265" s="45" cm="1">
        <f t="array" ref="W265">IF(U265="",0,_xlfn.XLOOKUP(E265&amp;U265&amp;F265,tab_act&amp;tab_mod&amp;tab_act1,tab_riz)*V265*T265/MGMT)</f>
        <v>0</v>
      </c>
      <c r="X265" s="42" cm="1">
        <f t="array" ref="X265">IF(U265="",0,_xlfn.XLOOKUP(E265&amp;U265&amp;F265,tab_act&amp;tab_mod&amp;tab_act1,tab_mc)*V265*T265/MGMT)</f>
        <v>0</v>
      </c>
      <c r="Y265" s="42" cm="1">
        <f t="array" ref="Y265">IF(U265="",0,_xlfn.XLOOKUP(E265&amp;U265&amp;F265,tab_act&amp;tab_mod&amp;tab_act1,tab_sor)*V265*T265/MGMT)</f>
        <v>0</v>
      </c>
      <c r="Z265" s="42" cm="1">
        <f t="array" ref="Z265">IF(U265="",0,_xlfn.XLOOKUP(E265&amp;U265&amp;F265,tab_act&amp;tab_mod&amp;tab_act1,tab_mg)*V265*T265/MGMT)</f>
        <v>0</v>
      </c>
      <c r="AA265" s="46" cm="1">
        <f t="array" ref="AA265">IF(U265="",0,IF(U265="hybrid-Sch",_xlfn.XLOOKUP(E265&amp;U265&amp;F265,tab_act&amp;tab_mod&amp;tab_act1,tab_ls)*SchLS*T265/MGMT,_xlfn.XLOOKUP(E265&amp;U265&amp;F265,tab_act&amp;tab_mod&amp;tab_act1,tab_ls)*V265*T265/MGMT))</f>
        <v>0</v>
      </c>
      <c r="AB265" s="46" cm="1">
        <f t="array" ref="AB265">IF(U265="",0,_xlfn.XLOOKUP(E265&amp;U265&amp;F265,tab_act&amp;tab_mod&amp;tab_act1,tab_hu)*V265*T265/MGMT)</f>
        <v>0</v>
      </c>
      <c r="AC265" s="46" cm="1">
        <f t="array" ref="AC265">IF(U265="",0,_xlfn.XLOOKUP(E265&amp;U265&amp;F265,tab_act&amp;tab_mod&amp;tab_act1,tab_mnp)*V265*T265/MGMT)</f>
        <v>0</v>
      </c>
      <c r="AD265" s="46" cm="1">
        <f t="array" ref="AD265">IF(U265="",0,_xlfn.XLOOKUP(E265&amp;U265&amp;F265,tab_act&amp;tab_mod&amp;tab_act1,tab_Psup)*V265*T265/MGMT)</f>
        <v>0</v>
      </c>
      <c r="AE265" s="46" cm="1">
        <f t="array" ref="AE265">IF(U265="",0,_xlfn.XLOOKUP(E265&amp;U265&amp;F265,tab_act&amp;tab_mod&amp;tab_act1,tab_csb1)*V265*T265/MGMT)</f>
        <v>0</v>
      </c>
      <c r="AF265" s="46" cm="1">
        <f t="array" ref="AF265">IF(U265="",0,_xlfn.XLOOKUP(E265&amp;U265&amp;F265,tab_act&amp;tab_mod&amp;tab_act1,tab_csb2)*V265*T265/MGMT)</f>
        <v>0</v>
      </c>
      <c r="AG265" s="109" cm="1">
        <f t="array" ref="AG265">IF(U265="",0,_xlfn.XLOOKUP(E265&amp;U265&amp;F265,tab_act&amp;tab_mod&amp;tab_act1,tab_pdoz)*V265*T265/MGMT)</f>
        <v>0.32100000000000001</v>
      </c>
      <c r="AH265" s="46" cm="1">
        <f t="array" ref="AH265">IF(U265="",0,_xlfn.XLOOKUP(E265&amp;U265&amp;F265,tab_act&amp;tab_mod&amp;tab_act1,tab_lns)*V265*T265/MGMT)</f>
        <v>0</v>
      </c>
      <c r="AI265" s="47">
        <f t="shared" si="23"/>
        <v>0.32100000000000001</v>
      </c>
      <c r="AJ265" s="48" cm="1">
        <f t="array" ref="AJ265">IF(U265="",0,_xlfn.XLOOKUP(E265&amp;U265&amp;F265,tab_act&amp;tab_mod&amp;tab_act1,tab_cash)*T265)</f>
        <v>0</v>
      </c>
      <c r="AK265" s="134" cm="1">
        <f t="array" ref="AK265">IF(B265="",0,IF(C265="",0,AJ265/_xlfn.XLOOKUP(B265&amp;C265,RMth&amp;RYr,RAr)))</f>
        <v>0</v>
      </c>
      <c r="AN265" s="146" t="str">
        <f t="shared" si="24"/>
        <v>A</v>
      </c>
    </row>
    <row r="266" spans="2:40" x14ac:dyDescent="0.35">
      <c r="B266" s="132" t="s">
        <v>128</v>
      </c>
      <c r="C266" s="44">
        <v>2023</v>
      </c>
      <c r="D266" s="44" t="s">
        <v>100</v>
      </c>
      <c r="E266" s="15" t="s">
        <v>39</v>
      </c>
      <c r="F266" s="108" t="s">
        <v>22</v>
      </c>
      <c r="G266" s="15" t="s">
        <v>159</v>
      </c>
      <c r="H266" s="44"/>
      <c r="I266" s="15" t="s">
        <v>213</v>
      </c>
      <c r="J266" s="15" t="s">
        <v>91</v>
      </c>
      <c r="K266" s="15" t="s">
        <v>97</v>
      </c>
      <c r="L266" s="15" t="s">
        <v>212</v>
      </c>
      <c r="M266" s="15" t="s">
        <v>158</v>
      </c>
      <c r="N266" s="15" t="s">
        <v>68</v>
      </c>
      <c r="O266" s="15" t="s">
        <v>222</v>
      </c>
      <c r="P266" s="15" t="s">
        <v>223</v>
      </c>
      <c r="Q266" s="42"/>
      <c r="R266" s="42"/>
      <c r="S266" s="42">
        <v>560</v>
      </c>
      <c r="T266" s="43">
        <v>560</v>
      </c>
      <c r="U266" s="44" t="s">
        <v>41</v>
      </c>
      <c r="V266" s="153">
        <v>30</v>
      </c>
      <c r="W266" s="45" cm="1">
        <f t="array" ref="W266">IF(U266="",0,_xlfn.XLOOKUP(E266&amp;U266&amp;F266,tab_act&amp;tab_mod&amp;tab_act1,tab_riz)*V266*T266/MGMT)</f>
        <v>0</v>
      </c>
      <c r="X266" s="42" cm="1">
        <f t="array" ref="X266">IF(U266="",0,_xlfn.XLOOKUP(E266&amp;U266&amp;F266,tab_act&amp;tab_mod&amp;tab_act1,tab_mc)*V266*T266/MGMT)</f>
        <v>0</v>
      </c>
      <c r="Y266" s="42" cm="1">
        <f t="array" ref="Y266">IF(U266="",0,_xlfn.XLOOKUP(E266&amp;U266&amp;F266,tab_act&amp;tab_mod&amp;tab_act1,tab_sor)*V266*T266/MGMT)</f>
        <v>0</v>
      </c>
      <c r="Z266" s="42" cm="1">
        <f t="array" ref="Z266">IF(U266="",0,_xlfn.XLOOKUP(E266&amp;U266&amp;F266,tab_act&amp;tab_mod&amp;tab_act1,tab_mg)*V266*T266/MGMT)</f>
        <v>0</v>
      </c>
      <c r="AA266" s="46" cm="1">
        <f t="array" ref="AA266">IF(U266="",0,IF(U266="hybrid-Sch",_xlfn.XLOOKUP(E266&amp;U266&amp;F266,tab_act&amp;tab_mod&amp;tab_act1,tab_ls)*SchLS*T266/MGMT,_xlfn.XLOOKUP(E266&amp;U266&amp;F266,tab_act&amp;tab_mod&amp;tab_act1,tab_ls)*V266*T266/MGMT))</f>
        <v>0</v>
      </c>
      <c r="AB266" s="46" cm="1">
        <f t="array" ref="AB266">IF(U266="",0,_xlfn.XLOOKUP(E266&amp;U266&amp;F266,tab_act&amp;tab_mod&amp;tab_act1,tab_hu)*V266*T266/MGMT)</f>
        <v>0</v>
      </c>
      <c r="AC266" s="46" cm="1">
        <f t="array" ref="AC266">IF(U266="",0,_xlfn.XLOOKUP(E266&amp;U266&amp;F266,tab_act&amp;tab_mod&amp;tab_act1,tab_mnp)*V266*T266/MGMT)</f>
        <v>0</v>
      </c>
      <c r="AD266" s="46" cm="1">
        <f t="array" ref="AD266">IF(U266="",0,_xlfn.XLOOKUP(E266&amp;U266&amp;F266,tab_act&amp;tab_mod&amp;tab_act1,tab_Psup)*V266*T266/MGMT)</f>
        <v>0</v>
      </c>
      <c r="AE266" s="46" cm="1">
        <f t="array" ref="AE266">IF(U266="",0,_xlfn.XLOOKUP(E266&amp;U266&amp;F266,tab_act&amp;tab_mod&amp;tab_act1,tab_csb1)*V266*T266/MGMT)</f>
        <v>0</v>
      </c>
      <c r="AF266" s="46" cm="1">
        <f t="array" ref="AF266">IF(U266="",0,_xlfn.XLOOKUP(E266&amp;U266&amp;F266,tab_act&amp;tab_mod&amp;tab_act1,tab_csb2)*V266*T266/MGMT)</f>
        <v>0</v>
      </c>
      <c r="AG266" s="109" cm="1">
        <f t="array" ref="AG266">IF(U266="",0,_xlfn.XLOOKUP(E266&amp;U266&amp;F266,tab_act&amp;tab_mod&amp;tab_act1,tab_pdoz)*V266*T266/MGMT)</f>
        <v>0.84</v>
      </c>
      <c r="AH266" s="46" cm="1">
        <f t="array" ref="AH266">IF(U266="",0,_xlfn.XLOOKUP(E266&amp;U266&amp;F266,tab_act&amp;tab_mod&amp;tab_act1,tab_lns)*V266*T266/MGMT)</f>
        <v>0</v>
      </c>
      <c r="AI266" s="47">
        <f t="shared" si="23"/>
        <v>0.84</v>
      </c>
      <c r="AJ266" s="48" cm="1">
        <f t="array" ref="AJ266">IF(U266="",0,_xlfn.XLOOKUP(E266&amp;U266&amp;F266,tab_act&amp;tab_mod&amp;tab_act1,tab_cash)*T266)</f>
        <v>0</v>
      </c>
      <c r="AK266" s="134" cm="1">
        <f t="array" ref="AK266">IF(B266="",0,IF(C266="",0,AJ266/_xlfn.XLOOKUP(B266&amp;C266,RMth&amp;RYr,RAr)))</f>
        <v>0</v>
      </c>
      <c r="AN266" s="146" t="str">
        <f t="shared" si="24"/>
        <v>A</v>
      </c>
    </row>
    <row r="267" spans="2:40" x14ac:dyDescent="0.35">
      <c r="B267" s="132" t="s">
        <v>128</v>
      </c>
      <c r="C267" s="44">
        <v>2023</v>
      </c>
      <c r="D267" s="44" t="s">
        <v>100</v>
      </c>
      <c r="E267" s="15" t="s">
        <v>39</v>
      </c>
      <c r="F267" s="108" t="s">
        <v>22</v>
      </c>
      <c r="G267" s="15" t="s">
        <v>159</v>
      </c>
      <c r="H267" s="44"/>
      <c r="I267" s="15" t="s">
        <v>213</v>
      </c>
      <c r="J267" s="15" t="s">
        <v>91</v>
      </c>
      <c r="K267" s="15" t="s">
        <v>97</v>
      </c>
      <c r="L267" s="15" t="s">
        <v>212</v>
      </c>
      <c r="M267" s="15" t="s">
        <v>158</v>
      </c>
      <c r="N267" s="15" t="s">
        <v>68</v>
      </c>
      <c r="O267" s="15" t="s">
        <v>222</v>
      </c>
      <c r="P267" s="15" t="s">
        <v>224</v>
      </c>
      <c r="Q267" s="42"/>
      <c r="R267" s="42"/>
      <c r="S267" s="42">
        <v>486</v>
      </c>
      <c r="T267" s="43">
        <v>486</v>
      </c>
      <c r="U267" s="44" t="s">
        <v>41</v>
      </c>
      <c r="V267" s="153">
        <v>30</v>
      </c>
      <c r="W267" s="45" cm="1">
        <f t="array" ref="W267">IF(U267="",0,_xlfn.XLOOKUP(E267&amp;U267&amp;F267,tab_act&amp;tab_mod&amp;tab_act1,tab_riz)*V267*T267/MGMT)</f>
        <v>0</v>
      </c>
      <c r="X267" s="42" cm="1">
        <f t="array" ref="X267">IF(U267="",0,_xlfn.XLOOKUP(E267&amp;U267&amp;F267,tab_act&amp;tab_mod&amp;tab_act1,tab_mc)*V267*T267/MGMT)</f>
        <v>0</v>
      </c>
      <c r="Y267" s="42" cm="1">
        <f t="array" ref="Y267">IF(U267="",0,_xlfn.XLOOKUP(E267&amp;U267&amp;F267,tab_act&amp;tab_mod&amp;tab_act1,tab_sor)*V267*T267/MGMT)</f>
        <v>0</v>
      </c>
      <c r="Z267" s="42" cm="1">
        <f t="array" ref="Z267">IF(U267="",0,_xlfn.XLOOKUP(E267&amp;U267&amp;F267,tab_act&amp;tab_mod&amp;tab_act1,tab_mg)*V267*T267/MGMT)</f>
        <v>0</v>
      </c>
      <c r="AA267" s="46" cm="1">
        <f t="array" ref="AA267">IF(U267="",0,IF(U267="hybrid-Sch",_xlfn.XLOOKUP(E267&amp;U267&amp;F267,tab_act&amp;tab_mod&amp;tab_act1,tab_ls)*SchLS*T267/MGMT,_xlfn.XLOOKUP(E267&amp;U267&amp;F267,tab_act&amp;tab_mod&amp;tab_act1,tab_ls)*V267*T267/MGMT))</f>
        <v>0</v>
      </c>
      <c r="AB267" s="46" cm="1">
        <f t="array" ref="AB267">IF(U267="",0,_xlfn.XLOOKUP(E267&amp;U267&amp;F267,tab_act&amp;tab_mod&amp;tab_act1,tab_hu)*V267*T267/MGMT)</f>
        <v>0</v>
      </c>
      <c r="AC267" s="46" cm="1">
        <f t="array" ref="AC267">IF(U267="",0,_xlfn.XLOOKUP(E267&amp;U267&amp;F267,tab_act&amp;tab_mod&amp;tab_act1,tab_mnp)*V267*T267/MGMT)</f>
        <v>0</v>
      </c>
      <c r="AD267" s="46" cm="1">
        <f t="array" ref="AD267">IF(U267="",0,_xlfn.XLOOKUP(E267&amp;U267&amp;F267,tab_act&amp;tab_mod&amp;tab_act1,tab_Psup)*V267*T267/MGMT)</f>
        <v>0</v>
      </c>
      <c r="AE267" s="46" cm="1">
        <f t="array" ref="AE267">IF(U267="",0,_xlfn.XLOOKUP(E267&amp;U267&amp;F267,tab_act&amp;tab_mod&amp;tab_act1,tab_csb1)*V267*T267/MGMT)</f>
        <v>0</v>
      </c>
      <c r="AF267" s="46" cm="1">
        <f t="array" ref="AF267">IF(U267="",0,_xlfn.XLOOKUP(E267&amp;U267&amp;F267,tab_act&amp;tab_mod&amp;tab_act1,tab_csb2)*V267*T267/MGMT)</f>
        <v>0</v>
      </c>
      <c r="AG267" s="109" cm="1">
        <f t="array" ref="AG267">IF(U267="",0,_xlfn.XLOOKUP(E267&amp;U267&amp;F267,tab_act&amp;tab_mod&amp;tab_act1,tab_pdoz)*V267*T267/MGMT)</f>
        <v>0.72899999999999998</v>
      </c>
      <c r="AH267" s="46" cm="1">
        <f t="array" ref="AH267">IF(U267="",0,_xlfn.XLOOKUP(E267&amp;U267&amp;F267,tab_act&amp;tab_mod&amp;tab_act1,tab_lns)*V267*T267/MGMT)</f>
        <v>0</v>
      </c>
      <c r="AI267" s="47">
        <f t="shared" si="23"/>
        <v>0.72899999999999998</v>
      </c>
      <c r="AJ267" s="48" cm="1">
        <f t="array" ref="AJ267">IF(U267="",0,_xlfn.XLOOKUP(E267&amp;U267&amp;F267,tab_act&amp;tab_mod&amp;tab_act1,tab_cash)*T267)</f>
        <v>0</v>
      </c>
      <c r="AK267" s="134" cm="1">
        <f t="array" ref="AK267">IF(B267="",0,IF(C267="",0,AJ267/_xlfn.XLOOKUP(B267&amp;C267,RMth&amp;RYr,RAr)))</f>
        <v>0</v>
      </c>
      <c r="AN267" s="146" t="str">
        <f t="shared" si="24"/>
        <v>A</v>
      </c>
    </row>
    <row r="268" spans="2:40" x14ac:dyDescent="0.35">
      <c r="B268" s="132" t="s">
        <v>128</v>
      </c>
      <c r="C268" s="44">
        <v>2023</v>
      </c>
      <c r="D268" s="44" t="s">
        <v>100</v>
      </c>
      <c r="E268" s="15" t="s">
        <v>39</v>
      </c>
      <c r="F268" s="108" t="s">
        <v>22</v>
      </c>
      <c r="G268" s="15" t="s">
        <v>159</v>
      </c>
      <c r="H268" s="44"/>
      <c r="I268" s="15" t="s">
        <v>213</v>
      </c>
      <c r="J268" s="15" t="s">
        <v>91</v>
      </c>
      <c r="K268" s="15" t="s">
        <v>97</v>
      </c>
      <c r="L268" s="15" t="s">
        <v>212</v>
      </c>
      <c r="M268" s="15" t="s">
        <v>158</v>
      </c>
      <c r="N268" s="15" t="s">
        <v>68</v>
      </c>
      <c r="O268" s="15" t="s">
        <v>222</v>
      </c>
      <c r="P268" s="15" t="s">
        <v>225</v>
      </c>
      <c r="Q268" s="42"/>
      <c r="R268" s="42"/>
      <c r="S268" s="42">
        <v>430</v>
      </c>
      <c r="T268" s="43">
        <v>430</v>
      </c>
      <c r="U268" s="44" t="s">
        <v>41</v>
      </c>
      <c r="V268" s="153">
        <v>30</v>
      </c>
      <c r="W268" s="45" cm="1">
        <f t="array" ref="W268">IF(U268="",0,_xlfn.XLOOKUP(E268&amp;U268&amp;F268,tab_act&amp;tab_mod&amp;tab_act1,tab_riz)*V268*T268/MGMT)</f>
        <v>0</v>
      </c>
      <c r="X268" s="42" cm="1">
        <f t="array" ref="X268">IF(U268="",0,_xlfn.XLOOKUP(E268&amp;U268&amp;F268,tab_act&amp;tab_mod&amp;tab_act1,tab_mc)*V268*T268/MGMT)</f>
        <v>0</v>
      </c>
      <c r="Y268" s="42" cm="1">
        <f t="array" ref="Y268">IF(U268="",0,_xlfn.XLOOKUP(E268&amp;U268&amp;F268,tab_act&amp;tab_mod&amp;tab_act1,tab_sor)*V268*T268/MGMT)</f>
        <v>0</v>
      </c>
      <c r="Z268" s="42" cm="1">
        <f t="array" ref="Z268">IF(U268="",0,_xlfn.XLOOKUP(E268&amp;U268&amp;F268,tab_act&amp;tab_mod&amp;tab_act1,tab_mg)*V268*T268/MGMT)</f>
        <v>0</v>
      </c>
      <c r="AA268" s="46" cm="1">
        <f t="array" ref="AA268">IF(U268="",0,IF(U268="hybrid-Sch",_xlfn.XLOOKUP(E268&amp;U268&amp;F268,tab_act&amp;tab_mod&amp;tab_act1,tab_ls)*SchLS*T268/MGMT,_xlfn.XLOOKUP(E268&amp;U268&amp;F268,tab_act&amp;tab_mod&amp;tab_act1,tab_ls)*V268*T268/MGMT))</f>
        <v>0</v>
      </c>
      <c r="AB268" s="46" cm="1">
        <f t="array" ref="AB268">IF(U268="",0,_xlfn.XLOOKUP(E268&amp;U268&amp;F268,tab_act&amp;tab_mod&amp;tab_act1,tab_hu)*V268*T268/MGMT)</f>
        <v>0</v>
      </c>
      <c r="AC268" s="46" cm="1">
        <f t="array" ref="AC268">IF(U268="",0,_xlfn.XLOOKUP(E268&amp;U268&amp;F268,tab_act&amp;tab_mod&amp;tab_act1,tab_mnp)*V268*T268/MGMT)</f>
        <v>0</v>
      </c>
      <c r="AD268" s="46" cm="1">
        <f t="array" ref="AD268">IF(U268="",0,_xlfn.XLOOKUP(E268&amp;U268&amp;F268,tab_act&amp;tab_mod&amp;tab_act1,tab_Psup)*V268*T268/MGMT)</f>
        <v>0</v>
      </c>
      <c r="AE268" s="46" cm="1">
        <f t="array" ref="AE268">IF(U268="",0,_xlfn.XLOOKUP(E268&amp;U268&amp;F268,tab_act&amp;tab_mod&amp;tab_act1,tab_csb1)*V268*T268/MGMT)</f>
        <v>0</v>
      </c>
      <c r="AF268" s="46" cm="1">
        <f t="array" ref="AF268">IF(U268="",0,_xlfn.XLOOKUP(E268&amp;U268&amp;F268,tab_act&amp;tab_mod&amp;tab_act1,tab_csb2)*V268*T268/MGMT)</f>
        <v>0</v>
      </c>
      <c r="AG268" s="109" cm="1">
        <f t="array" ref="AG268">IF(U268="",0,_xlfn.XLOOKUP(E268&amp;U268&amp;F268,tab_act&amp;tab_mod&amp;tab_act1,tab_pdoz)*V268*T268/MGMT)</f>
        <v>0.64500000000000002</v>
      </c>
      <c r="AH268" s="46" cm="1">
        <f t="array" ref="AH268">IF(U268="",0,_xlfn.XLOOKUP(E268&amp;U268&amp;F268,tab_act&amp;tab_mod&amp;tab_act1,tab_lns)*V268*T268/MGMT)</f>
        <v>0</v>
      </c>
      <c r="AI268" s="47">
        <f t="shared" si="23"/>
        <v>0.64500000000000002</v>
      </c>
      <c r="AJ268" s="48" cm="1">
        <f t="array" ref="AJ268">IF(U268="",0,_xlfn.XLOOKUP(E268&amp;U268&amp;F268,tab_act&amp;tab_mod&amp;tab_act1,tab_cash)*T268)</f>
        <v>0</v>
      </c>
      <c r="AK268" s="134" cm="1">
        <f t="array" ref="AK268">IF(B268="",0,IF(C268="",0,AJ268/_xlfn.XLOOKUP(B268&amp;C268,RMth&amp;RYr,RAr)))</f>
        <v>0</v>
      </c>
      <c r="AN268" s="146" t="str">
        <f t="shared" si="24"/>
        <v>A</v>
      </c>
    </row>
    <row r="269" spans="2:40" x14ac:dyDescent="0.35">
      <c r="B269" s="132" t="s">
        <v>128</v>
      </c>
      <c r="C269" s="44">
        <v>2023</v>
      </c>
      <c r="D269" s="44" t="s">
        <v>100</v>
      </c>
      <c r="E269" s="15" t="s">
        <v>39</v>
      </c>
      <c r="F269" s="108" t="s">
        <v>22</v>
      </c>
      <c r="G269" s="15" t="s">
        <v>159</v>
      </c>
      <c r="H269" s="44"/>
      <c r="I269" s="15" t="s">
        <v>213</v>
      </c>
      <c r="J269" s="15" t="s">
        <v>91</v>
      </c>
      <c r="K269" s="15" t="s">
        <v>97</v>
      </c>
      <c r="L269" s="15" t="s">
        <v>212</v>
      </c>
      <c r="M269" s="15" t="s">
        <v>158</v>
      </c>
      <c r="N269" s="15" t="s">
        <v>68</v>
      </c>
      <c r="O269" s="15" t="s">
        <v>222</v>
      </c>
      <c r="P269" s="15" t="s">
        <v>226</v>
      </c>
      <c r="Q269" s="42"/>
      <c r="R269" s="42"/>
      <c r="S269" s="42">
        <v>366</v>
      </c>
      <c r="T269" s="43">
        <v>366</v>
      </c>
      <c r="U269" s="44" t="s">
        <v>41</v>
      </c>
      <c r="V269" s="153">
        <v>30</v>
      </c>
      <c r="W269" s="45" cm="1">
        <f t="array" ref="W269">IF(U269="",0,_xlfn.XLOOKUP(E269&amp;U269&amp;F269,tab_act&amp;tab_mod&amp;tab_act1,tab_riz)*V269*T269/MGMT)</f>
        <v>0</v>
      </c>
      <c r="X269" s="42" cm="1">
        <f t="array" ref="X269">IF(U269="",0,_xlfn.XLOOKUP(E269&amp;U269&amp;F269,tab_act&amp;tab_mod&amp;tab_act1,tab_mc)*V269*T269/MGMT)</f>
        <v>0</v>
      </c>
      <c r="Y269" s="42" cm="1">
        <f t="array" ref="Y269">IF(U269="",0,_xlfn.XLOOKUP(E269&amp;U269&amp;F269,tab_act&amp;tab_mod&amp;tab_act1,tab_sor)*V269*T269/MGMT)</f>
        <v>0</v>
      </c>
      <c r="Z269" s="42" cm="1">
        <f t="array" ref="Z269">IF(U269="",0,_xlfn.XLOOKUP(E269&amp;U269&amp;F269,tab_act&amp;tab_mod&amp;tab_act1,tab_mg)*V269*T269/MGMT)</f>
        <v>0</v>
      </c>
      <c r="AA269" s="46" cm="1">
        <f t="array" ref="AA269">IF(U269="",0,IF(U269="hybrid-Sch",_xlfn.XLOOKUP(E269&amp;U269&amp;F269,tab_act&amp;tab_mod&amp;tab_act1,tab_ls)*SchLS*T269/MGMT,_xlfn.XLOOKUP(E269&amp;U269&amp;F269,tab_act&amp;tab_mod&amp;tab_act1,tab_ls)*V269*T269/MGMT))</f>
        <v>0</v>
      </c>
      <c r="AB269" s="46" cm="1">
        <f t="array" ref="AB269">IF(U269="",0,_xlfn.XLOOKUP(E269&amp;U269&amp;F269,tab_act&amp;tab_mod&amp;tab_act1,tab_hu)*V269*T269/MGMT)</f>
        <v>0</v>
      </c>
      <c r="AC269" s="46" cm="1">
        <f t="array" ref="AC269">IF(U269="",0,_xlfn.XLOOKUP(E269&amp;U269&amp;F269,tab_act&amp;tab_mod&amp;tab_act1,tab_mnp)*V269*T269/MGMT)</f>
        <v>0</v>
      </c>
      <c r="AD269" s="46" cm="1">
        <f t="array" ref="AD269">IF(U269="",0,_xlfn.XLOOKUP(E269&amp;U269&amp;F269,tab_act&amp;tab_mod&amp;tab_act1,tab_Psup)*V269*T269/MGMT)</f>
        <v>0</v>
      </c>
      <c r="AE269" s="46" cm="1">
        <f t="array" ref="AE269">IF(U269="",0,_xlfn.XLOOKUP(E269&amp;U269&amp;F269,tab_act&amp;tab_mod&amp;tab_act1,tab_csb1)*V269*T269/MGMT)</f>
        <v>0</v>
      </c>
      <c r="AF269" s="46" cm="1">
        <f t="array" ref="AF269">IF(U269="",0,_xlfn.XLOOKUP(E269&amp;U269&amp;F269,tab_act&amp;tab_mod&amp;tab_act1,tab_csb2)*V269*T269/MGMT)</f>
        <v>0</v>
      </c>
      <c r="AG269" s="109" cm="1">
        <f t="array" ref="AG269">IF(U269="",0,_xlfn.XLOOKUP(E269&amp;U269&amp;F269,tab_act&amp;tab_mod&amp;tab_act1,tab_pdoz)*V269*T269/MGMT)</f>
        <v>0.54900000000000004</v>
      </c>
      <c r="AH269" s="46" cm="1">
        <f t="array" ref="AH269">IF(U269="",0,_xlfn.XLOOKUP(E269&amp;U269&amp;F269,tab_act&amp;tab_mod&amp;tab_act1,tab_lns)*V269*T269/MGMT)</f>
        <v>0</v>
      </c>
      <c r="AI269" s="47">
        <f t="shared" si="23"/>
        <v>0.54900000000000004</v>
      </c>
      <c r="AJ269" s="48" cm="1">
        <f t="array" ref="AJ269">IF(U269="",0,_xlfn.XLOOKUP(E269&amp;U269&amp;F269,tab_act&amp;tab_mod&amp;tab_act1,tab_cash)*T269)</f>
        <v>0</v>
      </c>
      <c r="AK269" s="134" cm="1">
        <f t="array" ref="AK269">IF(B269="",0,IF(C269="",0,AJ269/_xlfn.XLOOKUP(B269&amp;C269,RMth&amp;RYr,RAr)))</f>
        <v>0</v>
      </c>
      <c r="AN269" s="146" t="str">
        <f t="shared" si="24"/>
        <v>A</v>
      </c>
    </row>
    <row r="270" spans="2:40" x14ac:dyDescent="0.35">
      <c r="B270" s="132" t="s">
        <v>128</v>
      </c>
      <c r="C270" s="44">
        <v>2023</v>
      </c>
      <c r="D270" s="44" t="s">
        <v>100</v>
      </c>
      <c r="E270" s="15" t="s">
        <v>39</v>
      </c>
      <c r="F270" s="108" t="s">
        <v>22</v>
      </c>
      <c r="G270" s="15" t="s">
        <v>159</v>
      </c>
      <c r="H270" s="44"/>
      <c r="I270" s="15" t="s">
        <v>213</v>
      </c>
      <c r="J270" s="15" t="s">
        <v>91</v>
      </c>
      <c r="K270" s="15" t="s">
        <v>97</v>
      </c>
      <c r="L270" s="15" t="s">
        <v>212</v>
      </c>
      <c r="M270" s="15" t="s">
        <v>158</v>
      </c>
      <c r="N270" s="15" t="s">
        <v>68</v>
      </c>
      <c r="O270" s="15" t="s">
        <v>102</v>
      </c>
      <c r="P270" s="15" t="s">
        <v>227</v>
      </c>
      <c r="Q270" s="42"/>
      <c r="R270" s="42"/>
      <c r="S270" s="42">
        <v>444</v>
      </c>
      <c r="T270" s="43">
        <v>444</v>
      </c>
      <c r="U270" s="44" t="s">
        <v>41</v>
      </c>
      <c r="V270" s="153">
        <v>30</v>
      </c>
      <c r="W270" s="45" cm="1">
        <f t="array" ref="W270">IF(U270="",0,_xlfn.XLOOKUP(E270&amp;U270&amp;F270,tab_act&amp;tab_mod&amp;tab_act1,tab_riz)*V270*T270/MGMT)</f>
        <v>0</v>
      </c>
      <c r="X270" s="42" cm="1">
        <f t="array" ref="X270">IF(U270="",0,_xlfn.XLOOKUP(E270&amp;U270&amp;F270,tab_act&amp;tab_mod&amp;tab_act1,tab_mc)*V270*T270/MGMT)</f>
        <v>0</v>
      </c>
      <c r="Y270" s="42" cm="1">
        <f t="array" ref="Y270">IF(U270="",0,_xlfn.XLOOKUP(E270&amp;U270&amp;F270,tab_act&amp;tab_mod&amp;tab_act1,tab_sor)*V270*T270/MGMT)</f>
        <v>0</v>
      </c>
      <c r="Z270" s="42" cm="1">
        <f t="array" ref="Z270">IF(U270="",0,_xlfn.XLOOKUP(E270&amp;U270&amp;F270,tab_act&amp;tab_mod&amp;tab_act1,tab_mg)*V270*T270/MGMT)</f>
        <v>0</v>
      </c>
      <c r="AA270" s="46" cm="1">
        <f t="array" ref="AA270">IF(U270="",0,IF(U270="hybrid-Sch",_xlfn.XLOOKUP(E270&amp;U270&amp;F270,tab_act&amp;tab_mod&amp;tab_act1,tab_ls)*SchLS*T270/MGMT,_xlfn.XLOOKUP(E270&amp;U270&amp;F270,tab_act&amp;tab_mod&amp;tab_act1,tab_ls)*V270*T270/MGMT))</f>
        <v>0</v>
      </c>
      <c r="AB270" s="46" cm="1">
        <f t="array" ref="AB270">IF(U270="",0,_xlfn.XLOOKUP(E270&amp;U270&amp;F270,tab_act&amp;tab_mod&amp;tab_act1,tab_hu)*V270*T270/MGMT)</f>
        <v>0</v>
      </c>
      <c r="AC270" s="46" cm="1">
        <f t="array" ref="AC270">IF(U270="",0,_xlfn.XLOOKUP(E270&amp;U270&amp;F270,tab_act&amp;tab_mod&amp;tab_act1,tab_mnp)*V270*T270/MGMT)</f>
        <v>0</v>
      </c>
      <c r="AD270" s="46" cm="1">
        <f t="array" ref="AD270">IF(U270="",0,_xlfn.XLOOKUP(E270&amp;U270&amp;F270,tab_act&amp;tab_mod&amp;tab_act1,tab_Psup)*V270*T270/MGMT)</f>
        <v>0</v>
      </c>
      <c r="AE270" s="46" cm="1">
        <f t="array" ref="AE270">IF(U270="",0,_xlfn.XLOOKUP(E270&amp;U270&amp;F270,tab_act&amp;tab_mod&amp;tab_act1,tab_csb1)*V270*T270/MGMT)</f>
        <v>0</v>
      </c>
      <c r="AF270" s="46" cm="1">
        <f t="array" ref="AF270">IF(U270="",0,_xlfn.XLOOKUP(E270&amp;U270&amp;F270,tab_act&amp;tab_mod&amp;tab_act1,tab_csb2)*V270*T270/MGMT)</f>
        <v>0</v>
      </c>
      <c r="AG270" s="109" cm="1">
        <f t="array" ref="AG270">IF(U270="",0,_xlfn.XLOOKUP(E270&amp;U270&amp;F270,tab_act&amp;tab_mod&amp;tab_act1,tab_pdoz)*V270*T270/MGMT)</f>
        <v>0.66600000000000004</v>
      </c>
      <c r="AH270" s="46" cm="1">
        <f t="array" ref="AH270">IF(U270="",0,_xlfn.XLOOKUP(E270&amp;U270&amp;F270,tab_act&amp;tab_mod&amp;tab_act1,tab_lns)*V270*T270/MGMT)</f>
        <v>0</v>
      </c>
      <c r="AI270" s="47">
        <f t="shared" si="23"/>
        <v>0.66600000000000004</v>
      </c>
      <c r="AJ270" s="48" cm="1">
        <f t="array" ref="AJ270">IF(U270="",0,_xlfn.XLOOKUP(E270&amp;U270&amp;F270,tab_act&amp;tab_mod&amp;tab_act1,tab_cash)*T270)</f>
        <v>0</v>
      </c>
      <c r="AK270" s="134" cm="1">
        <f t="array" ref="AK270">IF(B270="",0,IF(C270="",0,AJ270/_xlfn.XLOOKUP(B270&amp;C270,RMth&amp;RYr,RAr)))</f>
        <v>0</v>
      </c>
      <c r="AN270" s="146" t="str">
        <f t="shared" si="24"/>
        <v>A</v>
      </c>
    </row>
    <row r="271" spans="2:40" x14ac:dyDescent="0.35">
      <c r="B271" s="132" t="s">
        <v>128</v>
      </c>
      <c r="C271" s="44">
        <v>2023</v>
      </c>
      <c r="D271" s="44" t="s">
        <v>100</v>
      </c>
      <c r="E271" s="15" t="s">
        <v>39</v>
      </c>
      <c r="F271" s="108" t="s">
        <v>22</v>
      </c>
      <c r="G271" s="15" t="s">
        <v>159</v>
      </c>
      <c r="H271" s="44"/>
      <c r="I271" s="15" t="s">
        <v>213</v>
      </c>
      <c r="J271" s="15" t="s">
        <v>91</v>
      </c>
      <c r="K271" s="15" t="s">
        <v>97</v>
      </c>
      <c r="L271" s="15" t="s">
        <v>212</v>
      </c>
      <c r="M271" s="15" t="s">
        <v>158</v>
      </c>
      <c r="N271" s="15" t="s">
        <v>68</v>
      </c>
      <c r="O271" s="15" t="s">
        <v>102</v>
      </c>
      <c r="P271" s="15" t="s">
        <v>228</v>
      </c>
      <c r="Q271" s="42"/>
      <c r="R271" s="42"/>
      <c r="S271" s="42">
        <v>384</v>
      </c>
      <c r="T271" s="43">
        <v>384</v>
      </c>
      <c r="U271" s="44" t="s">
        <v>41</v>
      </c>
      <c r="V271" s="153">
        <v>30</v>
      </c>
      <c r="W271" s="45" cm="1">
        <f t="array" ref="W271">IF(U271="",0,_xlfn.XLOOKUP(E271&amp;U271&amp;F271,tab_act&amp;tab_mod&amp;tab_act1,tab_riz)*V271*T271/MGMT)</f>
        <v>0</v>
      </c>
      <c r="X271" s="42" cm="1">
        <f t="array" ref="X271">IF(U271="",0,_xlfn.XLOOKUP(E271&amp;U271&amp;F271,tab_act&amp;tab_mod&amp;tab_act1,tab_mc)*V271*T271/MGMT)</f>
        <v>0</v>
      </c>
      <c r="Y271" s="42" cm="1">
        <f t="array" ref="Y271">IF(U271="",0,_xlfn.XLOOKUP(E271&amp;U271&amp;F271,tab_act&amp;tab_mod&amp;tab_act1,tab_sor)*V271*T271/MGMT)</f>
        <v>0</v>
      </c>
      <c r="Z271" s="42" cm="1">
        <f t="array" ref="Z271">IF(U271="",0,_xlfn.XLOOKUP(E271&amp;U271&amp;F271,tab_act&amp;tab_mod&amp;tab_act1,tab_mg)*V271*T271/MGMT)</f>
        <v>0</v>
      </c>
      <c r="AA271" s="46" cm="1">
        <f t="array" ref="AA271">IF(U271="",0,IF(U271="hybrid-Sch",_xlfn.XLOOKUP(E271&amp;U271&amp;F271,tab_act&amp;tab_mod&amp;tab_act1,tab_ls)*SchLS*T271/MGMT,_xlfn.XLOOKUP(E271&amp;U271&amp;F271,tab_act&amp;tab_mod&amp;tab_act1,tab_ls)*V271*T271/MGMT))</f>
        <v>0</v>
      </c>
      <c r="AB271" s="46" cm="1">
        <f t="array" ref="AB271">IF(U271="",0,_xlfn.XLOOKUP(E271&amp;U271&amp;F271,tab_act&amp;tab_mod&amp;tab_act1,tab_hu)*V271*T271/MGMT)</f>
        <v>0</v>
      </c>
      <c r="AC271" s="46" cm="1">
        <f t="array" ref="AC271">IF(U271="",0,_xlfn.XLOOKUP(E271&amp;U271&amp;F271,tab_act&amp;tab_mod&amp;tab_act1,tab_mnp)*V271*T271/MGMT)</f>
        <v>0</v>
      </c>
      <c r="AD271" s="46" cm="1">
        <f t="array" ref="AD271">IF(U271="",0,_xlfn.XLOOKUP(E271&amp;U271&amp;F271,tab_act&amp;tab_mod&amp;tab_act1,tab_Psup)*V271*T271/MGMT)</f>
        <v>0</v>
      </c>
      <c r="AE271" s="46" cm="1">
        <f t="array" ref="AE271">IF(U271="",0,_xlfn.XLOOKUP(E271&amp;U271&amp;F271,tab_act&amp;tab_mod&amp;tab_act1,tab_csb1)*V271*T271/MGMT)</f>
        <v>0</v>
      </c>
      <c r="AF271" s="46" cm="1">
        <f t="array" ref="AF271">IF(U271="",0,_xlfn.XLOOKUP(E271&amp;U271&amp;F271,tab_act&amp;tab_mod&amp;tab_act1,tab_csb2)*V271*T271/MGMT)</f>
        <v>0</v>
      </c>
      <c r="AG271" s="109" cm="1">
        <f t="array" ref="AG271">IF(U271="",0,_xlfn.XLOOKUP(E271&amp;U271&amp;F271,tab_act&amp;tab_mod&amp;tab_act1,tab_pdoz)*V271*T271/MGMT)</f>
        <v>0.57599999999999996</v>
      </c>
      <c r="AH271" s="46" cm="1">
        <f t="array" ref="AH271">IF(U271="",0,_xlfn.XLOOKUP(E271&amp;U271&amp;F271,tab_act&amp;tab_mod&amp;tab_act1,tab_lns)*V271*T271/MGMT)</f>
        <v>0</v>
      </c>
      <c r="AI271" s="47">
        <f t="shared" si="23"/>
        <v>0.57599999999999996</v>
      </c>
      <c r="AJ271" s="48" cm="1">
        <f t="array" ref="AJ271">IF(U271="",0,_xlfn.XLOOKUP(E271&amp;U271&amp;F271,tab_act&amp;tab_mod&amp;tab_act1,tab_cash)*T271)</f>
        <v>0</v>
      </c>
      <c r="AK271" s="134" cm="1">
        <f t="array" ref="AK271">IF(B271="",0,IF(C271="",0,AJ271/_xlfn.XLOOKUP(B271&amp;C271,RMth&amp;RYr,RAr)))</f>
        <v>0</v>
      </c>
      <c r="AN271" s="146" t="str">
        <f t="shared" si="24"/>
        <v>A</v>
      </c>
    </row>
    <row r="272" spans="2:40" x14ac:dyDescent="0.35">
      <c r="B272" s="132" t="s">
        <v>128</v>
      </c>
      <c r="C272" s="44">
        <v>2023</v>
      </c>
      <c r="D272" s="44" t="s">
        <v>100</v>
      </c>
      <c r="E272" s="15" t="s">
        <v>39</v>
      </c>
      <c r="F272" s="108" t="s">
        <v>22</v>
      </c>
      <c r="G272" s="15" t="s">
        <v>159</v>
      </c>
      <c r="H272" s="44"/>
      <c r="I272" s="15" t="s">
        <v>213</v>
      </c>
      <c r="J272" s="15" t="s">
        <v>91</v>
      </c>
      <c r="K272" s="15" t="s">
        <v>97</v>
      </c>
      <c r="L272" s="15" t="s">
        <v>212</v>
      </c>
      <c r="M272" s="15" t="s">
        <v>158</v>
      </c>
      <c r="N272" s="15" t="s">
        <v>68</v>
      </c>
      <c r="O272" s="15" t="s">
        <v>102</v>
      </c>
      <c r="P272" s="15" t="s">
        <v>229</v>
      </c>
      <c r="Q272" s="42"/>
      <c r="R272" s="42"/>
      <c r="S272" s="42">
        <v>102</v>
      </c>
      <c r="T272" s="43">
        <v>102</v>
      </c>
      <c r="U272" s="44" t="s">
        <v>41</v>
      </c>
      <c r="V272" s="153">
        <v>30</v>
      </c>
      <c r="W272" s="45" cm="1">
        <f t="array" ref="W272">IF(U272="",0,_xlfn.XLOOKUP(E272&amp;U272&amp;F272,tab_act&amp;tab_mod&amp;tab_act1,tab_riz)*V272*T272/MGMT)</f>
        <v>0</v>
      </c>
      <c r="X272" s="42" cm="1">
        <f t="array" ref="X272">IF(U272="",0,_xlfn.XLOOKUP(E272&amp;U272&amp;F272,tab_act&amp;tab_mod&amp;tab_act1,tab_mc)*V272*T272/MGMT)</f>
        <v>0</v>
      </c>
      <c r="Y272" s="42" cm="1">
        <f t="array" ref="Y272">IF(U272="",0,_xlfn.XLOOKUP(E272&amp;U272&amp;F272,tab_act&amp;tab_mod&amp;tab_act1,tab_sor)*V272*T272/MGMT)</f>
        <v>0</v>
      </c>
      <c r="Z272" s="42" cm="1">
        <f t="array" ref="Z272">IF(U272="",0,_xlfn.XLOOKUP(E272&amp;U272&amp;F272,tab_act&amp;tab_mod&amp;tab_act1,tab_mg)*V272*T272/MGMT)</f>
        <v>0</v>
      </c>
      <c r="AA272" s="46" cm="1">
        <f t="array" ref="AA272">IF(U272="",0,IF(U272="hybrid-Sch",_xlfn.XLOOKUP(E272&amp;U272&amp;F272,tab_act&amp;tab_mod&amp;tab_act1,tab_ls)*SchLS*T272/MGMT,_xlfn.XLOOKUP(E272&amp;U272&amp;F272,tab_act&amp;tab_mod&amp;tab_act1,tab_ls)*V272*T272/MGMT))</f>
        <v>0</v>
      </c>
      <c r="AB272" s="46" cm="1">
        <f t="array" ref="AB272">IF(U272="",0,_xlfn.XLOOKUP(E272&amp;U272&amp;F272,tab_act&amp;tab_mod&amp;tab_act1,tab_hu)*V272*T272/MGMT)</f>
        <v>0</v>
      </c>
      <c r="AC272" s="46" cm="1">
        <f t="array" ref="AC272">IF(U272="",0,_xlfn.XLOOKUP(E272&amp;U272&amp;F272,tab_act&amp;tab_mod&amp;tab_act1,tab_mnp)*V272*T272/MGMT)</f>
        <v>0</v>
      </c>
      <c r="AD272" s="46" cm="1">
        <f t="array" ref="AD272">IF(U272="",0,_xlfn.XLOOKUP(E272&amp;U272&amp;F272,tab_act&amp;tab_mod&amp;tab_act1,tab_Psup)*V272*T272/MGMT)</f>
        <v>0</v>
      </c>
      <c r="AE272" s="46" cm="1">
        <f t="array" ref="AE272">IF(U272="",0,_xlfn.XLOOKUP(E272&amp;U272&amp;F272,tab_act&amp;tab_mod&amp;tab_act1,tab_csb1)*V272*T272/MGMT)</f>
        <v>0</v>
      </c>
      <c r="AF272" s="46" cm="1">
        <f t="array" ref="AF272">IF(U272="",0,_xlfn.XLOOKUP(E272&amp;U272&amp;F272,tab_act&amp;tab_mod&amp;tab_act1,tab_csb2)*V272*T272/MGMT)</f>
        <v>0</v>
      </c>
      <c r="AG272" s="109" cm="1">
        <f t="array" ref="AG272">IF(U272="",0,_xlfn.XLOOKUP(E272&amp;U272&amp;F272,tab_act&amp;tab_mod&amp;tab_act1,tab_pdoz)*V272*T272/MGMT)</f>
        <v>0.153</v>
      </c>
      <c r="AH272" s="46" cm="1">
        <f t="array" ref="AH272">IF(U272="",0,_xlfn.XLOOKUP(E272&amp;U272&amp;F272,tab_act&amp;tab_mod&amp;tab_act1,tab_lns)*V272*T272/MGMT)</f>
        <v>0</v>
      </c>
      <c r="AI272" s="47">
        <f t="shared" si="23"/>
        <v>0.153</v>
      </c>
      <c r="AJ272" s="48" cm="1">
        <f t="array" ref="AJ272">IF(U272="",0,_xlfn.XLOOKUP(E272&amp;U272&amp;F272,tab_act&amp;tab_mod&amp;tab_act1,tab_cash)*T272)</f>
        <v>0</v>
      </c>
      <c r="AK272" s="134" cm="1">
        <f t="array" ref="AK272">IF(B272="",0,IF(C272="",0,AJ272/_xlfn.XLOOKUP(B272&amp;C272,RMth&amp;RYr,RAr)))</f>
        <v>0</v>
      </c>
      <c r="AN272" s="146" t="str">
        <f t="shared" si="24"/>
        <v>A</v>
      </c>
    </row>
    <row r="273" spans="2:40" x14ac:dyDescent="0.35">
      <c r="B273" s="132" t="s">
        <v>128</v>
      </c>
      <c r="C273" s="44">
        <v>2023</v>
      </c>
      <c r="D273" s="44" t="s">
        <v>100</v>
      </c>
      <c r="E273" s="15" t="s">
        <v>39</v>
      </c>
      <c r="F273" s="108" t="s">
        <v>22</v>
      </c>
      <c r="G273" s="15" t="s">
        <v>159</v>
      </c>
      <c r="H273" s="44"/>
      <c r="I273" s="15" t="s">
        <v>213</v>
      </c>
      <c r="J273" s="15" t="s">
        <v>91</v>
      </c>
      <c r="K273" s="15" t="s">
        <v>97</v>
      </c>
      <c r="L273" s="15" t="s">
        <v>212</v>
      </c>
      <c r="M273" s="15" t="s">
        <v>158</v>
      </c>
      <c r="N273" s="15" t="s">
        <v>68</v>
      </c>
      <c r="O273" s="15" t="s">
        <v>102</v>
      </c>
      <c r="P273" s="15" t="s">
        <v>230</v>
      </c>
      <c r="Q273" s="42"/>
      <c r="R273" s="42"/>
      <c r="S273" s="42">
        <v>170</v>
      </c>
      <c r="T273" s="43">
        <v>170</v>
      </c>
      <c r="U273" s="44" t="s">
        <v>41</v>
      </c>
      <c r="V273" s="153">
        <v>30</v>
      </c>
      <c r="W273" s="45" cm="1">
        <f t="array" ref="W273">IF(U273="",0,_xlfn.XLOOKUP(E273&amp;U273&amp;F273,tab_act&amp;tab_mod&amp;tab_act1,tab_riz)*V273*T273/MGMT)</f>
        <v>0</v>
      </c>
      <c r="X273" s="42" cm="1">
        <f t="array" ref="X273">IF(U273="",0,_xlfn.XLOOKUP(E273&amp;U273&amp;F273,tab_act&amp;tab_mod&amp;tab_act1,tab_mc)*V273*T273/MGMT)</f>
        <v>0</v>
      </c>
      <c r="Y273" s="42" cm="1">
        <f t="array" ref="Y273">IF(U273="",0,_xlfn.XLOOKUP(E273&amp;U273&amp;F273,tab_act&amp;tab_mod&amp;tab_act1,tab_sor)*V273*T273/MGMT)</f>
        <v>0</v>
      </c>
      <c r="Z273" s="42" cm="1">
        <f t="array" ref="Z273">IF(U273="",0,_xlfn.XLOOKUP(E273&amp;U273&amp;F273,tab_act&amp;tab_mod&amp;tab_act1,tab_mg)*V273*T273/MGMT)</f>
        <v>0</v>
      </c>
      <c r="AA273" s="46" cm="1">
        <f t="array" ref="AA273">IF(U273="",0,IF(U273="hybrid-Sch",_xlfn.XLOOKUP(E273&amp;U273&amp;F273,tab_act&amp;tab_mod&amp;tab_act1,tab_ls)*SchLS*T273/MGMT,_xlfn.XLOOKUP(E273&amp;U273&amp;F273,tab_act&amp;tab_mod&amp;tab_act1,tab_ls)*V273*T273/MGMT))</f>
        <v>0</v>
      </c>
      <c r="AB273" s="46" cm="1">
        <f t="array" ref="AB273">IF(U273="",0,_xlfn.XLOOKUP(E273&amp;U273&amp;F273,tab_act&amp;tab_mod&amp;tab_act1,tab_hu)*V273*T273/MGMT)</f>
        <v>0</v>
      </c>
      <c r="AC273" s="46" cm="1">
        <f t="array" ref="AC273">IF(U273="",0,_xlfn.XLOOKUP(E273&amp;U273&amp;F273,tab_act&amp;tab_mod&amp;tab_act1,tab_mnp)*V273*T273/MGMT)</f>
        <v>0</v>
      </c>
      <c r="AD273" s="46" cm="1">
        <f t="array" ref="AD273">IF(U273="",0,_xlfn.XLOOKUP(E273&amp;U273&amp;F273,tab_act&amp;tab_mod&amp;tab_act1,tab_Psup)*V273*T273/MGMT)</f>
        <v>0</v>
      </c>
      <c r="AE273" s="46" cm="1">
        <f t="array" ref="AE273">IF(U273="",0,_xlfn.XLOOKUP(E273&amp;U273&amp;F273,tab_act&amp;tab_mod&amp;tab_act1,tab_csb1)*V273*T273/MGMT)</f>
        <v>0</v>
      </c>
      <c r="AF273" s="46" cm="1">
        <f t="array" ref="AF273">IF(U273="",0,_xlfn.XLOOKUP(E273&amp;U273&amp;F273,tab_act&amp;tab_mod&amp;tab_act1,tab_csb2)*V273*T273/MGMT)</f>
        <v>0</v>
      </c>
      <c r="AG273" s="109" cm="1">
        <f t="array" ref="AG273">IF(U273="",0,_xlfn.XLOOKUP(E273&amp;U273&amp;F273,tab_act&amp;tab_mod&amp;tab_act1,tab_pdoz)*V273*T273/MGMT)</f>
        <v>0.255</v>
      </c>
      <c r="AH273" s="46" cm="1">
        <f t="array" ref="AH273">IF(U273="",0,_xlfn.XLOOKUP(E273&amp;U273&amp;F273,tab_act&amp;tab_mod&amp;tab_act1,tab_lns)*V273*T273/MGMT)</f>
        <v>0</v>
      </c>
      <c r="AI273" s="47">
        <f t="shared" si="23"/>
        <v>0.255</v>
      </c>
      <c r="AJ273" s="48" cm="1">
        <f t="array" ref="AJ273">IF(U273="",0,_xlfn.XLOOKUP(E273&amp;U273&amp;F273,tab_act&amp;tab_mod&amp;tab_act1,tab_cash)*T273)</f>
        <v>0</v>
      </c>
      <c r="AK273" s="134" cm="1">
        <f t="array" ref="AK273">IF(B273="",0,IF(C273="",0,AJ273/_xlfn.XLOOKUP(B273&amp;C273,RMth&amp;RYr,RAr)))</f>
        <v>0</v>
      </c>
      <c r="AN273" s="146" t="str">
        <f t="shared" si="24"/>
        <v>A</v>
      </c>
    </row>
    <row r="274" spans="2:40" x14ac:dyDescent="0.35">
      <c r="B274" s="132" t="s">
        <v>128</v>
      </c>
      <c r="C274" s="44">
        <v>2023</v>
      </c>
      <c r="D274" s="44" t="s">
        <v>100</v>
      </c>
      <c r="E274" s="15" t="s">
        <v>39</v>
      </c>
      <c r="F274" s="108" t="s">
        <v>22</v>
      </c>
      <c r="G274" s="15" t="s">
        <v>159</v>
      </c>
      <c r="H274" s="44"/>
      <c r="I274" s="15" t="s">
        <v>213</v>
      </c>
      <c r="J274" s="15" t="s">
        <v>91</v>
      </c>
      <c r="K274" s="15" t="s">
        <v>97</v>
      </c>
      <c r="L274" s="15" t="s">
        <v>212</v>
      </c>
      <c r="M274" s="15" t="s">
        <v>158</v>
      </c>
      <c r="N274" s="15" t="s">
        <v>68</v>
      </c>
      <c r="O274" s="15" t="s">
        <v>102</v>
      </c>
      <c r="P274" s="15" t="s">
        <v>231</v>
      </c>
      <c r="Q274" s="42"/>
      <c r="R274" s="42"/>
      <c r="S274" s="42">
        <v>698</v>
      </c>
      <c r="T274" s="43">
        <v>698</v>
      </c>
      <c r="U274" s="44" t="s">
        <v>41</v>
      </c>
      <c r="V274" s="153">
        <v>30</v>
      </c>
      <c r="W274" s="45" cm="1">
        <f t="array" ref="W274">IF(U274="",0,_xlfn.XLOOKUP(E274&amp;U274&amp;F274,tab_act&amp;tab_mod&amp;tab_act1,tab_riz)*V274*T274/MGMT)</f>
        <v>0</v>
      </c>
      <c r="X274" s="42" cm="1">
        <f t="array" ref="X274">IF(U274="",0,_xlfn.XLOOKUP(E274&amp;U274&amp;F274,tab_act&amp;tab_mod&amp;tab_act1,tab_mc)*V274*T274/MGMT)</f>
        <v>0</v>
      </c>
      <c r="Y274" s="42" cm="1">
        <f t="array" ref="Y274">IF(U274="",0,_xlfn.XLOOKUP(E274&amp;U274&amp;F274,tab_act&amp;tab_mod&amp;tab_act1,tab_sor)*V274*T274/MGMT)</f>
        <v>0</v>
      </c>
      <c r="Z274" s="42" cm="1">
        <f t="array" ref="Z274">IF(U274="",0,_xlfn.XLOOKUP(E274&amp;U274&amp;F274,tab_act&amp;tab_mod&amp;tab_act1,tab_mg)*V274*T274/MGMT)</f>
        <v>0</v>
      </c>
      <c r="AA274" s="46" cm="1">
        <f t="array" ref="AA274">IF(U274="",0,IF(U274="hybrid-Sch",_xlfn.XLOOKUP(E274&amp;U274&amp;F274,tab_act&amp;tab_mod&amp;tab_act1,tab_ls)*SchLS*T274/MGMT,_xlfn.XLOOKUP(E274&amp;U274&amp;F274,tab_act&amp;tab_mod&amp;tab_act1,tab_ls)*V274*T274/MGMT))</f>
        <v>0</v>
      </c>
      <c r="AB274" s="46" cm="1">
        <f t="array" ref="AB274">IF(U274="",0,_xlfn.XLOOKUP(E274&amp;U274&amp;F274,tab_act&amp;tab_mod&amp;tab_act1,tab_hu)*V274*T274/MGMT)</f>
        <v>0</v>
      </c>
      <c r="AC274" s="46" cm="1">
        <f t="array" ref="AC274">IF(U274="",0,_xlfn.XLOOKUP(E274&amp;U274&amp;F274,tab_act&amp;tab_mod&amp;tab_act1,tab_mnp)*V274*T274/MGMT)</f>
        <v>0</v>
      </c>
      <c r="AD274" s="46" cm="1">
        <f t="array" ref="AD274">IF(U274="",0,_xlfn.XLOOKUP(E274&amp;U274&amp;F274,tab_act&amp;tab_mod&amp;tab_act1,tab_Psup)*V274*T274/MGMT)</f>
        <v>0</v>
      </c>
      <c r="AE274" s="46" cm="1">
        <f t="array" ref="AE274">IF(U274="",0,_xlfn.XLOOKUP(E274&amp;U274&amp;F274,tab_act&amp;tab_mod&amp;tab_act1,tab_csb1)*V274*T274/MGMT)</f>
        <v>0</v>
      </c>
      <c r="AF274" s="46" cm="1">
        <f t="array" ref="AF274">IF(U274="",0,_xlfn.XLOOKUP(E274&amp;U274&amp;F274,tab_act&amp;tab_mod&amp;tab_act1,tab_csb2)*V274*T274/MGMT)</f>
        <v>0</v>
      </c>
      <c r="AG274" s="109" cm="1">
        <f t="array" ref="AG274">IF(U274="",0,_xlfn.XLOOKUP(E274&amp;U274&amp;F274,tab_act&amp;tab_mod&amp;tab_act1,tab_pdoz)*V274*T274/MGMT)</f>
        <v>1.0469999999999999</v>
      </c>
      <c r="AH274" s="46" cm="1">
        <f t="array" ref="AH274">IF(U274="",0,_xlfn.XLOOKUP(E274&amp;U274&amp;F274,tab_act&amp;tab_mod&amp;tab_act1,tab_lns)*V274*T274/MGMT)</f>
        <v>0</v>
      </c>
      <c r="AI274" s="47">
        <f t="shared" si="23"/>
        <v>1.0469999999999999</v>
      </c>
      <c r="AJ274" s="48" cm="1">
        <f t="array" ref="AJ274">IF(U274="",0,_xlfn.XLOOKUP(E274&amp;U274&amp;F274,tab_act&amp;tab_mod&amp;tab_act1,tab_cash)*T274)</f>
        <v>0</v>
      </c>
      <c r="AK274" s="134" cm="1">
        <f t="array" ref="AK274">IF(B274="",0,IF(C274="",0,AJ274/_xlfn.XLOOKUP(B274&amp;C274,RMth&amp;RYr,RAr)))</f>
        <v>0</v>
      </c>
      <c r="AN274" s="146" t="str">
        <f t="shared" si="24"/>
        <v>A</v>
      </c>
    </row>
    <row r="275" spans="2:40" x14ac:dyDescent="0.35">
      <c r="B275" s="132" t="s">
        <v>128</v>
      </c>
      <c r="C275" s="44">
        <v>2023</v>
      </c>
      <c r="D275" s="44" t="s">
        <v>100</v>
      </c>
      <c r="E275" s="15" t="s">
        <v>39</v>
      </c>
      <c r="F275" s="108" t="s">
        <v>22</v>
      </c>
      <c r="G275" s="15" t="s">
        <v>159</v>
      </c>
      <c r="H275" s="44"/>
      <c r="I275" s="15" t="s">
        <v>213</v>
      </c>
      <c r="J275" s="15" t="s">
        <v>91</v>
      </c>
      <c r="K275" s="15" t="s">
        <v>97</v>
      </c>
      <c r="L275" s="15" t="s">
        <v>212</v>
      </c>
      <c r="M275" s="15" t="s">
        <v>158</v>
      </c>
      <c r="N275" s="15" t="s">
        <v>68</v>
      </c>
      <c r="O275" s="15" t="s">
        <v>102</v>
      </c>
      <c r="P275" s="15" t="s">
        <v>232</v>
      </c>
      <c r="Q275" s="42"/>
      <c r="R275" s="42"/>
      <c r="S275" s="42">
        <v>434</v>
      </c>
      <c r="T275" s="43">
        <v>434</v>
      </c>
      <c r="U275" s="44" t="s">
        <v>41</v>
      </c>
      <c r="V275" s="153">
        <v>30</v>
      </c>
      <c r="W275" s="45" cm="1">
        <f t="array" ref="W275">IF(U275="",0,_xlfn.XLOOKUP(E275&amp;U275&amp;F275,tab_act&amp;tab_mod&amp;tab_act1,tab_riz)*V275*T275/MGMT)</f>
        <v>0</v>
      </c>
      <c r="X275" s="42" cm="1">
        <f t="array" ref="X275">IF(U275="",0,_xlfn.XLOOKUP(E275&amp;U275&amp;F275,tab_act&amp;tab_mod&amp;tab_act1,tab_mc)*V275*T275/MGMT)</f>
        <v>0</v>
      </c>
      <c r="Y275" s="42" cm="1">
        <f t="array" ref="Y275">IF(U275="",0,_xlfn.XLOOKUP(E275&amp;U275&amp;F275,tab_act&amp;tab_mod&amp;tab_act1,tab_sor)*V275*T275/MGMT)</f>
        <v>0</v>
      </c>
      <c r="Z275" s="42" cm="1">
        <f t="array" ref="Z275">IF(U275="",0,_xlfn.XLOOKUP(E275&amp;U275&amp;F275,tab_act&amp;tab_mod&amp;tab_act1,tab_mg)*V275*T275/MGMT)</f>
        <v>0</v>
      </c>
      <c r="AA275" s="46" cm="1">
        <f t="array" ref="AA275">IF(U275="",0,IF(U275="hybrid-Sch",_xlfn.XLOOKUP(E275&amp;U275&amp;F275,tab_act&amp;tab_mod&amp;tab_act1,tab_ls)*SchLS*T275/MGMT,_xlfn.XLOOKUP(E275&amp;U275&amp;F275,tab_act&amp;tab_mod&amp;tab_act1,tab_ls)*V275*T275/MGMT))</f>
        <v>0</v>
      </c>
      <c r="AB275" s="46" cm="1">
        <f t="array" ref="AB275">IF(U275="",0,_xlfn.XLOOKUP(E275&amp;U275&amp;F275,tab_act&amp;tab_mod&amp;tab_act1,tab_hu)*V275*T275/MGMT)</f>
        <v>0</v>
      </c>
      <c r="AC275" s="46" cm="1">
        <f t="array" ref="AC275">IF(U275="",0,_xlfn.XLOOKUP(E275&amp;U275&amp;F275,tab_act&amp;tab_mod&amp;tab_act1,tab_mnp)*V275*T275/MGMT)</f>
        <v>0</v>
      </c>
      <c r="AD275" s="46" cm="1">
        <f t="array" ref="AD275">IF(U275="",0,_xlfn.XLOOKUP(E275&amp;U275&amp;F275,tab_act&amp;tab_mod&amp;tab_act1,tab_Psup)*V275*T275/MGMT)</f>
        <v>0</v>
      </c>
      <c r="AE275" s="46" cm="1">
        <f t="array" ref="AE275">IF(U275="",0,_xlfn.XLOOKUP(E275&amp;U275&amp;F275,tab_act&amp;tab_mod&amp;tab_act1,tab_csb1)*V275*T275/MGMT)</f>
        <v>0</v>
      </c>
      <c r="AF275" s="46" cm="1">
        <f t="array" ref="AF275">IF(U275="",0,_xlfn.XLOOKUP(E275&amp;U275&amp;F275,tab_act&amp;tab_mod&amp;tab_act1,tab_csb2)*V275*T275/MGMT)</f>
        <v>0</v>
      </c>
      <c r="AG275" s="109" cm="1">
        <f t="array" ref="AG275">IF(U275="",0,_xlfn.XLOOKUP(E275&amp;U275&amp;F275,tab_act&amp;tab_mod&amp;tab_act1,tab_pdoz)*V275*T275/MGMT)</f>
        <v>0.65100000000000002</v>
      </c>
      <c r="AH275" s="46" cm="1">
        <f t="array" ref="AH275">IF(U275="",0,_xlfn.XLOOKUP(E275&amp;U275&amp;F275,tab_act&amp;tab_mod&amp;tab_act1,tab_lns)*V275*T275/MGMT)</f>
        <v>0</v>
      </c>
      <c r="AI275" s="47">
        <f t="shared" si="23"/>
        <v>0.65100000000000002</v>
      </c>
      <c r="AJ275" s="48" cm="1">
        <f t="array" ref="AJ275">IF(U275="",0,_xlfn.XLOOKUP(E275&amp;U275&amp;F275,tab_act&amp;tab_mod&amp;tab_act1,tab_cash)*T275)</f>
        <v>0</v>
      </c>
      <c r="AK275" s="134" cm="1">
        <f t="array" ref="AK275">IF(B275="",0,IF(C275="",0,AJ275/_xlfn.XLOOKUP(B275&amp;C275,RMth&amp;RYr,RAr)))</f>
        <v>0</v>
      </c>
      <c r="AN275" s="146" t="str">
        <f t="shared" si="24"/>
        <v>A</v>
      </c>
    </row>
    <row r="276" spans="2:40" x14ac:dyDescent="0.35">
      <c r="B276" s="132" t="s">
        <v>128</v>
      </c>
      <c r="C276" s="44">
        <v>2023</v>
      </c>
      <c r="D276" s="44" t="s">
        <v>100</v>
      </c>
      <c r="E276" s="15" t="s">
        <v>39</v>
      </c>
      <c r="F276" s="108" t="s">
        <v>22</v>
      </c>
      <c r="G276" s="15" t="s">
        <v>159</v>
      </c>
      <c r="H276" s="44"/>
      <c r="I276" s="15" t="s">
        <v>213</v>
      </c>
      <c r="J276" s="15" t="s">
        <v>91</v>
      </c>
      <c r="K276" s="15" t="s">
        <v>97</v>
      </c>
      <c r="L276" s="15" t="s">
        <v>212</v>
      </c>
      <c r="M276" s="15" t="s">
        <v>158</v>
      </c>
      <c r="N276" s="15" t="s">
        <v>68</v>
      </c>
      <c r="O276" s="15" t="s">
        <v>104</v>
      </c>
      <c r="P276" s="15" t="s">
        <v>233</v>
      </c>
      <c r="Q276" s="42"/>
      <c r="R276" s="42"/>
      <c r="S276" s="42">
        <v>509</v>
      </c>
      <c r="T276" s="43">
        <v>509</v>
      </c>
      <c r="U276" s="44" t="s">
        <v>41</v>
      </c>
      <c r="V276" s="153">
        <v>30</v>
      </c>
      <c r="W276" s="45" cm="1">
        <f t="array" ref="W276">IF(U276="",0,_xlfn.XLOOKUP(E276&amp;U276&amp;F276,tab_act&amp;tab_mod&amp;tab_act1,tab_riz)*V276*T276/MGMT)</f>
        <v>0</v>
      </c>
      <c r="X276" s="42" cm="1">
        <f t="array" ref="X276">IF(U276="",0,_xlfn.XLOOKUP(E276&amp;U276&amp;F276,tab_act&amp;tab_mod&amp;tab_act1,tab_mc)*V276*T276/MGMT)</f>
        <v>0</v>
      </c>
      <c r="Y276" s="42" cm="1">
        <f t="array" ref="Y276">IF(U276="",0,_xlfn.XLOOKUP(E276&amp;U276&amp;F276,tab_act&amp;tab_mod&amp;tab_act1,tab_sor)*V276*T276/MGMT)</f>
        <v>0</v>
      </c>
      <c r="Z276" s="42" cm="1">
        <f t="array" ref="Z276">IF(U276="",0,_xlfn.XLOOKUP(E276&amp;U276&amp;F276,tab_act&amp;tab_mod&amp;tab_act1,tab_mg)*V276*T276/MGMT)</f>
        <v>0</v>
      </c>
      <c r="AA276" s="46" cm="1">
        <f t="array" ref="AA276">IF(U276="",0,IF(U276="hybrid-Sch",_xlfn.XLOOKUP(E276&amp;U276&amp;F276,tab_act&amp;tab_mod&amp;tab_act1,tab_ls)*SchLS*T276/MGMT,_xlfn.XLOOKUP(E276&amp;U276&amp;F276,tab_act&amp;tab_mod&amp;tab_act1,tab_ls)*V276*T276/MGMT))</f>
        <v>0</v>
      </c>
      <c r="AB276" s="46" cm="1">
        <f t="array" ref="AB276">IF(U276="",0,_xlfn.XLOOKUP(E276&amp;U276&amp;F276,tab_act&amp;tab_mod&amp;tab_act1,tab_hu)*V276*T276/MGMT)</f>
        <v>0</v>
      </c>
      <c r="AC276" s="46" cm="1">
        <f t="array" ref="AC276">IF(U276="",0,_xlfn.XLOOKUP(E276&amp;U276&amp;F276,tab_act&amp;tab_mod&amp;tab_act1,tab_mnp)*V276*T276/MGMT)</f>
        <v>0</v>
      </c>
      <c r="AD276" s="46" cm="1">
        <f t="array" ref="AD276">IF(U276="",0,_xlfn.XLOOKUP(E276&amp;U276&amp;F276,tab_act&amp;tab_mod&amp;tab_act1,tab_Psup)*V276*T276/MGMT)</f>
        <v>0</v>
      </c>
      <c r="AE276" s="46" cm="1">
        <f t="array" ref="AE276">IF(U276="",0,_xlfn.XLOOKUP(E276&amp;U276&amp;F276,tab_act&amp;tab_mod&amp;tab_act1,tab_csb1)*V276*T276/MGMT)</f>
        <v>0</v>
      </c>
      <c r="AF276" s="46" cm="1">
        <f t="array" ref="AF276">IF(U276="",0,_xlfn.XLOOKUP(E276&amp;U276&amp;F276,tab_act&amp;tab_mod&amp;tab_act1,tab_csb2)*V276*T276/MGMT)</f>
        <v>0</v>
      </c>
      <c r="AG276" s="109" cm="1">
        <f t="array" ref="AG276">IF(U276="",0,_xlfn.XLOOKUP(E276&amp;U276&amp;F276,tab_act&amp;tab_mod&amp;tab_act1,tab_pdoz)*V276*T276/MGMT)</f>
        <v>0.76349999999999996</v>
      </c>
      <c r="AH276" s="46" cm="1">
        <f t="array" ref="AH276">IF(U276="",0,_xlfn.XLOOKUP(E276&amp;U276&amp;F276,tab_act&amp;tab_mod&amp;tab_act1,tab_lns)*V276*T276/MGMT)</f>
        <v>0</v>
      </c>
      <c r="AI276" s="47">
        <f t="shared" si="23"/>
        <v>0.76349999999999996</v>
      </c>
      <c r="AJ276" s="48" cm="1">
        <f t="array" ref="AJ276">IF(U276="",0,_xlfn.XLOOKUP(E276&amp;U276&amp;F276,tab_act&amp;tab_mod&amp;tab_act1,tab_cash)*T276)</f>
        <v>0</v>
      </c>
      <c r="AK276" s="134" cm="1">
        <f t="array" ref="AK276">IF(B276="",0,IF(C276="",0,AJ276/_xlfn.XLOOKUP(B276&amp;C276,RMth&amp;RYr,RAr)))</f>
        <v>0</v>
      </c>
      <c r="AN276" s="146" t="str">
        <f t="shared" si="24"/>
        <v>A</v>
      </c>
    </row>
    <row r="277" spans="2:40" x14ac:dyDescent="0.35">
      <c r="B277" s="132" t="s">
        <v>128</v>
      </c>
      <c r="C277" s="44">
        <v>2023</v>
      </c>
      <c r="D277" s="44" t="s">
        <v>100</v>
      </c>
      <c r="E277" s="15" t="s">
        <v>39</v>
      </c>
      <c r="F277" s="108" t="s">
        <v>22</v>
      </c>
      <c r="G277" s="15" t="s">
        <v>159</v>
      </c>
      <c r="H277" s="44"/>
      <c r="I277" s="15" t="s">
        <v>213</v>
      </c>
      <c r="J277" s="15" t="s">
        <v>91</v>
      </c>
      <c r="K277" s="15" t="s">
        <v>97</v>
      </c>
      <c r="L277" s="15" t="s">
        <v>212</v>
      </c>
      <c r="M277" s="15" t="s">
        <v>158</v>
      </c>
      <c r="N277" s="15" t="s">
        <v>68</v>
      </c>
      <c r="O277" s="15" t="s">
        <v>104</v>
      </c>
      <c r="P277" s="15" t="s">
        <v>234</v>
      </c>
      <c r="Q277" s="42"/>
      <c r="R277" s="42"/>
      <c r="S277" s="42">
        <v>188</v>
      </c>
      <c r="T277" s="43">
        <v>188</v>
      </c>
      <c r="U277" s="44" t="s">
        <v>41</v>
      </c>
      <c r="V277" s="153">
        <v>30</v>
      </c>
      <c r="W277" s="45" cm="1">
        <f t="array" ref="W277">IF(U277="",0,_xlfn.XLOOKUP(E277&amp;U277&amp;F277,tab_act&amp;tab_mod&amp;tab_act1,tab_riz)*V277*T277/MGMT)</f>
        <v>0</v>
      </c>
      <c r="X277" s="42" cm="1">
        <f t="array" ref="X277">IF(U277="",0,_xlfn.XLOOKUP(E277&amp;U277&amp;F277,tab_act&amp;tab_mod&amp;tab_act1,tab_mc)*V277*T277/MGMT)</f>
        <v>0</v>
      </c>
      <c r="Y277" s="42" cm="1">
        <f t="array" ref="Y277">IF(U277="",0,_xlfn.XLOOKUP(E277&amp;U277&amp;F277,tab_act&amp;tab_mod&amp;tab_act1,tab_sor)*V277*T277/MGMT)</f>
        <v>0</v>
      </c>
      <c r="Z277" s="42" cm="1">
        <f t="array" ref="Z277">IF(U277="",0,_xlfn.XLOOKUP(E277&amp;U277&amp;F277,tab_act&amp;tab_mod&amp;tab_act1,tab_mg)*V277*T277/MGMT)</f>
        <v>0</v>
      </c>
      <c r="AA277" s="46" cm="1">
        <f t="array" ref="AA277">IF(U277="",0,IF(U277="hybrid-Sch",_xlfn.XLOOKUP(E277&amp;U277&amp;F277,tab_act&amp;tab_mod&amp;tab_act1,tab_ls)*SchLS*T277/MGMT,_xlfn.XLOOKUP(E277&amp;U277&amp;F277,tab_act&amp;tab_mod&amp;tab_act1,tab_ls)*V277*T277/MGMT))</f>
        <v>0</v>
      </c>
      <c r="AB277" s="46" cm="1">
        <f t="array" ref="AB277">IF(U277="",0,_xlfn.XLOOKUP(E277&amp;U277&amp;F277,tab_act&amp;tab_mod&amp;tab_act1,tab_hu)*V277*T277/MGMT)</f>
        <v>0</v>
      </c>
      <c r="AC277" s="46" cm="1">
        <f t="array" ref="AC277">IF(U277="",0,_xlfn.XLOOKUP(E277&amp;U277&amp;F277,tab_act&amp;tab_mod&amp;tab_act1,tab_mnp)*V277*T277/MGMT)</f>
        <v>0</v>
      </c>
      <c r="AD277" s="46" cm="1">
        <f t="array" ref="AD277">IF(U277="",0,_xlfn.XLOOKUP(E277&amp;U277&amp;F277,tab_act&amp;tab_mod&amp;tab_act1,tab_Psup)*V277*T277/MGMT)</f>
        <v>0</v>
      </c>
      <c r="AE277" s="46" cm="1">
        <f t="array" ref="AE277">IF(U277="",0,_xlfn.XLOOKUP(E277&amp;U277&amp;F277,tab_act&amp;tab_mod&amp;tab_act1,tab_csb1)*V277*T277/MGMT)</f>
        <v>0</v>
      </c>
      <c r="AF277" s="46" cm="1">
        <f t="array" ref="AF277">IF(U277="",0,_xlfn.XLOOKUP(E277&amp;U277&amp;F277,tab_act&amp;tab_mod&amp;tab_act1,tab_csb2)*V277*T277/MGMT)</f>
        <v>0</v>
      </c>
      <c r="AG277" s="109" cm="1">
        <f t="array" ref="AG277">IF(U277="",0,_xlfn.XLOOKUP(E277&amp;U277&amp;F277,tab_act&amp;tab_mod&amp;tab_act1,tab_pdoz)*V277*T277/MGMT)</f>
        <v>0.28199999999999997</v>
      </c>
      <c r="AH277" s="46" cm="1">
        <f t="array" ref="AH277">IF(U277="",0,_xlfn.XLOOKUP(E277&amp;U277&amp;F277,tab_act&amp;tab_mod&amp;tab_act1,tab_lns)*V277*T277/MGMT)</f>
        <v>0</v>
      </c>
      <c r="AI277" s="47">
        <f t="shared" si="23"/>
        <v>0.28199999999999997</v>
      </c>
      <c r="AJ277" s="48" cm="1">
        <f t="array" ref="AJ277">IF(U277="",0,_xlfn.XLOOKUP(E277&amp;U277&amp;F277,tab_act&amp;tab_mod&amp;tab_act1,tab_cash)*T277)</f>
        <v>0</v>
      </c>
      <c r="AK277" s="134" cm="1">
        <f t="array" ref="AK277">IF(B277="",0,IF(C277="",0,AJ277/_xlfn.XLOOKUP(B277&amp;C277,RMth&amp;RYr,RAr)))</f>
        <v>0</v>
      </c>
      <c r="AN277" s="146" t="str">
        <f t="shared" si="24"/>
        <v>A</v>
      </c>
    </row>
    <row r="278" spans="2:40" x14ac:dyDescent="0.35">
      <c r="B278" s="132" t="s">
        <v>128</v>
      </c>
      <c r="C278" s="44">
        <v>2023</v>
      </c>
      <c r="D278" s="44" t="s">
        <v>100</v>
      </c>
      <c r="E278" s="15" t="s">
        <v>39</v>
      </c>
      <c r="F278" s="108" t="s">
        <v>22</v>
      </c>
      <c r="G278" s="15" t="s">
        <v>159</v>
      </c>
      <c r="H278" s="44"/>
      <c r="I278" s="15" t="s">
        <v>213</v>
      </c>
      <c r="J278" s="15" t="s">
        <v>91</v>
      </c>
      <c r="K278" s="15" t="s">
        <v>97</v>
      </c>
      <c r="L278" s="15" t="s">
        <v>212</v>
      </c>
      <c r="M278" s="15" t="s">
        <v>158</v>
      </c>
      <c r="N278" s="15" t="s">
        <v>68</v>
      </c>
      <c r="O278" s="15" t="s">
        <v>104</v>
      </c>
      <c r="P278" s="15" t="s">
        <v>235</v>
      </c>
      <c r="Q278" s="42"/>
      <c r="R278" s="42"/>
      <c r="S278" s="42">
        <v>244</v>
      </c>
      <c r="T278" s="43">
        <v>244</v>
      </c>
      <c r="U278" s="44" t="s">
        <v>41</v>
      </c>
      <c r="V278" s="153">
        <v>30</v>
      </c>
      <c r="W278" s="45" cm="1">
        <f t="array" ref="W278">IF(U278="",0,_xlfn.XLOOKUP(E278&amp;U278&amp;F278,tab_act&amp;tab_mod&amp;tab_act1,tab_riz)*V278*T278/MGMT)</f>
        <v>0</v>
      </c>
      <c r="X278" s="42" cm="1">
        <f t="array" ref="X278">IF(U278="",0,_xlfn.XLOOKUP(E278&amp;U278&amp;F278,tab_act&amp;tab_mod&amp;tab_act1,tab_mc)*V278*T278/MGMT)</f>
        <v>0</v>
      </c>
      <c r="Y278" s="42" cm="1">
        <f t="array" ref="Y278">IF(U278="",0,_xlfn.XLOOKUP(E278&amp;U278&amp;F278,tab_act&amp;tab_mod&amp;tab_act1,tab_sor)*V278*T278/MGMT)</f>
        <v>0</v>
      </c>
      <c r="Z278" s="42" cm="1">
        <f t="array" ref="Z278">IF(U278="",0,_xlfn.XLOOKUP(E278&amp;U278&amp;F278,tab_act&amp;tab_mod&amp;tab_act1,tab_mg)*V278*T278/MGMT)</f>
        <v>0</v>
      </c>
      <c r="AA278" s="46" cm="1">
        <f t="array" ref="AA278">IF(U278="",0,IF(U278="hybrid-Sch",_xlfn.XLOOKUP(E278&amp;U278&amp;F278,tab_act&amp;tab_mod&amp;tab_act1,tab_ls)*SchLS*T278/MGMT,_xlfn.XLOOKUP(E278&amp;U278&amp;F278,tab_act&amp;tab_mod&amp;tab_act1,tab_ls)*V278*T278/MGMT))</f>
        <v>0</v>
      </c>
      <c r="AB278" s="46" cm="1">
        <f t="array" ref="AB278">IF(U278="",0,_xlfn.XLOOKUP(E278&amp;U278&amp;F278,tab_act&amp;tab_mod&amp;tab_act1,tab_hu)*V278*T278/MGMT)</f>
        <v>0</v>
      </c>
      <c r="AC278" s="46" cm="1">
        <f t="array" ref="AC278">IF(U278="",0,_xlfn.XLOOKUP(E278&amp;U278&amp;F278,tab_act&amp;tab_mod&amp;tab_act1,tab_mnp)*V278*T278/MGMT)</f>
        <v>0</v>
      </c>
      <c r="AD278" s="46" cm="1">
        <f t="array" ref="AD278">IF(U278="",0,_xlfn.XLOOKUP(E278&amp;U278&amp;F278,tab_act&amp;tab_mod&amp;tab_act1,tab_Psup)*V278*T278/MGMT)</f>
        <v>0</v>
      </c>
      <c r="AE278" s="46" cm="1">
        <f t="array" ref="AE278">IF(U278="",0,_xlfn.XLOOKUP(E278&amp;U278&amp;F278,tab_act&amp;tab_mod&amp;tab_act1,tab_csb1)*V278*T278/MGMT)</f>
        <v>0</v>
      </c>
      <c r="AF278" s="46" cm="1">
        <f t="array" ref="AF278">IF(U278="",0,_xlfn.XLOOKUP(E278&amp;U278&amp;F278,tab_act&amp;tab_mod&amp;tab_act1,tab_csb2)*V278*T278/MGMT)</f>
        <v>0</v>
      </c>
      <c r="AG278" s="109" cm="1">
        <f t="array" ref="AG278">IF(U278="",0,_xlfn.XLOOKUP(E278&amp;U278&amp;F278,tab_act&amp;tab_mod&amp;tab_act1,tab_pdoz)*V278*T278/MGMT)</f>
        <v>0.36599999999999999</v>
      </c>
      <c r="AH278" s="46" cm="1">
        <f t="array" ref="AH278">IF(U278="",0,_xlfn.XLOOKUP(E278&amp;U278&amp;F278,tab_act&amp;tab_mod&amp;tab_act1,tab_lns)*V278*T278/MGMT)</f>
        <v>0</v>
      </c>
      <c r="AI278" s="47">
        <f t="shared" si="23"/>
        <v>0.36599999999999999</v>
      </c>
      <c r="AJ278" s="48" cm="1">
        <f t="array" ref="AJ278">IF(U278="",0,_xlfn.XLOOKUP(E278&amp;U278&amp;F278,tab_act&amp;tab_mod&amp;tab_act1,tab_cash)*T278)</f>
        <v>0</v>
      </c>
      <c r="AK278" s="134" cm="1">
        <f t="array" ref="AK278">IF(B278="",0,IF(C278="",0,AJ278/_xlfn.XLOOKUP(B278&amp;C278,RMth&amp;RYr,RAr)))</f>
        <v>0</v>
      </c>
      <c r="AN278" s="146" t="str">
        <f t="shared" si="24"/>
        <v>A</v>
      </c>
    </row>
    <row r="279" spans="2:40" x14ac:dyDescent="0.35">
      <c r="B279" s="132" t="s">
        <v>128</v>
      </c>
      <c r="C279" s="44">
        <v>2023</v>
      </c>
      <c r="D279" s="44" t="s">
        <v>100</v>
      </c>
      <c r="E279" s="15" t="s">
        <v>39</v>
      </c>
      <c r="F279" s="108" t="s">
        <v>22</v>
      </c>
      <c r="G279" s="15" t="s">
        <v>159</v>
      </c>
      <c r="H279" s="44"/>
      <c r="I279" s="15" t="s">
        <v>213</v>
      </c>
      <c r="J279" s="15" t="s">
        <v>91</v>
      </c>
      <c r="K279" s="15" t="s">
        <v>97</v>
      </c>
      <c r="L279" s="15" t="s">
        <v>212</v>
      </c>
      <c r="M279" s="15" t="s">
        <v>158</v>
      </c>
      <c r="N279" s="15" t="s">
        <v>68</v>
      </c>
      <c r="O279" s="15" t="s">
        <v>104</v>
      </c>
      <c r="P279" s="15" t="s">
        <v>236</v>
      </c>
      <c r="Q279" s="42"/>
      <c r="R279" s="42"/>
      <c r="S279" s="42">
        <v>579</v>
      </c>
      <c r="T279" s="43">
        <v>579</v>
      </c>
      <c r="U279" s="44" t="s">
        <v>41</v>
      </c>
      <c r="V279" s="153">
        <v>30</v>
      </c>
      <c r="W279" s="45" cm="1">
        <f t="array" ref="W279">IF(U279="",0,_xlfn.XLOOKUP(E279&amp;U279&amp;F279,tab_act&amp;tab_mod&amp;tab_act1,tab_riz)*V279*T279/MGMT)</f>
        <v>0</v>
      </c>
      <c r="X279" s="42" cm="1">
        <f t="array" ref="X279">IF(U279="",0,_xlfn.XLOOKUP(E279&amp;U279&amp;F279,tab_act&amp;tab_mod&amp;tab_act1,tab_mc)*V279*T279/MGMT)</f>
        <v>0</v>
      </c>
      <c r="Y279" s="42" cm="1">
        <f t="array" ref="Y279">IF(U279="",0,_xlfn.XLOOKUP(E279&amp;U279&amp;F279,tab_act&amp;tab_mod&amp;tab_act1,tab_sor)*V279*T279/MGMT)</f>
        <v>0</v>
      </c>
      <c r="Z279" s="42" cm="1">
        <f t="array" ref="Z279">IF(U279="",0,_xlfn.XLOOKUP(E279&amp;U279&amp;F279,tab_act&amp;tab_mod&amp;tab_act1,tab_mg)*V279*T279/MGMT)</f>
        <v>0</v>
      </c>
      <c r="AA279" s="46" cm="1">
        <f t="array" ref="AA279">IF(U279="",0,IF(U279="hybrid-Sch",_xlfn.XLOOKUP(E279&amp;U279&amp;F279,tab_act&amp;tab_mod&amp;tab_act1,tab_ls)*SchLS*T279/MGMT,_xlfn.XLOOKUP(E279&amp;U279&amp;F279,tab_act&amp;tab_mod&amp;tab_act1,tab_ls)*V279*T279/MGMT))</f>
        <v>0</v>
      </c>
      <c r="AB279" s="46" cm="1">
        <f t="array" ref="AB279">IF(U279="",0,_xlfn.XLOOKUP(E279&amp;U279&amp;F279,tab_act&amp;tab_mod&amp;tab_act1,tab_hu)*V279*T279/MGMT)</f>
        <v>0</v>
      </c>
      <c r="AC279" s="46" cm="1">
        <f t="array" ref="AC279">IF(U279="",0,_xlfn.XLOOKUP(E279&amp;U279&amp;F279,tab_act&amp;tab_mod&amp;tab_act1,tab_mnp)*V279*T279/MGMT)</f>
        <v>0</v>
      </c>
      <c r="AD279" s="46" cm="1">
        <f t="array" ref="AD279">IF(U279="",0,_xlfn.XLOOKUP(E279&amp;U279&amp;F279,tab_act&amp;tab_mod&amp;tab_act1,tab_Psup)*V279*T279/MGMT)</f>
        <v>0</v>
      </c>
      <c r="AE279" s="46" cm="1">
        <f t="array" ref="AE279">IF(U279="",0,_xlfn.XLOOKUP(E279&amp;U279&amp;F279,tab_act&amp;tab_mod&amp;tab_act1,tab_csb1)*V279*T279/MGMT)</f>
        <v>0</v>
      </c>
      <c r="AF279" s="46" cm="1">
        <f t="array" ref="AF279">IF(U279="",0,_xlfn.XLOOKUP(E279&amp;U279&amp;F279,tab_act&amp;tab_mod&amp;tab_act1,tab_csb2)*V279*T279/MGMT)</f>
        <v>0</v>
      </c>
      <c r="AG279" s="109" cm="1">
        <f t="array" ref="AG279">IF(U279="",0,_xlfn.XLOOKUP(E279&amp;U279&amp;F279,tab_act&amp;tab_mod&amp;tab_act1,tab_pdoz)*V279*T279/MGMT)</f>
        <v>0.86850000000000005</v>
      </c>
      <c r="AH279" s="46" cm="1">
        <f t="array" ref="AH279">IF(U279="",0,_xlfn.XLOOKUP(E279&amp;U279&amp;F279,tab_act&amp;tab_mod&amp;tab_act1,tab_lns)*V279*T279/MGMT)</f>
        <v>0</v>
      </c>
      <c r="AI279" s="47">
        <f t="shared" si="23"/>
        <v>0.86850000000000005</v>
      </c>
      <c r="AJ279" s="48" cm="1">
        <f t="array" ref="AJ279">IF(U279="",0,_xlfn.XLOOKUP(E279&amp;U279&amp;F279,tab_act&amp;tab_mod&amp;tab_act1,tab_cash)*T279)</f>
        <v>0</v>
      </c>
      <c r="AK279" s="134" cm="1">
        <f t="array" ref="AK279">IF(B279="",0,IF(C279="",0,AJ279/_xlfn.XLOOKUP(B279&amp;C279,RMth&amp;RYr,RAr)))</f>
        <v>0</v>
      </c>
      <c r="AN279" s="146" t="str">
        <f t="shared" si="24"/>
        <v>A</v>
      </c>
    </row>
    <row r="280" spans="2:40" x14ac:dyDescent="0.35">
      <c r="B280" s="132" t="s">
        <v>128</v>
      </c>
      <c r="C280" s="44">
        <v>2023</v>
      </c>
      <c r="D280" s="44" t="s">
        <v>100</v>
      </c>
      <c r="E280" s="15" t="s">
        <v>39</v>
      </c>
      <c r="F280" s="108" t="s">
        <v>22</v>
      </c>
      <c r="G280" s="15" t="s">
        <v>159</v>
      </c>
      <c r="H280" s="44"/>
      <c r="I280" s="15" t="s">
        <v>213</v>
      </c>
      <c r="J280" s="15" t="s">
        <v>91</v>
      </c>
      <c r="K280" s="15" t="s">
        <v>97</v>
      </c>
      <c r="L280" s="15" t="s">
        <v>212</v>
      </c>
      <c r="M280" s="15" t="s">
        <v>158</v>
      </c>
      <c r="N280" s="15" t="s">
        <v>68</v>
      </c>
      <c r="O280" s="15" t="s">
        <v>103</v>
      </c>
      <c r="P280" s="15" t="s">
        <v>237</v>
      </c>
      <c r="Q280" s="42"/>
      <c r="R280" s="42"/>
      <c r="S280" s="42">
        <v>118</v>
      </c>
      <c r="T280" s="43">
        <v>118</v>
      </c>
      <c r="U280" s="44" t="s">
        <v>41</v>
      </c>
      <c r="V280" s="153">
        <v>30</v>
      </c>
      <c r="W280" s="45" cm="1">
        <f t="array" ref="W280">IF(U280="",0,_xlfn.XLOOKUP(E280&amp;U280&amp;F280,tab_act&amp;tab_mod&amp;tab_act1,tab_riz)*V280*T280/MGMT)</f>
        <v>0</v>
      </c>
      <c r="X280" s="42" cm="1">
        <f t="array" ref="X280">IF(U280="",0,_xlfn.XLOOKUP(E280&amp;U280&amp;F280,tab_act&amp;tab_mod&amp;tab_act1,tab_mc)*V280*T280/MGMT)</f>
        <v>0</v>
      </c>
      <c r="Y280" s="42" cm="1">
        <f t="array" ref="Y280">IF(U280="",0,_xlfn.XLOOKUP(E280&amp;U280&amp;F280,tab_act&amp;tab_mod&amp;tab_act1,tab_sor)*V280*T280/MGMT)</f>
        <v>0</v>
      </c>
      <c r="Z280" s="42" cm="1">
        <f t="array" ref="Z280">IF(U280="",0,_xlfn.XLOOKUP(E280&amp;U280&amp;F280,tab_act&amp;tab_mod&amp;tab_act1,tab_mg)*V280*T280/MGMT)</f>
        <v>0</v>
      </c>
      <c r="AA280" s="46" cm="1">
        <f t="array" ref="AA280">IF(U280="",0,IF(U280="hybrid-Sch",_xlfn.XLOOKUP(E280&amp;U280&amp;F280,tab_act&amp;tab_mod&amp;tab_act1,tab_ls)*SchLS*T280/MGMT,_xlfn.XLOOKUP(E280&amp;U280&amp;F280,tab_act&amp;tab_mod&amp;tab_act1,tab_ls)*V280*T280/MGMT))</f>
        <v>0</v>
      </c>
      <c r="AB280" s="46" cm="1">
        <f t="array" ref="AB280">IF(U280="",0,_xlfn.XLOOKUP(E280&amp;U280&amp;F280,tab_act&amp;tab_mod&amp;tab_act1,tab_hu)*V280*T280/MGMT)</f>
        <v>0</v>
      </c>
      <c r="AC280" s="46" cm="1">
        <f t="array" ref="AC280">IF(U280="",0,_xlfn.XLOOKUP(E280&amp;U280&amp;F280,tab_act&amp;tab_mod&amp;tab_act1,tab_mnp)*V280*T280/MGMT)</f>
        <v>0</v>
      </c>
      <c r="AD280" s="46" cm="1">
        <f t="array" ref="AD280">IF(U280="",0,_xlfn.XLOOKUP(E280&amp;U280&amp;F280,tab_act&amp;tab_mod&amp;tab_act1,tab_Psup)*V280*T280/MGMT)</f>
        <v>0</v>
      </c>
      <c r="AE280" s="46" cm="1">
        <f t="array" ref="AE280">IF(U280="",0,_xlfn.XLOOKUP(E280&amp;U280&amp;F280,tab_act&amp;tab_mod&amp;tab_act1,tab_csb1)*V280*T280/MGMT)</f>
        <v>0</v>
      </c>
      <c r="AF280" s="46" cm="1">
        <f t="array" ref="AF280">IF(U280="",0,_xlfn.XLOOKUP(E280&amp;U280&amp;F280,tab_act&amp;tab_mod&amp;tab_act1,tab_csb2)*V280*T280/MGMT)</f>
        <v>0</v>
      </c>
      <c r="AG280" s="109" cm="1">
        <f t="array" ref="AG280">IF(U280="",0,_xlfn.XLOOKUP(E280&amp;U280&amp;F280,tab_act&amp;tab_mod&amp;tab_act1,tab_pdoz)*V280*T280/MGMT)</f>
        <v>0.17699999999999999</v>
      </c>
      <c r="AH280" s="46" cm="1">
        <f t="array" ref="AH280">IF(U280="",0,_xlfn.XLOOKUP(E280&amp;U280&amp;F280,tab_act&amp;tab_mod&amp;tab_act1,tab_lns)*V280*T280/MGMT)</f>
        <v>0</v>
      </c>
      <c r="AI280" s="47">
        <f t="shared" si="23"/>
        <v>0.17699999999999999</v>
      </c>
      <c r="AJ280" s="48" cm="1">
        <f t="array" ref="AJ280">IF(U280="",0,_xlfn.XLOOKUP(E280&amp;U280&amp;F280,tab_act&amp;tab_mod&amp;tab_act1,tab_cash)*T280)</f>
        <v>0</v>
      </c>
      <c r="AK280" s="134" cm="1">
        <f t="array" ref="AK280">IF(B280="",0,IF(C280="",0,AJ280/_xlfn.XLOOKUP(B280&amp;C280,RMth&amp;RYr,RAr)))</f>
        <v>0</v>
      </c>
      <c r="AN280" s="146" t="str">
        <f t="shared" si="24"/>
        <v>A</v>
      </c>
    </row>
    <row r="281" spans="2:40" x14ac:dyDescent="0.35">
      <c r="B281" s="132" t="s">
        <v>128</v>
      </c>
      <c r="C281" s="44">
        <v>2023</v>
      </c>
      <c r="D281" s="44" t="s">
        <v>100</v>
      </c>
      <c r="E281" s="15" t="s">
        <v>39</v>
      </c>
      <c r="F281" s="108" t="s">
        <v>22</v>
      </c>
      <c r="G281" s="15" t="s">
        <v>159</v>
      </c>
      <c r="H281" s="44"/>
      <c r="I281" s="15" t="s">
        <v>213</v>
      </c>
      <c r="J281" s="15" t="s">
        <v>91</v>
      </c>
      <c r="K281" s="15" t="s">
        <v>97</v>
      </c>
      <c r="L281" s="15" t="s">
        <v>212</v>
      </c>
      <c r="M281" s="15" t="s">
        <v>158</v>
      </c>
      <c r="N281" s="15" t="s">
        <v>68</v>
      </c>
      <c r="O281" s="15" t="s">
        <v>103</v>
      </c>
      <c r="P281" s="15" t="s">
        <v>238</v>
      </c>
      <c r="Q281" s="42"/>
      <c r="R281" s="42"/>
      <c r="S281" s="42">
        <v>244</v>
      </c>
      <c r="T281" s="43">
        <v>244</v>
      </c>
      <c r="U281" s="44" t="s">
        <v>41</v>
      </c>
      <c r="V281" s="153">
        <v>30</v>
      </c>
      <c r="W281" s="45" cm="1">
        <f t="array" ref="W281">IF(U281="",0,_xlfn.XLOOKUP(E281&amp;U281&amp;F281,tab_act&amp;tab_mod&amp;tab_act1,tab_riz)*V281*T281/MGMT)</f>
        <v>0</v>
      </c>
      <c r="X281" s="42" cm="1">
        <f t="array" ref="X281">IF(U281="",0,_xlfn.XLOOKUP(E281&amp;U281&amp;F281,tab_act&amp;tab_mod&amp;tab_act1,tab_mc)*V281*T281/MGMT)</f>
        <v>0</v>
      </c>
      <c r="Y281" s="42" cm="1">
        <f t="array" ref="Y281">IF(U281="",0,_xlfn.XLOOKUP(E281&amp;U281&amp;F281,tab_act&amp;tab_mod&amp;tab_act1,tab_sor)*V281*T281/MGMT)</f>
        <v>0</v>
      </c>
      <c r="Z281" s="42" cm="1">
        <f t="array" ref="Z281">IF(U281="",0,_xlfn.XLOOKUP(E281&amp;U281&amp;F281,tab_act&amp;tab_mod&amp;tab_act1,tab_mg)*V281*T281/MGMT)</f>
        <v>0</v>
      </c>
      <c r="AA281" s="46" cm="1">
        <f t="array" ref="AA281">IF(U281="",0,IF(U281="hybrid-Sch",_xlfn.XLOOKUP(E281&amp;U281&amp;F281,tab_act&amp;tab_mod&amp;tab_act1,tab_ls)*SchLS*T281/MGMT,_xlfn.XLOOKUP(E281&amp;U281&amp;F281,tab_act&amp;tab_mod&amp;tab_act1,tab_ls)*V281*T281/MGMT))</f>
        <v>0</v>
      </c>
      <c r="AB281" s="46" cm="1">
        <f t="array" ref="AB281">IF(U281="",0,_xlfn.XLOOKUP(E281&amp;U281&amp;F281,tab_act&amp;tab_mod&amp;tab_act1,tab_hu)*V281*T281/MGMT)</f>
        <v>0</v>
      </c>
      <c r="AC281" s="46" cm="1">
        <f t="array" ref="AC281">IF(U281="",0,_xlfn.XLOOKUP(E281&amp;U281&amp;F281,tab_act&amp;tab_mod&amp;tab_act1,tab_mnp)*V281*T281/MGMT)</f>
        <v>0</v>
      </c>
      <c r="AD281" s="46" cm="1">
        <f t="array" ref="AD281">IF(U281="",0,_xlfn.XLOOKUP(E281&amp;U281&amp;F281,tab_act&amp;tab_mod&amp;tab_act1,tab_Psup)*V281*T281/MGMT)</f>
        <v>0</v>
      </c>
      <c r="AE281" s="46" cm="1">
        <f t="array" ref="AE281">IF(U281="",0,_xlfn.XLOOKUP(E281&amp;U281&amp;F281,tab_act&amp;tab_mod&amp;tab_act1,tab_csb1)*V281*T281/MGMT)</f>
        <v>0</v>
      </c>
      <c r="AF281" s="46" cm="1">
        <f t="array" ref="AF281">IF(U281="",0,_xlfn.XLOOKUP(E281&amp;U281&amp;F281,tab_act&amp;tab_mod&amp;tab_act1,tab_csb2)*V281*T281/MGMT)</f>
        <v>0</v>
      </c>
      <c r="AG281" s="109" cm="1">
        <f t="array" ref="AG281">IF(U281="",0,_xlfn.XLOOKUP(E281&amp;U281&amp;F281,tab_act&amp;tab_mod&amp;tab_act1,tab_pdoz)*V281*T281/MGMT)</f>
        <v>0.36599999999999999</v>
      </c>
      <c r="AH281" s="46" cm="1">
        <f t="array" ref="AH281">IF(U281="",0,_xlfn.XLOOKUP(E281&amp;U281&amp;F281,tab_act&amp;tab_mod&amp;tab_act1,tab_lns)*V281*T281/MGMT)</f>
        <v>0</v>
      </c>
      <c r="AI281" s="47">
        <f t="shared" si="23"/>
        <v>0.36599999999999999</v>
      </c>
      <c r="AJ281" s="48" cm="1">
        <f t="array" ref="AJ281">IF(U281="",0,_xlfn.XLOOKUP(E281&amp;U281&amp;F281,tab_act&amp;tab_mod&amp;tab_act1,tab_cash)*T281)</f>
        <v>0</v>
      </c>
      <c r="AK281" s="134" cm="1">
        <f t="array" ref="AK281">IF(B281="",0,IF(C281="",0,AJ281/_xlfn.XLOOKUP(B281&amp;C281,RMth&amp;RYr,RAr)))</f>
        <v>0</v>
      </c>
      <c r="AN281" s="146" t="str">
        <f t="shared" si="24"/>
        <v>A</v>
      </c>
    </row>
    <row r="282" spans="2:40" x14ac:dyDescent="0.35">
      <c r="B282" s="132" t="s">
        <v>128</v>
      </c>
      <c r="C282" s="44">
        <v>2023</v>
      </c>
      <c r="D282" s="44" t="s">
        <v>100</v>
      </c>
      <c r="E282" s="15" t="s">
        <v>39</v>
      </c>
      <c r="F282" s="108" t="s">
        <v>22</v>
      </c>
      <c r="G282" s="15" t="s">
        <v>159</v>
      </c>
      <c r="H282" s="44"/>
      <c r="I282" s="15" t="s">
        <v>213</v>
      </c>
      <c r="J282" s="15" t="s">
        <v>91</v>
      </c>
      <c r="K282" s="15" t="s">
        <v>97</v>
      </c>
      <c r="L282" s="15" t="s">
        <v>212</v>
      </c>
      <c r="M282" s="15" t="s">
        <v>158</v>
      </c>
      <c r="N282" s="15" t="s">
        <v>68</v>
      </c>
      <c r="O282" s="15" t="s">
        <v>103</v>
      </c>
      <c r="P282" s="15" t="s">
        <v>239</v>
      </c>
      <c r="Q282" s="42"/>
      <c r="R282" s="42"/>
      <c r="S282" s="42">
        <v>140</v>
      </c>
      <c r="T282" s="43">
        <v>140</v>
      </c>
      <c r="U282" s="44" t="s">
        <v>41</v>
      </c>
      <c r="V282" s="153">
        <v>30</v>
      </c>
      <c r="W282" s="45" cm="1">
        <f t="array" ref="W282">IF(U282="",0,_xlfn.XLOOKUP(E282&amp;U282&amp;F282,tab_act&amp;tab_mod&amp;tab_act1,tab_riz)*V282*T282/MGMT)</f>
        <v>0</v>
      </c>
      <c r="X282" s="42" cm="1">
        <f t="array" ref="X282">IF(U282="",0,_xlfn.XLOOKUP(E282&amp;U282&amp;F282,tab_act&amp;tab_mod&amp;tab_act1,tab_mc)*V282*T282/MGMT)</f>
        <v>0</v>
      </c>
      <c r="Y282" s="42" cm="1">
        <f t="array" ref="Y282">IF(U282="",0,_xlfn.XLOOKUP(E282&amp;U282&amp;F282,tab_act&amp;tab_mod&amp;tab_act1,tab_sor)*V282*T282/MGMT)</f>
        <v>0</v>
      </c>
      <c r="Z282" s="42" cm="1">
        <f t="array" ref="Z282">IF(U282="",0,_xlfn.XLOOKUP(E282&amp;U282&amp;F282,tab_act&amp;tab_mod&amp;tab_act1,tab_mg)*V282*T282/MGMT)</f>
        <v>0</v>
      </c>
      <c r="AA282" s="46" cm="1">
        <f t="array" ref="AA282">IF(U282="",0,IF(U282="hybrid-Sch",_xlfn.XLOOKUP(E282&amp;U282&amp;F282,tab_act&amp;tab_mod&amp;tab_act1,tab_ls)*SchLS*T282/MGMT,_xlfn.XLOOKUP(E282&amp;U282&amp;F282,tab_act&amp;tab_mod&amp;tab_act1,tab_ls)*V282*T282/MGMT))</f>
        <v>0</v>
      </c>
      <c r="AB282" s="46" cm="1">
        <f t="array" ref="AB282">IF(U282="",0,_xlfn.XLOOKUP(E282&amp;U282&amp;F282,tab_act&amp;tab_mod&amp;tab_act1,tab_hu)*V282*T282/MGMT)</f>
        <v>0</v>
      </c>
      <c r="AC282" s="46" cm="1">
        <f t="array" ref="AC282">IF(U282="",0,_xlfn.XLOOKUP(E282&amp;U282&amp;F282,tab_act&amp;tab_mod&amp;tab_act1,tab_mnp)*V282*T282/MGMT)</f>
        <v>0</v>
      </c>
      <c r="AD282" s="46" cm="1">
        <f t="array" ref="AD282">IF(U282="",0,_xlfn.XLOOKUP(E282&amp;U282&amp;F282,tab_act&amp;tab_mod&amp;tab_act1,tab_Psup)*V282*T282/MGMT)</f>
        <v>0</v>
      </c>
      <c r="AE282" s="46" cm="1">
        <f t="array" ref="AE282">IF(U282="",0,_xlfn.XLOOKUP(E282&amp;U282&amp;F282,tab_act&amp;tab_mod&amp;tab_act1,tab_csb1)*V282*T282/MGMT)</f>
        <v>0</v>
      </c>
      <c r="AF282" s="46" cm="1">
        <f t="array" ref="AF282">IF(U282="",0,_xlfn.XLOOKUP(E282&amp;U282&amp;F282,tab_act&amp;tab_mod&amp;tab_act1,tab_csb2)*V282*T282/MGMT)</f>
        <v>0</v>
      </c>
      <c r="AG282" s="109" cm="1">
        <f t="array" ref="AG282">IF(U282="",0,_xlfn.XLOOKUP(E282&amp;U282&amp;F282,tab_act&amp;tab_mod&amp;tab_act1,tab_pdoz)*V282*T282/MGMT)</f>
        <v>0.21</v>
      </c>
      <c r="AH282" s="46" cm="1">
        <f t="array" ref="AH282">IF(U282="",0,_xlfn.XLOOKUP(E282&amp;U282&amp;F282,tab_act&amp;tab_mod&amp;tab_act1,tab_lns)*V282*T282/MGMT)</f>
        <v>0</v>
      </c>
      <c r="AI282" s="47">
        <f t="shared" si="23"/>
        <v>0.21</v>
      </c>
      <c r="AJ282" s="48" cm="1">
        <f t="array" ref="AJ282">IF(U282="",0,_xlfn.XLOOKUP(E282&amp;U282&amp;F282,tab_act&amp;tab_mod&amp;tab_act1,tab_cash)*T282)</f>
        <v>0</v>
      </c>
      <c r="AK282" s="134" cm="1">
        <f t="array" ref="AK282">IF(B282="",0,IF(C282="",0,AJ282/_xlfn.XLOOKUP(B282&amp;C282,RMth&amp;RYr,RAr)))</f>
        <v>0</v>
      </c>
      <c r="AN282" s="146" t="str">
        <f t="shared" si="24"/>
        <v>A</v>
      </c>
    </row>
    <row r="283" spans="2:40" x14ac:dyDescent="0.35">
      <c r="B283" s="132" t="s">
        <v>128</v>
      </c>
      <c r="C283" s="44">
        <v>2023</v>
      </c>
      <c r="D283" s="44" t="s">
        <v>100</v>
      </c>
      <c r="E283" s="15" t="s">
        <v>39</v>
      </c>
      <c r="F283" s="108" t="s">
        <v>22</v>
      </c>
      <c r="G283" s="15" t="s">
        <v>159</v>
      </c>
      <c r="H283" s="44"/>
      <c r="I283" s="15" t="s">
        <v>213</v>
      </c>
      <c r="J283" s="15" t="s">
        <v>91</v>
      </c>
      <c r="K283" s="15" t="s">
        <v>97</v>
      </c>
      <c r="L283" s="15" t="s">
        <v>212</v>
      </c>
      <c r="M283" s="15" t="s">
        <v>158</v>
      </c>
      <c r="N283" s="15" t="s">
        <v>68</v>
      </c>
      <c r="O283" s="15" t="s">
        <v>103</v>
      </c>
      <c r="P283" s="15" t="s">
        <v>240</v>
      </c>
      <c r="Q283" s="42"/>
      <c r="R283" s="42"/>
      <c r="S283" s="42">
        <v>200</v>
      </c>
      <c r="T283" s="43">
        <v>200</v>
      </c>
      <c r="U283" s="44" t="s">
        <v>41</v>
      </c>
      <c r="V283" s="153">
        <v>30</v>
      </c>
      <c r="W283" s="45" cm="1">
        <f t="array" ref="W283">IF(U283="",0,_xlfn.XLOOKUP(E283&amp;U283&amp;F283,tab_act&amp;tab_mod&amp;tab_act1,tab_riz)*V283*T283/MGMT)</f>
        <v>0</v>
      </c>
      <c r="X283" s="42" cm="1">
        <f t="array" ref="X283">IF(U283="",0,_xlfn.XLOOKUP(E283&amp;U283&amp;F283,tab_act&amp;tab_mod&amp;tab_act1,tab_mc)*V283*T283/MGMT)</f>
        <v>0</v>
      </c>
      <c r="Y283" s="42" cm="1">
        <f t="array" ref="Y283">IF(U283="",0,_xlfn.XLOOKUP(E283&amp;U283&amp;F283,tab_act&amp;tab_mod&amp;tab_act1,tab_sor)*V283*T283/MGMT)</f>
        <v>0</v>
      </c>
      <c r="Z283" s="42" cm="1">
        <f t="array" ref="Z283">IF(U283="",0,_xlfn.XLOOKUP(E283&amp;U283&amp;F283,tab_act&amp;tab_mod&amp;tab_act1,tab_mg)*V283*T283/MGMT)</f>
        <v>0</v>
      </c>
      <c r="AA283" s="46" cm="1">
        <f t="array" ref="AA283">IF(U283="",0,IF(U283="hybrid-Sch",_xlfn.XLOOKUP(E283&amp;U283&amp;F283,tab_act&amp;tab_mod&amp;tab_act1,tab_ls)*SchLS*T283/MGMT,_xlfn.XLOOKUP(E283&amp;U283&amp;F283,tab_act&amp;tab_mod&amp;tab_act1,tab_ls)*V283*T283/MGMT))</f>
        <v>0</v>
      </c>
      <c r="AB283" s="46" cm="1">
        <f t="array" ref="AB283">IF(U283="",0,_xlfn.XLOOKUP(E283&amp;U283&amp;F283,tab_act&amp;tab_mod&amp;tab_act1,tab_hu)*V283*T283/MGMT)</f>
        <v>0</v>
      </c>
      <c r="AC283" s="46" cm="1">
        <f t="array" ref="AC283">IF(U283="",0,_xlfn.XLOOKUP(E283&amp;U283&amp;F283,tab_act&amp;tab_mod&amp;tab_act1,tab_mnp)*V283*T283/MGMT)</f>
        <v>0</v>
      </c>
      <c r="AD283" s="46" cm="1">
        <f t="array" ref="AD283">IF(U283="",0,_xlfn.XLOOKUP(E283&amp;U283&amp;F283,tab_act&amp;tab_mod&amp;tab_act1,tab_Psup)*V283*T283/MGMT)</f>
        <v>0</v>
      </c>
      <c r="AE283" s="46" cm="1">
        <f t="array" ref="AE283">IF(U283="",0,_xlfn.XLOOKUP(E283&amp;U283&amp;F283,tab_act&amp;tab_mod&amp;tab_act1,tab_csb1)*V283*T283/MGMT)</f>
        <v>0</v>
      </c>
      <c r="AF283" s="46" cm="1">
        <f t="array" ref="AF283">IF(U283="",0,_xlfn.XLOOKUP(E283&amp;U283&amp;F283,tab_act&amp;tab_mod&amp;tab_act1,tab_csb2)*V283*T283/MGMT)</f>
        <v>0</v>
      </c>
      <c r="AG283" s="109" cm="1">
        <f t="array" ref="AG283">IF(U283="",0,_xlfn.XLOOKUP(E283&amp;U283&amp;F283,tab_act&amp;tab_mod&amp;tab_act1,tab_pdoz)*V283*T283/MGMT)</f>
        <v>0.3</v>
      </c>
      <c r="AH283" s="46" cm="1">
        <f t="array" ref="AH283">IF(U283="",0,_xlfn.XLOOKUP(E283&amp;U283&amp;F283,tab_act&amp;tab_mod&amp;tab_act1,tab_lns)*V283*T283/MGMT)</f>
        <v>0</v>
      </c>
      <c r="AI283" s="47">
        <f t="shared" si="23"/>
        <v>0.3</v>
      </c>
      <c r="AJ283" s="48" cm="1">
        <f t="array" ref="AJ283">IF(U283="",0,_xlfn.XLOOKUP(E283&amp;U283&amp;F283,tab_act&amp;tab_mod&amp;tab_act1,tab_cash)*T283)</f>
        <v>0</v>
      </c>
      <c r="AK283" s="134" cm="1">
        <f t="array" ref="AK283">IF(B283="",0,IF(C283="",0,AJ283/_xlfn.XLOOKUP(B283&amp;C283,RMth&amp;RYr,RAr)))</f>
        <v>0</v>
      </c>
      <c r="AN283" s="146" t="str">
        <f t="shared" si="24"/>
        <v>A</v>
      </c>
    </row>
    <row r="284" spans="2:40" x14ac:dyDescent="0.35">
      <c r="B284" s="132" t="s">
        <v>128</v>
      </c>
      <c r="C284" s="44">
        <v>2023</v>
      </c>
      <c r="D284" s="44" t="s">
        <v>100</v>
      </c>
      <c r="E284" s="15" t="s">
        <v>39</v>
      </c>
      <c r="F284" s="108" t="s">
        <v>22</v>
      </c>
      <c r="G284" s="15" t="s">
        <v>159</v>
      </c>
      <c r="H284" s="44"/>
      <c r="I284" s="15" t="s">
        <v>213</v>
      </c>
      <c r="J284" s="15" t="s">
        <v>91</v>
      </c>
      <c r="K284" s="15" t="s">
        <v>97</v>
      </c>
      <c r="L284" s="15" t="s">
        <v>212</v>
      </c>
      <c r="M284" s="15" t="s">
        <v>158</v>
      </c>
      <c r="N284" s="15" t="s">
        <v>68</v>
      </c>
      <c r="O284" s="15" t="s">
        <v>103</v>
      </c>
      <c r="P284" s="15" t="s">
        <v>241</v>
      </c>
      <c r="Q284" s="42"/>
      <c r="R284" s="42"/>
      <c r="S284" s="42">
        <v>160</v>
      </c>
      <c r="T284" s="43">
        <v>160</v>
      </c>
      <c r="U284" s="44" t="s">
        <v>41</v>
      </c>
      <c r="V284" s="153">
        <v>30</v>
      </c>
      <c r="W284" s="45" cm="1">
        <f t="array" ref="W284">IF(U284="",0,_xlfn.XLOOKUP(E284&amp;U284&amp;F284,tab_act&amp;tab_mod&amp;tab_act1,tab_riz)*V284*T284/MGMT)</f>
        <v>0</v>
      </c>
      <c r="X284" s="42" cm="1">
        <f t="array" ref="X284">IF(U284="",0,_xlfn.XLOOKUP(E284&amp;U284&amp;F284,tab_act&amp;tab_mod&amp;tab_act1,tab_mc)*V284*T284/MGMT)</f>
        <v>0</v>
      </c>
      <c r="Y284" s="42" cm="1">
        <f t="array" ref="Y284">IF(U284="",0,_xlfn.XLOOKUP(E284&amp;U284&amp;F284,tab_act&amp;tab_mod&amp;tab_act1,tab_sor)*V284*T284/MGMT)</f>
        <v>0</v>
      </c>
      <c r="Z284" s="42" cm="1">
        <f t="array" ref="Z284">IF(U284="",0,_xlfn.XLOOKUP(E284&amp;U284&amp;F284,tab_act&amp;tab_mod&amp;tab_act1,tab_mg)*V284*T284/MGMT)</f>
        <v>0</v>
      </c>
      <c r="AA284" s="46" cm="1">
        <f t="array" ref="AA284">IF(U284="",0,IF(U284="hybrid-Sch",_xlfn.XLOOKUP(E284&amp;U284&amp;F284,tab_act&amp;tab_mod&amp;tab_act1,tab_ls)*SchLS*T284/MGMT,_xlfn.XLOOKUP(E284&amp;U284&amp;F284,tab_act&amp;tab_mod&amp;tab_act1,tab_ls)*V284*T284/MGMT))</f>
        <v>0</v>
      </c>
      <c r="AB284" s="46" cm="1">
        <f t="array" ref="AB284">IF(U284="",0,_xlfn.XLOOKUP(E284&amp;U284&amp;F284,tab_act&amp;tab_mod&amp;tab_act1,tab_hu)*V284*T284/MGMT)</f>
        <v>0</v>
      </c>
      <c r="AC284" s="46" cm="1">
        <f t="array" ref="AC284">IF(U284="",0,_xlfn.XLOOKUP(E284&amp;U284&amp;F284,tab_act&amp;tab_mod&amp;tab_act1,tab_mnp)*V284*T284/MGMT)</f>
        <v>0</v>
      </c>
      <c r="AD284" s="46" cm="1">
        <f t="array" ref="AD284">IF(U284="",0,_xlfn.XLOOKUP(E284&amp;U284&amp;F284,tab_act&amp;tab_mod&amp;tab_act1,tab_Psup)*V284*T284/MGMT)</f>
        <v>0</v>
      </c>
      <c r="AE284" s="46" cm="1">
        <f t="array" ref="AE284">IF(U284="",0,_xlfn.XLOOKUP(E284&amp;U284&amp;F284,tab_act&amp;tab_mod&amp;tab_act1,tab_csb1)*V284*T284/MGMT)</f>
        <v>0</v>
      </c>
      <c r="AF284" s="46" cm="1">
        <f t="array" ref="AF284">IF(U284="",0,_xlfn.XLOOKUP(E284&amp;U284&amp;F284,tab_act&amp;tab_mod&amp;tab_act1,tab_csb2)*V284*T284/MGMT)</f>
        <v>0</v>
      </c>
      <c r="AG284" s="109" cm="1">
        <f t="array" ref="AG284">IF(U284="",0,_xlfn.XLOOKUP(E284&amp;U284&amp;F284,tab_act&amp;tab_mod&amp;tab_act1,tab_pdoz)*V284*T284/MGMT)</f>
        <v>0.24</v>
      </c>
      <c r="AH284" s="46" cm="1">
        <f t="array" ref="AH284">IF(U284="",0,_xlfn.XLOOKUP(E284&amp;U284&amp;F284,tab_act&amp;tab_mod&amp;tab_act1,tab_lns)*V284*T284/MGMT)</f>
        <v>0</v>
      </c>
      <c r="AI284" s="47">
        <f t="shared" si="23"/>
        <v>0.24</v>
      </c>
      <c r="AJ284" s="48" cm="1">
        <f t="array" ref="AJ284">IF(U284="",0,_xlfn.XLOOKUP(E284&amp;U284&amp;F284,tab_act&amp;tab_mod&amp;tab_act1,tab_cash)*T284)</f>
        <v>0</v>
      </c>
      <c r="AK284" s="134" cm="1">
        <f t="array" ref="AK284">IF(B284="",0,IF(C284="",0,AJ284/_xlfn.XLOOKUP(B284&amp;C284,RMth&amp;RYr,RAr)))</f>
        <v>0</v>
      </c>
      <c r="AN284" s="146" t="str">
        <f t="shared" si="24"/>
        <v>A</v>
      </c>
    </row>
    <row r="285" spans="2:40" x14ac:dyDescent="0.35">
      <c r="B285" s="132" t="s">
        <v>128</v>
      </c>
      <c r="C285" s="44">
        <v>2023</v>
      </c>
      <c r="D285" s="44" t="s">
        <v>100</v>
      </c>
      <c r="E285" s="15" t="s">
        <v>39</v>
      </c>
      <c r="F285" s="108" t="s">
        <v>22</v>
      </c>
      <c r="G285" s="15" t="s">
        <v>159</v>
      </c>
      <c r="H285" s="44"/>
      <c r="I285" s="15" t="s">
        <v>213</v>
      </c>
      <c r="J285" s="15" t="s">
        <v>91</v>
      </c>
      <c r="K285" s="15" t="s">
        <v>97</v>
      </c>
      <c r="L285" s="15" t="s">
        <v>212</v>
      </c>
      <c r="M285" s="15" t="s">
        <v>158</v>
      </c>
      <c r="N285" s="15" t="s">
        <v>68</v>
      </c>
      <c r="O285" s="15" t="s">
        <v>103</v>
      </c>
      <c r="P285" s="15" t="s">
        <v>242</v>
      </c>
      <c r="Q285" s="42"/>
      <c r="R285" s="42"/>
      <c r="S285" s="42">
        <v>162</v>
      </c>
      <c r="T285" s="43">
        <v>162</v>
      </c>
      <c r="U285" s="44" t="s">
        <v>41</v>
      </c>
      <c r="V285" s="153">
        <v>30</v>
      </c>
      <c r="W285" s="45" cm="1">
        <f t="array" ref="W285">IF(U285="",0,_xlfn.XLOOKUP(E285&amp;U285&amp;F285,tab_act&amp;tab_mod&amp;tab_act1,tab_riz)*V285*T285/MGMT)</f>
        <v>0</v>
      </c>
      <c r="X285" s="42" cm="1">
        <f t="array" ref="X285">IF(U285="",0,_xlfn.XLOOKUP(E285&amp;U285&amp;F285,tab_act&amp;tab_mod&amp;tab_act1,tab_mc)*V285*T285/MGMT)</f>
        <v>0</v>
      </c>
      <c r="Y285" s="42" cm="1">
        <f t="array" ref="Y285">IF(U285="",0,_xlfn.XLOOKUP(E285&amp;U285&amp;F285,tab_act&amp;tab_mod&amp;tab_act1,tab_sor)*V285*T285/MGMT)</f>
        <v>0</v>
      </c>
      <c r="Z285" s="42" cm="1">
        <f t="array" ref="Z285">IF(U285="",0,_xlfn.XLOOKUP(E285&amp;U285&amp;F285,tab_act&amp;tab_mod&amp;tab_act1,tab_mg)*V285*T285/MGMT)</f>
        <v>0</v>
      </c>
      <c r="AA285" s="46" cm="1">
        <f t="array" ref="AA285">IF(U285="",0,IF(U285="hybrid-Sch",_xlfn.XLOOKUP(E285&amp;U285&amp;F285,tab_act&amp;tab_mod&amp;tab_act1,tab_ls)*SchLS*T285/MGMT,_xlfn.XLOOKUP(E285&amp;U285&amp;F285,tab_act&amp;tab_mod&amp;tab_act1,tab_ls)*V285*T285/MGMT))</f>
        <v>0</v>
      </c>
      <c r="AB285" s="46" cm="1">
        <f t="array" ref="AB285">IF(U285="",0,_xlfn.XLOOKUP(E285&amp;U285&amp;F285,tab_act&amp;tab_mod&amp;tab_act1,tab_hu)*V285*T285/MGMT)</f>
        <v>0</v>
      </c>
      <c r="AC285" s="46" cm="1">
        <f t="array" ref="AC285">IF(U285="",0,_xlfn.XLOOKUP(E285&amp;U285&amp;F285,tab_act&amp;tab_mod&amp;tab_act1,tab_mnp)*V285*T285/MGMT)</f>
        <v>0</v>
      </c>
      <c r="AD285" s="46" cm="1">
        <f t="array" ref="AD285">IF(U285="",0,_xlfn.XLOOKUP(E285&amp;U285&amp;F285,tab_act&amp;tab_mod&amp;tab_act1,tab_Psup)*V285*T285/MGMT)</f>
        <v>0</v>
      </c>
      <c r="AE285" s="46" cm="1">
        <f t="array" ref="AE285">IF(U285="",0,_xlfn.XLOOKUP(E285&amp;U285&amp;F285,tab_act&amp;tab_mod&amp;tab_act1,tab_csb1)*V285*T285/MGMT)</f>
        <v>0</v>
      </c>
      <c r="AF285" s="46" cm="1">
        <f t="array" ref="AF285">IF(U285="",0,_xlfn.XLOOKUP(E285&amp;U285&amp;F285,tab_act&amp;tab_mod&amp;tab_act1,tab_csb2)*V285*T285/MGMT)</f>
        <v>0</v>
      </c>
      <c r="AG285" s="109" cm="1">
        <f t="array" ref="AG285">IF(U285="",0,_xlfn.XLOOKUP(E285&amp;U285&amp;F285,tab_act&amp;tab_mod&amp;tab_act1,tab_pdoz)*V285*T285/MGMT)</f>
        <v>0.24299999999999999</v>
      </c>
      <c r="AH285" s="46" cm="1">
        <f t="array" ref="AH285">IF(U285="",0,_xlfn.XLOOKUP(E285&amp;U285&amp;F285,tab_act&amp;tab_mod&amp;tab_act1,tab_lns)*V285*T285/MGMT)</f>
        <v>0</v>
      </c>
      <c r="AI285" s="47">
        <f t="shared" si="23"/>
        <v>0.24299999999999999</v>
      </c>
      <c r="AJ285" s="48" cm="1">
        <f t="array" ref="AJ285">IF(U285="",0,_xlfn.XLOOKUP(E285&amp;U285&amp;F285,tab_act&amp;tab_mod&amp;tab_act1,tab_cash)*T285)</f>
        <v>0</v>
      </c>
      <c r="AK285" s="134" cm="1">
        <f t="array" ref="AK285">IF(B285="",0,IF(C285="",0,AJ285/_xlfn.XLOOKUP(B285&amp;C285,RMth&amp;RYr,RAr)))</f>
        <v>0</v>
      </c>
      <c r="AN285" s="146" t="str">
        <f t="shared" si="24"/>
        <v>A</v>
      </c>
    </row>
    <row r="286" spans="2:40" x14ac:dyDescent="0.35">
      <c r="B286" s="132" t="s">
        <v>128</v>
      </c>
      <c r="C286" s="44">
        <v>2023</v>
      </c>
      <c r="D286" s="44" t="s">
        <v>100</v>
      </c>
      <c r="E286" s="15" t="s">
        <v>39</v>
      </c>
      <c r="F286" s="108" t="s">
        <v>22</v>
      </c>
      <c r="G286" s="15" t="s">
        <v>159</v>
      </c>
      <c r="H286" s="44"/>
      <c r="I286" s="15" t="s">
        <v>213</v>
      </c>
      <c r="J286" s="15" t="s">
        <v>91</v>
      </c>
      <c r="K286" s="15" t="s">
        <v>97</v>
      </c>
      <c r="L286" s="15" t="s">
        <v>212</v>
      </c>
      <c r="M286" s="15" t="s">
        <v>158</v>
      </c>
      <c r="N286" s="15" t="s">
        <v>68</v>
      </c>
      <c r="O286" s="15" t="s">
        <v>103</v>
      </c>
      <c r="P286" s="15" t="s">
        <v>243</v>
      </c>
      <c r="Q286" s="42"/>
      <c r="R286" s="42"/>
      <c r="S286" s="42">
        <v>274</v>
      </c>
      <c r="T286" s="43">
        <v>274</v>
      </c>
      <c r="U286" s="44" t="s">
        <v>41</v>
      </c>
      <c r="V286" s="153">
        <v>30</v>
      </c>
      <c r="W286" s="45" cm="1">
        <f t="array" ref="W286">IF(U286="",0,_xlfn.XLOOKUP(E286&amp;U286&amp;F286,tab_act&amp;tab_mod&amp;tab_act1,tab_riz)*V286*T286/MGMT)</f>
        <v>0</v>
      </c>
      <c r="X286" s="42" cm="1">
        <f t="array" ref="X286">IF(U286="",0,_xlfn.XLOOKUP(E286&amp;U286&amp;F286,tab_act&amp;tab_mod&amp;tab_act1,tab_mc)*V286*T286/MGMT)</f>
        <v>0</v>
      </c>
      <c r="Y286" s="42" cm="1">
        <f t="array" ref="Y286">IF(U286="",0,_xlfn.XLOOKUP(E286&amp;U286&amp;F286,tab_act&amp;tab_mod&amp;tab_act1,tab_sor)*V286*T286/MGMT)</f>
        <v>0</v>
      </c>
      <c r="Z286" s="42" cm="1">
        <f t="array" ref="Z286">IF(U286="",0,_xlfn.XLOOKUP(E286&amp;U286&amp;F286,tab_act&amp;tab_mod&amp;tab_act1,tab_mg)*V286*T286/MGMT)</f>
        <v>0</v>
      </c>
      <c r="AA286" s="46" cm="1">
        <f t="array" ref="AA286">IF(U286="",0,IF(U286="hybrid-Sch",_xlfn.XLOOKUP(E286&amp;U286&amp;F286,tab_act&amp;tab_mod&amp;tab_act1,tab_ls)*SchLS*T286/MGMT,_xlfn.XLOOKUP(E286&amp;U286&amp;F286,tab_act&amp;tab_mod&amp;tab_act1,tab_ls)*V286*T286/MGMT))</f>
        <v>0</v>
      </c>
      <c r="AB286" s="46" cm="1">
        <f t="array" ref="AB286">IF(U286="",0,_xlfn.XLOOKUP(E286&amp;U286&amp;F286,tab_act&amp;tab_mod&amp;tab_act1,tab_hu)*V286*T286/MGMT)</f>
        <v>0</v>
      </c>
      <c r="AC286" s="46" cm="1">
        <f t="array" ref="AC286">IF(U286="",0,_xlfn.XLOOKUP(E286&amp;U286&amp;F286,tab_act&amp;tab_mod&amp;tab_act1,tab_mnp)*V286*T286/MGMT)</f>
        <v>0</v>
      </c>
      <c r="AD286" s="46" cm="1">
        <f t="array" ref="AD286">IF(U286="",0,_xlfn.XLOOKUP(E286&amp;U286&amp;F286,tab_act&amp;tab_mod&amp;tab_act1,tab_Psup)*V286*T286/MGMT)</f>
        <v>0</v>
      </c>
      <c r="AE286" s="46" cm="1">
        <f t="array" ref="AE286">IF(U286="",0,_xlfn.XLOOKUP(E286&amp;U286&amp;F286,tab_act&amp;tab_mod&amp;tab_act1,tab_csb1)*V286*T286/MGMT)</f>
        <v>0</v>
      </c>
      <c r="AF286" s="46" cm="1">
        <f t="array" ref="AF286">IF(U286="",0,_xlfn.XLOOKUP(E286&amp;U286&amp;F286,tab_act&amp;tab_mod&amp;tab_act1,tab_csb2)*V286*T286/MGMT)</f>
        <v>0</v>
      </c>
      <c r="AG286" s="109" cm="1">
        <f t="array" ref="AG286">IF(U286="",0,_xlfn.XLOOKUP(E286&amp;U286&amp;F286,tab_act&amp;tab_mod&amp;tab_act1,tab_pdoz)*V286*T286/MGMT)</f>
        <v>0.41099999999999998</v>
      </c>
      <c r="AH286" s="46" cm="1">
        <f t="array" ref="AH286">IF(U286="",0,_xlfn.XLOOKUP(E286&amp;U286&amp;F286,tab_act&amp;tab_mod&amp;tab_act1,tab_lns)*V286*T286/MGMT)</f>
        <v>0</v>
      </c>
      <c r="AI286" s="47">
        <f t="shared" si="23"/>
        <v>0.41099999999999998</v>
      </c>
      <c r="AJ286" s="48" cm="1">
        <f t="array" ref="AJ286">IF(U286="",0,_xlfn.XLOOKUP(E286&amp;U286&amp;F286,tab_act&amp;tab_mod&amp;tab_act1,tab_cash)*T286)</f>
        <v>0</v>
      </c>
      <c r="AK286" s="134" cm="1">
        <f t="array" ref="AK286">IF(B286="",0,IF(C286="",0,AJ286/_xlfn.XLOOKUP(B286&amp;C286,RMth&amp;RYr,RAr)))</f>
        <v>0</v>
      </c>
      <c r="AN286" s="146" t="str">
        <f t="shared" si="24"/>
        <v>A</v>
      </c>
    </row>
    <row r="287" spans="2:40" x14ac:dyDescent="0.35">
      <c r="B287" s="132" t="s">
        <v>128</v>
      </c>
      <c r="C287" s="44">
        <v>2023</v>
      </c>
      <c r="D287" s="44" t="s">
        <v>100</v>
      </c>
      <c r="E287" s="15" t="s">
        <v>39</v>
      </c>
      <c r="F287" s="99" t="s">
        <v>244</v>
      </c>
      <c r="G287" s="15" t="s">
        <v>159</v>
      </c>
      <c r="H287" s="44"/>
      <c r="I287" s="15" t="s">
        <v>94</v>
      </c>
      <c r="J287" s="15" t="s">
        <v>94</v>
      </c>
      <c r="K287" s="15" t="s">
        <v>160</v>
      </c>
      <c r="L287" s="15" t="s">
        <v>95</v>
      </c>
      <c r="M287" s="15" t="s">
        <v>94</v>
      </c>
      <c r="N287" s="15" t="s">
        <v>67</v>
      </c>
      <c r="O287" s="15" t="s">
        <v>161</v>
      </c>
      <c r="P287" s="15" t="s">
        <v>180</v>
      </c>
      <c r="Q287" s="42"/>
      <c r="R287" s="42">
        <v>198</v>
      </c>
      <c r="S287" s="42">
        <v>198</v>
      </c>
      <c r="T287" s="43">
        <v>198</v>
      </c>
      <c r="U287" s="44" t="s">
        <v>41</v>
      </c>
      <c r="V287" s="153">
        <v>30</v>
      </c>
      <c r="W287" s="45" cm="1">
        <f t="array" ref="W287">IF(U287="",0,_xlfn.XLOOKUP(E287&amp;U287&amp;F287,tab_act&amp;tab_mod&amp;tab_act1,tab_riz)*V287*T287/MGMT)</f>
        <v>0</v>
      </c>
      <c r="X287" s="42" cm="1">
        <f t="array" ref="X287">IF(U287="",0,_xlfn.XLOOKUP(E287&amp;U287&amp;F287,tab_act&amp;tab_mod&amp;tab_act1,tab_mc)*V287*T287/MGMT)</f>
        <v>0</v>
      </c>
      <c r="Y287" s="42" cm="1">
        <f t="array" ref="Y287">IF(U287="",0,_xlfn.XLOOKUP(E287&amp;U287&amp;F287,tab_act&amp;tab_mod&amp;tab_act1,tab_sor)*V287*T287/MGMT)</f>
        <v>0</v>
      </c>
      <c r="Z287" s="42" cm="1">
        <f t="array" ref="Z287">IF(U287="",0,_xlfn.XLOOKUP(E287&amp;U287&amp;F287,tab_act&amp;tab_mod&amp;tab_act1,tab_mg)*V287*T287/MGMT)</f>
        <v>0</v>
      </c>
      <c r="AA287" s="46" cm="1">
        <f t="array" ref="AA287">IF(U287="",0,IF(U287="hybrid-Sch",_xlfn.XLOOKUP(E287&amp;U287&amp;F287,tab_act&amp;tab_mod&amp;tab_act1,tab_ls)*SchLS*T287/MGMT,_xlfn.XLOOKUP(E287&amp;U287&amp;F287,tab_act&amp;tab_mod&amp;tab_act1,tab_ls)*V287*T287/MGMT))</f>
        <v>0</v>
      </c>
      <c r="AB287" s="46" cm="1">
        <f t="array" ref="AB287">IF(U287="",0,_xlfn.XLOOKUP(E287&amp;U287&amp;F287,tab_act&amp;tab_mod&amp;tab_act1,tab_hu)*V287*T287/MGMT)</f>
        <v>0.1188</v>
      </c>
      <c r="AC287" s="46" cm="1">
        <f t="array" ref="AC287">IF(U287="",0,_xlfn.XLOOKUP(E287&amp;U287&amp;F287,tab_act&amp;tab_mod&amp;tab_act1,tab_mnp)*V287*T287/MGMT)</f>
        <v>0</v>
      </c>
      <c r="AD287" s="46" cm="1">
        <f t="array" ref="AD287">IF(U287="",0,_xlfn.XLOOKUP(E287&amp;U287&amp;F287,tab_act&amp;tab_mod&amp;tab_act1,tab_Psup)*V287*T287/MGMT)</f>
        <v>0</v>
      </c>
      <c r="AE287" s="110" cm="1">
        <f t="array" ref="AE287">IF(U287="",0,_xlfn.XLOOKUP(E287&amp;U287&amp;F287,tab_act&amp;tab_mod&amp;tab_act1,tab_csb1)*V287*T287/MGMT)</f>
        <v>1.0989</v>
      </c>
      <c r="AF287" s="110" cm="1">
        <f t="array" ref="AF287">IF(U287="",0,_xlfn.XLOOKUP(E287&amp;U287&amp;F287,tab_act&amp;tab_mod&amp;tab_act1,tab_csb2)*V287*T287/MGMT)</f>
        <v>8.9099999999999999E-2</v>
      </c>
      <c r="AG287" s="46" cm="1">
        <f t="array" ref="AG287">IF(U287="",0,_xlfn.XLOOKUP(E287&amp;U287&amp;F287,tab_act&amp;tab_mod&amp;tab_act1,tab_pdoz)*V287*T287/MGMT)</f>
        <v>0</v>
      </c>
      <c r="AH287" s="46" cm="1">
        <f t="array" ref="AH287">IF(U287="",0,_xlfn.XLOOKUP(E287&amp;U287&amp;F287,tab_act&amp;tab_mod&amp;tab_act1,tab_lns)*V287*T287/MGMT)</f>
        <v>0</v>
      </c>
      <c r="AI287" s="47">
        <f t="shared" si="23"/>
        <v>1.3068</v>
      </c>
      <c r="AJ287" s="48" cm="1">
        <f t="array" ref="AJ287">IF(U287="",0,_xlfn.XLOOKUP(E287&amp;U287&amp;F287,tab_act&amp;tab_mod&amp;tab_act1,tab_cash)*T287)</f>
        <v>0</v>
      </c>
      <c r="AK287" s="134" cm="1">
        <f t="array" ref="AK287">IF(B287="",0,IF(C287="",0,AJ287/_xlfn.XLOOKUP(B287&amp;C287,RMth&amp;RYr,RAr)))</f>
        <v>0</v>
      </c>
      <c r="AN287" s="146" t="str">
        <f t="shared" si="24"/>
        <v>A</v>
      </c>
    </row>
    <row r="288" spans="2:40" x14ac:dyDescent="0.35">
      <c r="B288" s="132" t="s">
        <v>128</v>
      </c>
      <c r="C288" s="44">
        <v>2023</v>
      </c>
      <c r="D288" s="44" t="s">
        <v>100</v>
      </c>
      <c r="E288" s="15" t="s">
        <v>39</v>
      </c>
      <c r="F288" s="99" t="s">
        <v>244</v>
      </c>
      <c r="G288" s="15" t="s">
        <v>159</v>
      </c>
      <c r="H288" s="44"/>
      <c r="I288" s="15" t="s">
        <v>94</v>
      </c>
      <c r="J288" s="15" t="s">
        <v>94</v>
      </c>
      <c r="K288" s="15" t="s">
        <v>160</v>
      </c>
      <c r="L288" s="15" t="s">
        <v>95</v>
      </c>
      <c r="M288" s="15" t="s">
        <v>94</v>
      </c>
      <c r="N288" s="15" t="s">
        <v>67</v>
      </c>
      <c r="O288" s="15" t="s">
        <v>161</v>
      </c>
      <c r="P288" s="15" t="s">
        <v>181</v>
      </c>
      <c r="Q288" s="42"/>
      <c r="R288" s="42">
        <v>84.7</v>
      </c>
      <c r="S288" s="42">
        <v>84.7</v>
      </c>
      <c r="T288" s="43">
        <v>84.7</v>
      </c>
      <c r="U288" s="44" t="s">
        <v>41</v>
      </c>
      <c r="V288" s="153">
        <v>30</v>
      </c>
      <c r="W288" s="45" cm="1">
        <f t="array" ref="W288">IF(U288="",0,_xlfn.XLOOKUP(E288&amp;U288&amp;F288,tab_act&amp;tab_mod&amp;tab_act1,tab_riz)*V288*T288/MGMT)</f>
        <v>0</v>
      </c>
      <c r="X288" s="42" cm="1">
        <f t="array" ref="X288">IF(U288="",0,_xlfn.XLOOKUP(E288&amp;U288&amp;F288,tab_act&amp;tab_mod&amp;tab_act1,tab_mc)*V288*T288/MGMT)</f>
        <v>0</v>
      </c>
      <c r="Y288" s="42" cm="1">
        <f t="array" ref="Y288">IF(U288="",0,_xlfn.XLOOKUP(E288&amp;U288&amp;F288,tab_act&amp;tab_mod&amp;tab_act1,tab_sor)*V288*T288/MGMT)</f>
        <v>0</v>
      </c>
      <c r="Z288" s="42" cm="1">
        <f t="array" ref="Z288">IF(U288="",0,_xlfn.XLOOKUP(E288&amp;U288&amp;F288,tab_act&amp;tab_mod&amp;tab_act1,tab_mg)*V288*T288/MGMT)</f>
        <v>0</v>
      </c>
      <c r="AA288" s="46" cm="1">
        <f t="array" ref="AA288">IF(U288="",0,IF(U288="hybrid-Sch",_xlfn.XLOOKUP(E288&amp;U288&amp;F288,tab_act&amp;tab_mod&amp;tab_act1,tab_ls)*SchLS*T288/MGMT,_xlfn.XLOOKUP(E288&amp;U288&amp;F288,tab_act&amp;tab_mod&amp;tab_act1,tab_ls)*V288*T288/MGMT))</f>
        <v>0</v>
      </c>
      <c r="AB288" s="46" cm="1">
        <f t="array" ref="AB288">IF(U288="",0,_xlfn.XLOOKUP(E288&amp;U288&amp;F288,tab_act&amp;tab_mod&amp;tab_act1,tab_hu)*V288*T288/MGMT)</f>
        <v>5.0819999999999997E-2</v>
      </c>
      <c r="AC288" s="46" cm="1">
        <f t="array" ref="AC288">IF(U288="",0,_xlfn.XLOOKUP(E288&amp;U288&amp;F288,tab_act&amp;tab_mod&amp;tab_act1,tab_mnp)*V288*T288/MGMT)</f>
        <v>0</v>
      </c>
      <c r="AD288" s="46" cm="1">
        <f t="array" ref="AD288">IF(U288="",0,_xlfn.XLOOKUP(E288&amp;U288&amp;F288,tab_act&amp;tab_mod&amp;tab_act1,tab_Psup)*V288*T288/MGMT)</f>
        <v>0</v>
      </c>
      <c r="AE288" s="110" cm="1">
        <f t="array" ref="AE288">IF(U288="",0,_xlfn.XLOOKUP(E288&amp;U288&amp;F288,tab_act&amp;tab_mod&amp;tab_act1,tab_csb1)*V288*T288/MGMT)</f>
        <v>0.47008499999999998</v>
      </c>
      <c r="AF288" s="110" cm="1">
        <f t="array" ref="AF288">IF(U288="",0,_xlfn.XLOOKUP(E288&amp;U288&amp;F288,tab_act&amp;tab_mod&amp;tab_act1,tab_csb2)*V288*T288/MGMT)</f>
        <v>3.8115000000000003E-2</v>
      </c>
      <c r="AG288" s="46" cm="1">
        <f t="array" ref="AG288">IF(U288="",0,_xlfn.XLOOKUP(E288&amp;U288&amp;F288,tab_act&amp;tab_mod&amp;tab_act1,tab_pdoz)*V288*T288/MGMT)</f>
        <v>0</v>
      </c>
      <c r="AH288" s="46" cm="1">
        <f t="array" ref="AH288">IF(U288="",0,_xlfn.XLOOKUP(E288&amp;U288&amp;F288,tab_act&amp;tab_mod&amp;tab_act1,tab_lns)*V288*T288/MGMT)</f>
        <v>0</v>
      </c>
      <c r="AI288" s="47">
        <f t="shared" si="23"/>
        <v>0.55901999999999996</v>
      </c>
      <c r="AJ288" s="48" cm="1">
        <f t="array" ref="AJ288">IF(U288="",0,_xlfn.XLOOKUP(E288&amp;U288&amp;F288,tab_act&amp;tab_mod&amp;tab_act1,tab_cash)*T288)</f>
        <v>0</v>
      </c>
      <c r="AK288" s="134" cm="1">
        <f t="array" ref="AK288">IF(B288="",0,IF(C288="",0,AJ288/_xlfn.XLOOKUP(B288&amp;C288,RMth&amp;RYr,RAr)))</f>
        <v>0</v>
      </c>
      <c r="AN288" s="146" t="str">
        <f t="shared" si="24"/>
        <v>A</v>
      </c>
    </row>
    <row r="289" spans="2:40" x14ac:dyDescent="0.35">
      <c r="B289" s="132" t="s">
        <v>128</v>
      </c>
      <c r="C289" s="44">
        <v>2023</v>
      </c>
      <c r="D289" s="44" t="s">
        <v>100</v>
      </c>
      <c r="E289" s="15" t="s">
        <v>39</v>
      </c>
      <c r="F289" s="99" t="s">
        <v>244</v>
      </c>
      <c r="G289" s="15" t="s">
        <v>159</v>
      </c>
      <c r="H289" s="44"/>
      <c r="I289" s="15" t="s">
        <v>94</v>
      </c>
      <c r="J289" s="15" t="s">
        <v>94</v>
      </c>
      <c r="K289" s="15" t="s">
        <v>160</v>
      </c>
      <c r="L289" s="15" t="s">
        <v>95</v>
      </c>
      <c r="M289" s="15" t="s">
        <v>94</v>
      </c>
      <c r="N289" s="15" t="s">
        <v>67</v>
      </c>
      <c r="O289" s="15" t="s">
        <v>182</v>
      </c>
      <c r="P289" s="15" t="s">
        <v>183</v>
      </c>
      <c r="Q289" s="42"/>
      <c r="R289" s="42">
        <v>140.80000000000001</v>
      </c>
      <c r="S289" s="42">
        <v>140.80000000000001</v>
      </c>
      <c r="T289" s="43">
        <v>140.80000000000001</v>
      </c>
      <c r="U289" s="44" t="s">
        <v>41</v>
      </c>
      <c r="V289" s="153">
        <v>30</v>
      </c>
      <c r="W289" s="45" cm="1">
        <f t="array" ref="W289">IF(U289="",0,_xlfn.XLOOKUP(E289&amp;U289&amp;F289,tab_act&amp;tab_mod&amp;tab_act1,tab_riz)*V289*T289/MGMT)</f>
        <v>0</v>
      </c>
      <c r="X289" s="42" cm="1">
        <f t="array" ref="X289">IF(U289="",0,_xlfn.XLOOKUP(E289&amp;U289&amp;F289,tab_act&amp;tab_mod&amp;tab_act1,tab_mc)*V289*T289/MGMT)</f>
        <v>0</v>
      </c>
      <c r="Y289" s="42" cm="1">
        <f t="array" ref="Y289">IF(U289="",0,_xlfn.XLOOKUP(E289&amp;U289&amp;F289,tab_act&amp;tab_mod&amp;tab_act1,tab_sor)*V289*T289/MGMT)</f>
        <v>0</v>
      </c>
      <c r="Z289" s="42" cm="1">
        <f t="array" ref="Z289">IF(U289="",0,_xlfn.XLOOKUP(E289&amp;U289&amp;F289,tab_act&amp;tab_mod&amp;tab_act1,tab_mg)*V289*T289/MGMT)</f>
        <v>0</v>
      </c>
      <c r="AA289" s="46" cm="1">
        <f t="array" ref="AA289">IF(U289="",0,IF(U289="hybrid-Sch",_xlfn.XLOOKUP(E289&amp;U289&amp;F289,tab_act&amp;tab_mod&amp;tab_act1,tab_ls)*SchLS*T289/MGMT,_xlfn.XLOOKUP(E289&amp;U289&amp;F289,tab_act&amp;tab_mod&amp;tab_act1,tab_ls)*V289*T289/MGMT))</f>
        <v>0</v>
      </c>
      <c r="AB289" s="46" cm="1">
        <f t="array" ref="AB289">IF(U289="",0,_xlfn.XLOOKUP(E289&amp;U289&amp;F289,tab_act&amp;tab_mod&amp;tab_act1,tab_hu)*V289*T289/MGMT)</f>
        <v>8.448E-2</v>
      </c>
      <c r="AC289" s="46" cm="1">
        <f t="array" ref="AC289">IF(U289="",0,_xlfn.XLOOKUP(E289&amp;U289&amp;F289,tab_act&amp;tab_mod&amp;tab_act1,tab_mnp)*V289*T289/MGMT)</f>
        <v>0</v>
      </c>
      <c r="AD289" s="46" cm="1">
        <f t="array" ref="AD289">IF(U289="",0,_xlfn.XLOOKUP(E289&amp;U289&amp;F289,tab_act&amp;tab_mod&amp;tab_act1,tab_Psup)*V289*T289/MGMT)</f>
        <v>0</v>
      </c>
      <c r="AE289" s="110" cm="1">
        <f t="array" ref="AE289">IF(U289="",0,_xlfn.XLOOKUP(E289&amp;U289&amp;F289,tab_act&amp;tab_mod&amp;tab_act1,tab_csb1)*V289*T289/MGMT)</f>
        <v>0.78144000000000013</v>
      </c>
      <c r="AF289" s="110" cm="1">
        <f t="array" ref="AF289">IF(U289="",0,_xlfn.XLOOKUP(E289&amp;U289&amp;F289,tab_act&amp;tab_mod&amp;tab_act1,tab_csb2)*V289*T289/MGMT)</f>
        <v>6.3360000000000014E-2</v>
      </c>
      <c r="AG289" s="46" cm="1">
        <f t="array" ref="AG289">IF(U289="",0,_xlfn.XLOOKUP(E289&amp;U289&amp;F289,tab_act&amp;tab_mod&amp;tab_act1,tab_pdoz)*V289*T289/MGMT)</f>
        <v>0</v>
      </c>
      <c r="AH289" s="46" cm="1">
        <f t="array" ref="AH289">IF(U289="",0,_xlfn.XLOOKUP(E289&amp;U289&amp;F289,tab_act&amp;tab_mod&amp;tab_act1,tab_lns)*V289*T289/MGMT)</f>
        <v>0</v>
      </c>
      <c r="AI289" s="47">
        <f t="shared" si="23"/>
        <v>0.92928000000000011</v>
      </c>
      <c r="AJ289" s="48" cm="1">
        <f t="array" ref="AJ289">IF(U289="",0,_xlfn.XLOOKUP(E289&amp;U289&amp;F289,tab_act&amp;tab_mod&amp;tab_act1,tab_cash)*T289)</f>
        <v>0</v>
      </c>
      <c r="AK289" s="134" cm="1">
        <f t="array" ref="AK289">IF(B289="",0,IF(C289="",0,AJ289/_xlfn.XLOOKUP(B289&amp;C289,RMth&amp;RYr,RAr)))</f>
        <v>0</v>
      </c>
      <c r="AN289" s="146" t="str">
        <f t="shared" si="24"/>
        <v>A</v>
      </c>
    </row>
    <row r="290" spans="2:40" x14ac:dyDescent="0.35">
      <c r="B290" s="132" t="s">
        <v>128</v>
      </c>
      <c r="C290" s="44">
        <v>2023</v>
      </c>
      <c r="D290" s="44" t="s">
        <v>100</v>
      </c>
      <c r="E290" s="15" t="s">
        <v>39</v>
      </c>
      <c r="F290" s="99" t="s">
        <v>244</v>
      </c>
      <c r="G290" s="15" t="s">
        <v>159</v>
      </c>
      <c r="H290" s="44"/>
      <c r="I290" s="15" t="s">
        <v>94</v>
      </c>
      <c r="J290" s="15" t="s">
        <v>94</v>
      </c>
      <c r="K290" s="15" t="s">
        <v>160</v>
      </c>
      <c r="L290" s="15" t="s">
        <v>95</v>
      </c>
      <c r="M290" s="15" t="s">
        <v>94</v>
      </c>
      <c r="N290" s="15" t="s">
        <v>67</v>
      </c>
      <c r="O290" s="15" t="s">
        <v>182</v>
      </c>
      <c r="P290" s="15" t="s">
        <v>184</v>
      </c>
      <c r="Q290" s="42"/>
      <c r="R290" s="42">
        <v>243.1</v>
      </c>
      <c r="S290" s="42">
        <v>243.1</v>
      </c>
      <c r="T290" s="43">
        <v>243.1</v>
      </c>
      <c r="U290" s="44" t="s">
        <v>41</v>
      </c>
      <c r="V290" s="153">
        <v>30</v>
      </c>
      <c r="W290" s="45" cm="1">
        <f t="array" ref="W290">IF(U290="",0,_xlfn.XLOOKUP(E290&amp;U290&amp;F290,tab_act&amp;tab_mod&amp;tab_act1,tab_riz)*V290*T290/MGMT)</f>
        <v>0</v>
      </c>
      <c r="X290" s="42" cm="1">
        <f t="array" ref="X290">IF(U290="",0,_xlfn.XLOOKUP(E290&amp;U290&amp;F290,tab_act&amp;tab_mod&amp;tab_act1,tab_mc)*V290*T290/MGMT)</f>
        <v>0</v>
      </c>
      <c r="Y290" s="42" cm="1">
        <f t="array" ref="Y290">IF(U290="",0,_xlfn.XLOOKUP(E290&amp;U290&amp;F290,tab_act&amp;tab_mod&amp;tab_act1,tab_sor)*V290*T290/MGMT)</f>
        <v>0</v>
      </c>
      <c r="Z290" s="42" cm="1">
        <f t="array" ref="Z290">IF(U290="",0,_xlfn.XLOOKUP(E290&amp;U290&amp;F290,tab_act&amp;tab_mod&amp;tab_act1,tab_mg)*V290*T290/MGMT)</f>
        <v>0</v>
      </c>
      <c r="AA290" s="46" cm="1">
        <f t="array" ref="AA290">IF(U290="",0,IF(U290="hybrid-Sch",_xlfn.XLOOKUP(E290&amp;U290&amp;F290,tab_act&amp;tab_mod&amp;tab_act1,tab_ls)*SchLS*T290/MGMT,_xlfn.XLOOKUP(E290&amp;U290&amp;F290,tab_act&amp;tab_mod&amp;tab_act1,tab_ls)*V290*T290/MGMT))</f>
        <v>0</v>
      </c>
      <c r="AB290" s="46" cm="1">
        <f t="array" ref="AB290">IF(U290="",0,_xlfn.XLOOKUP(E290&amp;U290&amp;F290,tab_act&amp;tab_mod&amp;tab_act1,tab_hu)*V290*T290/MGMT)</f>
        <v>0.14585999999999999</v>
      </c>
      <c r="AC290" s="46" cm="1">
        <f t="array" ref="AC290">IF(U290="",0,_xlfn.XLOOKUP(E290&amp;U290&amp;F290,tab_act&amp;tab_mod&amp;tab_act1,tab_mnp)*V290*T290/MGMT)</f>
        <v>0</v>
      </c>
      <c r="AD290" s="46" cm="1">
        <f t="array" ref="AD290">IF(U290="",0,_xlfn.XLOOKUP(E290&amp;U290&amp;F290,tab_act&amp;tab_mod&amp;tab_act1,tab_Psup)*V290*T290/MGMT)</f>
        <v>0</v>
      </c>
      <c r="AE290" s="110" cm="1">
        <f t="array" ref="AE290">IF(U290="",0,_xlfn.XLOOKUP(E290&amp;U290&amp;F290,tab_act&amp;tab_mod&amp;tab_act1,tab_csb1)*V290*T290/MGMT)</f>
        <v>1.349205</v>
      </c>
      <c r="AF290" s="110" cm="1">
        <f t="array" ref="AF290">IF(U290="",0,_xlfn.XLOOKUP(E290&amp;U290&amp;F290,tab_act&amp;tab_mod&amp;tab_act1,tab_csb2)*V290*T290/MGMT)</f>
        <v>0.10939500000000001</v>
      </c>
      <c r="AG290" s="46" cm="1">
        <f t="array" ref="AG290">IF(U290="",0,_xlfn.XLOOKUP(E290&amp;U290&amp;F290,tab_act&amp;tab_mod&amp;tab_act1,tab_pdoz)*V290*T290/MGMT)</f>
        <v>0</v>
      </c>
      <c r="AH290" s="46" cm="1">
        <f t="array" ref="AH290">IF(U290="",0,_xlfn.XLOOKUP(E290&amp;U290&amp;F290,tab_act&amp;tab_mod&amp;tab_act1,tab_lns)*V290*T290/MGMT)</f>
        <v>0</v>
      </c>
      <c r="AI290" s="47">
        <f t="shared" si="23"/>
        <v>1.6044599999999998</v>
      </c>
      <c r="AJ290" s="48" cm="1">
        <f t="array" ref="AJ290">IF(U290="",0,_xlfn.XLOOKUP(E290&amp;U290&amp;F290,tab_act&amp;tab_mod&amp;tab_act1,tab_cash)*T290)</f>
        <v>0</v>
      </c>
      <c r="AK290" s="134" cm="1">
        <f t="array" ref="AK290">IF(B290="",0,IF(C290="",0,AJ290/_xlfn.XLOOKUP(B290&amp;C290,RMth&amp;RYr,RAr)))</f>
        <v>0</v>
      </c>
      <c r="AN290" s="146" t="str">
        <f t="shared" si="24"/>
        <v>A</v>
      </c>
    </row>
    <row r="291" spans="2:40" x14ac:dyDescent="0.35">
      <c r="B291" s="132" t="s">
        <v>128</v>
      </c>
      <c r="C291" s="44">
        <v>2023</v>
      </c>
      <c r="D291" s="44" t="s">
        <v>100</v>
      </c>
      <c r="E291" s="15" t="s">
        <v>39</v>
      </c>
      <c r="F291" s="99" t="s">
        <v>244</v>
      </c>
      <c r="G291" s="15" t="s">
        <v>159</v>
      </c>
      <c r="H291" s="44"/>
      <c r="I291" s="15" t="s">
        <v>94</v>
      </c>
      <c r="J291" s="15" t="s">
        <v>94</v>
      </c>
      <c r="K291" s="15" t="s">
        <v>160</v>
      </c>
      <c r="L291" s="15" t="s">
        <v>95</v>
      </c>
      <c r="M291" s="15" t="s">
        <v>94</v>
      </c>
      <c r="N291" s="15" t="s">
        <v>67</v>
      </c>
      <c r="O291" s="15" t="s">
        <v>182</v>
      </c>
      <c r="P291" s="15" t="s">
        <v>185</v>
      </c>
      <c r="Q291" s="42"/>
      <c r="R291" s="42">
        <v>282.7</v>
      </c>
      <c r="S291" s="42">
        <v>282.7</v>
      </c>
      <c r="T291" s="43">
        <v>282.7</v>
      </c>
      <c r="U291" s="44" t="s">
        <v>41</v>
      </c>
      <c r="V291" s="153">
        <v>30</v>
      </c>
      <c r="W291" s="45" cm="1">
        <f t="array" ref="W291">IF(U291="",0,_xlfn.XLOOKUP(E291&amp;U291&amp;F291,tab_act&amp;tab_mod&amp;tab_act1,tab_riz)*V291*T291/MGMT)</f>
        <v>0</v>
      </c>
      <c r="X291" s="42" cm="1">
        <f t="array" ref="X291">IF(U291="",0,_xlfn.XLOOKUP(E291&amp;U291&amp;F291,tab_act&amp;tab_mod&amp;tab_act1,tab_mc)*V291*T291/MGMT)</f>
        <v>0</v>
      </c>
      <c r="Y291" s="42" cm="1">
        <f t="array" ref="Y291">IF(U291="",0,_xlfn.XLOOKUP(E291&amp;U291&amp;F291,tab_act&amp;tab_mod&amp;tab_act1,tab_sor)*V291*T291/MGMT)</f>
        <v>0</v>
      </c>
      <c r="Z291" s="42" cm="1">
        <f t="array" ref="Z291">IF(U291="",0,_xlfn.XLOOKUP(E291&amp;U291&amp;F291,tab_act&amp;tab_mod&amp;tab_act1,tab_mg)*V291*T291/MGMT)</f>
        <v>0</v>
      </c>
      <c r="AA291" s="46" cm="1">
        <f t="array" ref="AA291">IF(U291="",0,IF(U291="hybrid-Sch",_xlfn.XLOOKUP(E291&amp;U291&amp;F291,tab_act&amp;tab_mod&amp;tab_act1,tab_ls)*SchLS*T291/MGMT,_xlfn.XLOOKUP(E291&amp;U291&amp;F291,tab_act&amp;tab_mod&amp;tab_act1,tab_ls)*V291*T291/MGMT))</f>
        <v>0</v>
      </c>
      <c r="AB291" s="46" cm="1">
        <f t="array" ref="AB291">IF(U291="",0,_xlfn.XLOOKUP(E291&amp;U291&amp;F291,tab_act&amp;tab_mod&amp;tab_act1,tab_hu)*V291*T291/MGMT)</f>
        <v>0.16961999999999999</v>
      </c>
      <c r="AC291" s="46" cm="1">
        <f t="array" ref="AC291">IF(U291="",0,_xlfn.XLOOKUP(E291&amp;U291&amp;F291,tab_act&amp;tab_mod&amp;tab_act1,tab_mnp)*V291*T291/MGMT)</f>
        <v>0</v>
      </c>
      <c r="AD291" s="46" cm="1">
        <f t="array" ref="AD291">IF(U291="",0,_xlfn.XLOOKUP(E291&amp;U291&amp;F291,tab_act&amp;tab_mod&amp;tab_act1,tab_Psup)*V291*T291/MGMT)</f>
        <v>0</v>
      </c>
      <c r="AE291" s="110" cm="1">
        <f t="array" ref="AE291">IF(U291="",0,_xlfn.XLOOKUP(E291&amp;U291&amp;F291,tab_act&amp;tab_mod&amp;tab_act1,tab_csb1)*V291*T291/MGMT)</f>
        <v>1.5689850000000001</v>
      </c>
      <c r="AF291" s="110" cm="1">
        <f t="array" ref="AF291">IF(U291="",0,_xlfn.XLOOKUP(E291&amp;U291&amp;F291,tab_act&amp;tab_mod&amp;tab_act1,tab_csb2)*V291*T291/MGMT)</f>
        <v>0.12721499999999999</v>
      </c>
      <c r="AG291" s="46" cm="1">
        <f t="array" ref="AG291">IF(U291="",0,_xlfn.XLOOKUP(E291&amp;U291&amp;F291,tab_act&amp;tab_mod&amp;tab_act1,tab_pdoz)*V291*T291/MGMT)</f>
        <v>0</v>
      </c>
      <c r="AH291" s="46" cm="1">
        <f t="array" ref="AH291">IF(U291="",0,_xlfn.XLOOKUP(E291&amp;U291&amp;F291,tab_act&amp;tab_mod&amp;tab_act1,tab_lns)*V291*T291/MGMT)</f>
        <v>0</v>
      </c>
      <c r="AI291" s="47">
        <f t="shared" si="23"/>
        <v>1.8658200000000003</v>
      </c>
      <c r="AJ291" s="48" cm="1">
        <f t="array" ref="AJ291">IF(U291="",0,_xlfn.XLOOKUP(E291&amp;U291&amp;F291,tab_act&amp;tab_mod&amp;tab_act1,tab_cash)*T291)</f>
        <v>0</v>
      </c>
      <c r="AK291" s="134" cm="1">
        <f t="array" ref="AK291">IF(B291="",0,IF(C291="",0,AJ291/_xlfn.XLOOKUP(B291&amp;C291,RMth&amp;RYr,RAr)))</f>
        <v>0</v>
      </c>
      <c r="AN291" s="146" t="str">
        <f t="shared" si="24"/>
        <v>A</v>
      </c>
    </row>
    <row r="292" spans="2:40" x14ac:dyDescent="0.35">
      <c r="B292" s="132" t="s">
        <v>128</v>
      </c>
      <c r="C292" s="44">
        <v>2023</v>
      </c>
      <c r="D292" s="44" t="s">
        <v>100</v>
      </c>
      <c r="E292" s="15" t="s">
        <v>39</v>
      </c>
      <c r="F292" s="99" t="s">
        <v>244</v>
      </c>
      <c r="G292" s="15" t="s">
        <v>159</v>
      </c>
      <c r="H292" s="44"/>
      <c r="I292" s="15" t="s">
        <v>94</v>
      </c>
      <c r="J292" s="15" t="s">
        <v>94</v>
      </c>
      <c r="K292" s="15" t="s">
        <v>160</v>
      </c>
      <c r="L292" s="15" t="s">
        <v>95</v>
      </c>
      <c r="M292" s="15" t="s">
        <v>94</v>
      </c>
      <c r="N292" s="15" t="s">
        <v>67</v>
      </c>
      <c r="O292" s="15" t="s">
        <v>182</v>
      </c>
      <c r="P292" s="15" t="s">
        <v>186</v>
      </c>
      <c r="Q292" s="42"/>
      <c r="R292" s="42">
        <v>258.5</v>
      </c>
      <c r="S292" s="42">
        <v>258.5</v>
      </c>
      <c r="T292" s="43">
        <v>258.5</v>
      </c>
      <c r="U292" s="44" t="s">
        <v>41</v>
      </c>
      <c r="V292" s="153">
        <v>30</v>
      </c>
      <c r="W292" s="45" cm="1">
        <f t="array" ref="W292">IF(U292="",0,_xlfn.XLOOKUP(E292&amp;U292&amp;F292,tab_act&amp;tab_mod&amp;tab_act1,tab_riz)*V292*T292/MGMT)</f>
        <v>0</v>
      </c>
      <c r="X292" s="42" cm="1">
        <f t="array" ref="X292">IF(U292="",0,_xlfn.XLOOKUP(E292&amp;U292&amp;F292,tab_act&amp;tab_mod&amp;tab_act1,tab_mc)*V292*T292/MGMT)</f>
        <v>0</v>
      </c>
      <c r="Y292" s="42" cm="1">
        <f t="array" ref="Y292">IF(U292="",0,_xlfn.XLOOKUP(E292&amp;U292&amp;F292,tab_act&amp;tab_mod&amp;tab_act1,tab_sor)*V292*T292/MGMT)</f>
        <v>0</v>
      </c>
      <c r="Z292" s="42" cm="1">
        <f t="array" ref="Z292">IF(U292="",0,_xlfn.XLOOKUP(E292&amp;U292&amp;F292,tab_act&amp;tab_mod&amp;tab_act1,tab_mg)*V292*T292/MGMT)</f>
        <v>0</v>
      </c>
      <c r="AA292" s="46" cm="1">
        <f t="array" ref="AA292">IF(U292="",0,IF(U292="hybrid-Sch",_xlfn.XLOOKUP(E292&amp;U292&amp;F292,tab_act&amp;tab_mod&amp;tab_act1,tab_ls)*SchLS*T292/MGMT,_xlfn.XLOOKUP(E292&amp;U292&amp;F292,tab_act&amp;tab_mod&amp;tab_act1,tab_ls)*V292*T292/MGMT))</f>
        <v>0</v>
      </c>
      <c r="AB292" s="46" cm="1">
        <f t="array" ref="AB292">IF(U292="",0,_xlfn.XLOOKUP(E292&amp;U292&amp;F292,tab_act&amp;tab_mod&amp;tab_act1,tab_hu)*V292*T292/MGMT)</f>
        <v>0.15509999999999999</v>
      </c>
      <c r="AC292" s="46" cm="1">
        <f t="array" ref="AC292">IF(U292="",0,_xlfn.XLOOKUP(E292&amp;U292&amp;F292,tab_act&amp;tab_mod&amp;tab_act1,tab_mnp)*V292*T292/MGMT)</f>
        <v>0</v>
      </c>
      <c r="AD292" s="46" cm="1">
        <f t="array" ref="AD292">IF(U292="",0,_xlfn.XLOOKUP(E292&amp;U292&amp;F292,tab_act&amp;tab_mod&amp;tab_act1,tab_Psup)*V292*T292/MGMT)</f>
        <v>0</v>
      </c>
      <c r="AE292" s="110" cm="1">
        <f t="array" ref="AE292">IF(U292="",0,_xlfn.XLOOKUP(E292&amp;U292&amp;F292,tab_act&amp;tab_mod&amp;tab_act1,tab_csb1)*V292*T292/MGMT)</f>
        <v>1.4346749999999999</v>
      </c>
      <c r="AF292" s="110" cm="1">
        <f t="array" ref="AF292">IF(U292="",0,_xlfn.XLOOKUP(E292&amp;U292&amp;F292,tab_act&amp;tab_mod&amp;tab_act1,tab_csb2)*V292*T292/MGMT)</f>
        <v>0.116325</v>
      </c>
      <c r="AG292" s="46" cm="1">
        <f t="array" ref="AG292">IF(U292="",0,_xlfn.XLOOKUP(E292&amp;U292&amp;F292,tab_act&amp;tab_mod&amp;tab_act1,tab_pdoz)*V292*T292/MGMT)</f>
        <v>0</v>
      </c>
      <c r="AH292" s="46" cm="1">
        <f t="array" ref="AH292">IF(U292="",0,_xlfn.XLOOKUP(E292&amp;U292&amp;F292,tab_act&amp;tab_mod&amp;tab_act1,tab_lns)*V292*T292/MGMT)</f>
        <v>0</v>
      </c>
      <c r="AI292" s="47">
        <f t="shared" si="23"/>
        <v>1.7060999999999999</v>
      </c>
      <c r="AJ292" s="48" cm="1">
        <f t="array" ref="AJ292">IF(U292="",0,_xlfn.XLOOKUP(E292&amp;U292&amp;F292,tab_act&amp;tab_mod&amp;tab_act1,tab_cash)*T292)</f>
        <v>0</v>
      </c>
      <c r="AK292" s="134" cm="1">
        <f t="array" ref="AK292">IF(B292="",0,IF(C292="",0,AJ292/_xlfn.XLOOKUP(B292&amp;C292,RMth&amp;RYr,RAr)))</f>
        <v>0</v>
      </c>
      <c r="AN292" s="146" t="str">
        <f t="shared" si="24"/>
        <v>A</v>
      </c>
    </row>
    <row r="293" spans="2:40" x14ac:dyDescent="0.35">
      <c r="B293" s="132" t="s">
        <v>128</v>
      </c>
      <c r="C293" s="44">
        <v>2023</v>
      </c>
      <c r="D293" s="44" t="s">
        <v>100</v>
      </c>
      <c r="E293" s="15" t="s">
        <v>39</v>
      </c>
      <c r="F293" s="99" t="s">
        <v>244</v>
      </c>
      <c r="G293" s="15" t="s">
        <v>159</v>
      </c>
      <c r="H293" s="44"/>
      <c r="I293" s="15" t="s">
        <v>94</v>
      </c>
      <c r="J293" s="15" t="s">
        <v>94</v>
      </c>
      <c r="K293" s="15" t="s">
        <v>160</v>
      </c>
      <c r="L293" s="15" t="s">
        <v>95</v>
      </c>
      <c r="M293" s="15" t="s">
        <v>94</v>
      </c>
      <c r="N293" s="15" t="s">
        <v>67</v>
      </c>
      <c r="O293" s="15" t="s">
        <v>182</v>
      </c>
      <c r="P293" s="15" t="s">
        <v>187</v>
      </c>
      <c r="Q293" s="42"/>
      <c r="R293" s="42">
        <v>233.2</v>
      </c>
      <c r="S293" s="42">
        <v>233.2</v>
      </c>
      <c r="T293" s="43">
        <v>233.2</v>
      </c>
      <c r="U293" s="44" t="s">
        <v>41</v>
      </c>
      <c r="V293" s="153">
        <v>30</v>
      </c>
      <c r="W293" s="45" cm="1">
        <f t="array" ref="W293">IF(U293="",0,_xlfn.XLOOKUP(E293&amp;U293&amp;F293,tab_act&amp;tab_mod&amp;tab_act1,tab_riz)*V293*T293/MGMT)</f>
        <v>0</v>
      </c>
      <c r="X293" s="42" cm="1">
        <f t="array" ref="X293">IF(U293="",0,_xlfn.XLOOKUP(E293&amp;U293&amp;F293,tab_act&amp;tab_mod&amp;tab_act1,tab_mc)*V293*T293/MGMT)</f>
        <v>0</v>
      </c>
      <c r="Y293" s="42" cm="1">
        <f t="array" ref="Y293">IF(U293="",0,_xlfn.XLOOKUP(E293&amp;U293&amp;F293,tab_act&amp;tab_mod&amp;tab_act1,tab_sor)*V293*T293/MGMT)</f>
        <v>0</v>
      </c>
      <c r="Z293" s="42" cm="1">
        <f t="array" ref="Z293">IF(U293="",0,_xlfn.XLOOKUP(E293&amp;U293&amp;F293,tab_act&amp;tab_mod&amp;tab_act1,tab_mg)*V293*T293/MGMT)</f>
        <v>0</v>
      </c>
      <c r="AA293" s="46" cm="1">
        <f t="array" ref="AA293">IF(U293="",0,IF(U293="hybrid-Sch",_xlfn.XLOOKUP(E293&amp;U293&amp;F293,tab_act&amp;tab_mod&amp;tab_act1,tab_ls)*SchLS*T293/MGMT,_xlfn.XLOOKUP(E293&amp;U293&amp;F293,tab_act&amp;tab_mod&amp;tab_act1,tab_ls)*V293*T293/MGMT))</f>
        <v>0</v>
      </c>
      <c r="AB293" s="46" cm="1">
        <f t="array" ref="AB293">IF(U293="",0,_xlfn.XLOOKUP(E293&amp;U293&amp;F293,tab_act&amp;tab_mod&amp;tab_act1,tab_hu)*V293*T293/MGMT)</f>
        <v>0.13991999999999999</v>
      </c>
      <c r="AC293" s="46" cm="1">
        <f t="array" ref="AC293">IF(U293="",0,_xlfn.XLOOKUP(E293&amp;U293&amp;F293,tab_act&amp;tab_mod&amp;tab_act1,tab_mnp)*V293*T293/MGMT)</f>
        <v>0</v>
      </c>
      <c r="AD293" s="46" cm="1">
        <f t="array" ref="AD293">IF(U293="",0,_xlfn.XLOOKUP(E293&amp;U293&amp;F293,tab_act&amp;tab_mod&amp;tab_act1,tab_Psup)*V293*T293/MGMT)</f>
        <v>0</v>
      </c>
      <c r="AE293" s="110" cm="1">
        <f t="array" ref="AE293">IF(U293="",0,_xlfn.XLOOKUP(E293&amp;U293&amp;F293,tab_act&amp;tab_mod&amp;tab_act1,tab_csb1)*V293*T293/MGMT)</f>
        <v>1.29426</v>
      </c>
      <c r="AF293" s="110" cm="1">
        <f t="array" ref="AF293">IF(U293="",0,_xlfn.XLOOKUP(E293&amp;U293&amp;F293,tab_act&amp;tab_mod&amp;tab_act1,tab_csb2)*V293*T293/MGMT)</f>
        <v>0.10494000000000001</v>
      </c>
      <c r="AG293" s="46" cm="1">
        <f t="array" ref="AG293">IF(U293="",0,_xlfn.XLOOKUP(E293&amp;U293&amp;F293,tab_act&amp;tab_mod&amp;tab_act1,tab_pdoz)*V293*T293/MGMT)</f>
        <v>0</v>
      </c>
      <c r="AH293" s="46" cm="1">
        <f t="array" ref="AH293">IF(U293="",0,_xlfn.XLOOKUP(E293&amp;U293&amp;F293,tab_act&amp;tab_mod&amp;tab_act1,tab_lns)*V293*T293/MGMT)</f>
        <v>0</v>
      </c>
      <c r="AI293" s="47">
        <f t="shared" si="23"/>
        <v>1.53912</v>
      </c>
      <c r="AJ293" s="48" cm="1">
        <f t="array" ref="AJ293">IF(U293="",0,_xlfn.XLOOKUP(E293&amp;U293&amp;F293,tab_act&amp;tab_mod&amp;tab_act1,tab_cash)*T293)</f>
        <v>0</v>
      </c>
      <c r="AK293" s="134" cm="1">
        <f t="array" ref="AK293">IF(B293="",0,IF(C293="",0,AJ293/_xlfn.XLOOKUP(B293&amp;C293,RMth&amp;RYr,RAr)))</f>
        <v>0</v>
      </c>
      <c r="AN293" s="146" t="str">
        <f t="shared" si="24"/>
        <v>A</v>
      </c>
    </row>
    <row r="294" spans="2:40" x14ac:dyDescent="0.35">
      <c r="B294" s="132" t="s">
        <v>128</v>
      </c>
      <c r="C294" s="44">
        <v>2023</v>
      </c>
      <c r="D294" s="44" t="s">
        <v>100</v>
      </c>
      <c r="E294" s="15" t="s">
        <v>39</v>
      </c>
      <c r="F294" s="99" t="s">
        <v>244</v>
      </c>
      <c r="G294" s="15" t="s">
        <v>159</v>
      </c>
      <c r="H294" s="44"/>
      <c r="I294" s="15" t="s">
        <v>94</v>
      </c>
      <c r="J294" s="15" t="s">
        <v>94</v>
      </c>
      <c r="K294" s="15" t="s">
        <v>160</v>
      </c>
      <c r="L294" s="15" t="s">
        <v>95</v>
      </c>
      <c r="M294" s="15" t="s">
        <v>94</v>
      </c>
      <c r="N294" s="15" t="s">
        <v>67</v>
      </c>
      <c r="O294" s="15" t="s">
        <v>182</v>
      </c>
      <c r="P294" s="15" t="s">
        <v>188</v>
      </c>
      <c r="Q294" s="42"/>
      <c r="R294" s="42">
        <v>147.4</v>
      </c>
      <c r="S294" s="42">
        <v>147.4</v>
      </c>
      <c r="T294" s="43">
        <v>147.4</v>
      </c>
      <c r="U294" s="44" t="s">
        <v>41</v>
      </c>
      <c r="V294" s="153">
        <v>30</v>
      </c>
      <c r="W294" s="45" cm="1">
        <f t="array" ref="W294">IF(U294="",0,_xlfn.XLOOKUP(E294&amp;U294&amp;F294,tab_act&amp;tab_mod&amp;tab_act1,tab_riz)*V294*T294/MGMT)</f>
        <v>0</v>
      </c>
      <c r="X294" s="42" cm="1">
        <f t="array" ref="X294">IF(U294="",0,_xlfn.XLOOKUP(E294&amp;U294&amp;F294,tab_act&amp;tab_mod&amp;tab_act1,tab_mc)*V294*T294/MGMT)</f>
        <v>0</v>
      </c>
      <c r="Y294" s="42" cm="1">
        <f t="array" ref="Y294">IF(U294="",0,_xlfn.XLOOKUP(E294&amp;U294&amp;F294,tab_act&amp;tab_mod&amp;tab_act1,tab_sor)*V294*T294/MGMT)</f>
        <v>0</v>
      </c>
      <c r="Z294" s="42" cm="1">
        <f t="array" ref="Z294">IF(U294="",0,_xlfn.XLOOKUP(E294&amp;U294&amp;F294,tab_act&amp;tab_mod&amp;tab_act1,tab_mg)*V294*T294/MGMT)</f>
        <v>0</v>
      </c>
      <c r="AA294" s="46" cm="1">
        <f t="array" ref="AA294">IF(U294="",0,IF(U294="hybrid-Sch",_xlfn.XLOOKUP(E294&amp;U294&amp;F294,tab_act&amp;tab_mod&amp;tab_act1,tab_ls)*SchLS*T294/MGMT,_xlfn.XLOOKUP(E294&amp;U294&amp;F294,tab_act&amp;tab_mod&amp;tab_act1,tab_ls)*V294*T294/MGMT))</f>
        <v>0</v>
      </c>
      <c r="AB294" s="46" cm="1">
        <f t="array" ref="AB294">IF(U294="",0,_xlfn.XLOOKUP(E294&amp;U294&amp;F294,tab_act&amp;tab_mod&amp;tab_act1,tab_hu)*V294*T294/MGMT)</f>
        <v>8.8440000000000005E-2</v>
      </c>
      <c r="AC294" s="46" cm="1">
        <f t="array" ref="AC294">IF(U294="",0,_xlfn.XLOOKUP(E294&amp;U294&amp;F294,tab_act&amp;tab_mod&amp;tab_act1,tab_mnp)*V294*T294/MGMT)</f>
        <v>0</v>
      </c>
      <c r="AD294" s="46" cm="1">
        <f t="array" ref="AD294">IF(U294="",0,_xlfn.XLOOKUP(E294&amp;U294&amp;F294,tab_act&amp;tab_mod&amp;tab_act1,tab_Psup)*V294*T294/MGMT)</f>
        <v>0</v>
      </c>
      <c r="AE294" s="110" cm="1">
        <f t="array" ref="AE294">IF(U294="",0,_xlfn.XLOOKUP(E294&amp;U294&amp;F294,tab_act&amp;tab_mod&amp;tab_act1,tab_csb1)*V294*T294/MGMT)</f>
        <v>0.81806999999999996</v>
      </c>
      <c r="AF294" s="110" cm="1">
        <f t="array" ref="AF294">IF(U294="",0,_xlfn.XLOOKUP(E294&amp;U294&amp;F294,tab_act&amp;tab_mod&amp;tab_act1,tab_csb2)*V294*T294/MGMT)</f>
        <v>6.633E-2</v>
      </c>
      <c r="AG294" s="46" cm="1">
        <f t="array" ref="AG294">IF(U294="",0,_xlfn.XLOOKUP(E294&amp;U294&amp;F294,tab_act&amp;tab_mod&amp;tab_act1,tab_pdoz)*V294*T294/MGMT)</f>
        <v>0</v>
      </c>
      <c r="AH294" s="46" cm="1">
        <f t="array" ref="AH294">IF(U294="",0,_xlfn.XLOOKUP(E294&amp;U294&amp;F294,tab_act&amp;tab_mod&amp;tab_act1,tab_lns)*V294*T294/MGMT)</f>
        <v>0</v>
      </c>
      <c r="AI294" s="47">
        <f t="shared" si="23"/>
        <v>0.97283999999999993</v>
      </c>
      <c r="AJ294" s="48" cm="1">
        <f t="array" ref="AJ294">IF(U294="",0,_xlfn.XLOOKUP(E294&amp;U294&amp;F294,tab_act&amp;tab_mod&amp;tab_act1,tab_cash)*T294)</f>
        <v>0</v>
      </c>
      <c r="AK294" s="134" cm="1">
        <f t="array" ref="AK294">IF(B294="",0,IF(C294="",0,AJ294/_xlfn.XLOOKUP(B294&amp;C294,RMth&amp;RYr,RAr)))</f>
        <v>0</v>
      </c>
      <c r="AN294" s="146" t="str">
        <f t="shared" si="24"/>
        <v>A</v>
      </c>
    </row>
    <row r="295" spans="2:40" x14ac:dyDescent="0.35">
      <c r="B295" s="132" t="s">
        <v>128</v>
      </c>
      <c r="C295" s="44">
        <v>2023</v>
      </c>
      <c r="D295" s="44" t="s">
        <v>100</v>
      </c>
      <c r="E295" s="15" t="s">
        <v>39</v>
      </c>
      <c r="F295" s="99" t="s">
        <v>244</v>
      </c>
      <c r="G295" s="15" t="s">
        <v>159</v>
      </c>
      <c r="H295" s="44"/>
      <c r="I295" s="15" t="s">
        <v>94</v>
      </c>
      <c r="J295" s="15" t="s">
        <v>94</v>
      </c>
      <c r="K295" s="15" t="s">
        <v>160</v>
      </c>
      <c r="L295" s="15" t="s">
        <v>95</v>
      </c>
      <c r="M295" s="15" t="s">
        <v>94</v>
      </c>
      <c r="N295" s="15" t="s">
        <v>67</v>
      </c>
      <c r="O295" s="15" t="s">
        <v>182</v>
      </c>
      <c r="P295" s="15" t="s">
        <v>189</v>
      </c>
      <c r="Q295" s="42"/>
      <c r="R295" s="42">
        <v>201.3</v>
      </c>
      <c r="S295" s="42">
        <v>201.3</v>
      </c>
      <c r="T295" s="43">
        <v>201.3</v>
      </c>
      <c r="U295" s="44" t="s">
        <v>41</v>
      </c>
      <c r="V295" s="153">
        <v>30</v>
      </c>
      <c r="W295" s="45" cm="1">
        <f t="array" ref="W295">IF(U295="",0,_xlfn.XLOOKUP(E295&amp;U295&amp;F295,tab_act&amp;tab_mod&amp;tab_act1,tab_riz)*V295*T295/MGMT)</f>
        <v>0</v>
      </c>
      <c r="X295" s="42" cm="1">
        <f t="array" ref="X295">IF(U295="",0,_xlfn.XLOOKUP(E295&amp;U295&amp;F295,tab_act&amp;tab_mod&amp;tab_act1,tab_mc)*V295*T295/MGMT)</f>
        <v>0</v>
      </c>
      <c r="Y295" s="42" cm="1">
        <f t="array" ref="Y295">IF(U295="",0,_xlfn.XLOOKUP(E295&amp;U295&amp;F295,tab_act&amp;tab_mod&amp;tab_act1,tab_sor)*V295*T295/MGMT)</f>
        <v>0</v>
      </c>
      <c r="Z295" s="42" cm="1">
        <f t="array" ref="Z295">IF(U295="",0,_xlfn.XLOOKUP(E295&amp;U295&amp;F295,tab_act&amp;tab_mod&amp;tab_act1,tab_mg)*V295*T295/MGMT)</f>
        <v>0</v>
      </c>
      <c r="AA295" s="46" cm="1">
        <f t="array" ref="AA295">IF(U295="",0,IF(U295="hybrid-Sch",_xlfn.XLOOKUP(E295&amp;U295&amp;F295,tab_act&amp;tab_mod&amp;tab_act1,tab_ls)*SchLS*T295/MGMT,_xlfn.XLOOKUP(E295&amp;U295&amp;F295,tab_act&amp;tab_mod&amp;tab_act1,tab_ls)*V295*T295/MGMT))</f>
        <v>0</v>
      </c>
      <c r="AB295" s="46" cm="1">
        <f t="array" ref="AB295">IF(U295="",0,_xlfn.XLOOKUP(E295&amp;U295&amp;F295,tab_act&amp;tab_mod&amp;tab_act1,tab_hu)*V295*T295/MGMT)</f>
        <v>0.12078</v>
      </c>
      <c r="AC295" s="46" cm="1">
        <f t="array" ref="AC295">IF(U295="",0,_xlfn.XLOOKUP(E295&amp;U295&amp;F295,tab_act&amp;tab_mod&amp;tab_act1,tab_mnp)*V295*T295/MGMT)</f>
        <v>0</v>
      </c>
      <c r="AD295" s="46" cm="1">
        <f t="array" ref="AD295">IF(U295="",0,_xlfn.XLOOKUP(E295&amp;U295&amp;F295,tab_act&amp;tab_mod&amp;tab_act1,tab_Psup)*V295*T295/MGMT)</f>
        <v>0</v>
      </c>
      <c r="AE295" s="110" cm="1">
        <f t="array" ref="AE295">IF(U295="",0,_xlfn.XLOOKUP(E295&amp;U295&amp;F295,tab_act&amp;tab_mod&amp;tab_act1,tab_csb1)*V295*T295/MGMT)</f>
        <v>1.1172150000000001</v>
      </c>
      <c r="AF295" s="110" cm="1">
        <f t="array" ref="AF295">IF(U295="",0,_xlfn.XLOOKUP(E295&amp;U295&amp;F295,tab_act&amp;tab_mod&amp;tab_act1,tab_csb2)*V295*T295/MGMT)</f>
        <v>9.0584999999999999E-2</v>
      </c>
      <c r="AG295" s="46" cm="1">
        <f t="array" ref="AG295">IF(U295="",0,_xlfn.XLOOKUP(E295&amp;U295&amp;F295,tab_act&amp;tab_mod&amp;tab_act1,tab_pdoz)*V295*T295/MGMT)</f>
        <v>0</v>
      </c>
      <c r="AH295" s="46" cm="1">
        <f t="array" ref="AH295">IF(U295="",0,_xlfn.XLOOKUP(E295&amp;U295&amp;F295,tab_act&amp;tab_mod&amp;tab_act1,tab_lns)*V295*T295/MGMT)</f>
        <v>0</v>
      </c>
      <c r="AI295" s="47">
        <f t="shared" si="23"/>
        <v>1.3285800000000001</v>
      </c>
      <c r="AJ295" s="48" cm="1">
        <f t="array" ref="AJ295">IF(U295="",0,_xlfn.XLOOKUP(E295&amp;U295&amp;F295,tab_act&amp;tab_mod&amp;tab_act1,tab_cash)*T295)</f>
        <v>0</v>
      </c>
      <c r="AK295" s="134" cm="1">
        <f t="array" ref="AK295">IF(B295="",0,IF(C295="",0,AJ295/_xlfn.XLOOKUP(B295&amp;C295,RMth&amp;RYr,RAr)))</f>
        <v>0</v>
      </c>
      <c r="AN295" s="146" t="str">
        <f t="shared" si="24"/>
        <v>A</v>
      </c>
    </row>
    <row r="296" spans="2:40" x14ac:dyDescent="0.35">
      <c r="B296" s="132" t="s">
        <v>128</v>
      </c>
      <c r="C296" s="44">
        <v>2023</v>
      </c>
      <c r="D296" s="44" t="s">
        <v>100</v>
      </c>
      <c r="E296" s="15" t="s">
        <v>39</v>
      </c>
      <c r="F296" s="99" t="s">
        <v>244</v>
      </c>
      <c r="G296" s="15" t="s">
        <v>159</v>
      </c>
      <c r="H296" s="44"/>
      <c r="I296" s="15" t="s">
        <v>94</v>
      </c>
      <c r="J296" s="15" t="s">
        <v>94</v>
      </c>
      <c r="K296" s="15" t="s">
        <v>160</v>
      </c>
      <c r="L296" s="15" t="s">
        <v>95</v>
      </c>
      <c r="M296" s="15" t="s">
        <v>94</v>
      </c>
      <c r="N296" s="15" t="s">
        <v>67</v>
      </c>
      <c r="O296" s="15" t="s">
        <v>182</v>
      </c>
      <c r="P296" s="15" t="s">
        <v>190</v>
      </c>
      <c r="Q296" s="42"/>
      <c r="R296" s="42">
        <v>115.5</v>
      </c>
      <c r="S296" s="42">
        <v>115.5</v>
      </c>
      <c r="T296" s="43">
        <v>115.5</v>
      </c>
      <c r="U296" s="44" t="s">
        <v>41</v>
      </c>
      <c r="V296" s="153">
        <v>30</v>
      </c>
      <c r="W296" s="45" cm="1">
        <f t="array" ref="W296">IF(U296="",0,_xlfn.XLOOKUP(E296&amp;U296&amp;F296,tab_act&amp;tab_mod&amp;tab_act1,tab_riz)*V296*T296/MGMT)</f>
        <v>0</v>
      </c>
      <c r="X296" s="42" cm="1">
        <f t="array" ref="X296">IF(U296="",0,_xlfn.XLOOKUP(E296&amp;U296&amp;F296,tab_act&amp;tab_mod&amp;tab_act1,tab_mc)*V296*T296/MGMT)</f>
        <v>0</v>
      </c>
      <c r="Y296" s="42" cm="1">
        <f t="array" ref="Y296">IF(U296="",0,_xlfn.XLOOKUP(E296&amp;U296&amp;F296,tab_act&amp;tab_mod&amp;tab_act1,tab_sor)*V296*T296/MGMT)</f>
        <v>0</v>
      </c>
      <c r="Z296" s="42" cm="1">
        <f t="array" ref="Z296">IF(U296="",0,_xlfn.XLOOKUP(E296&amp;U296&amp;F296,tab_act&amp;tab_mod&amp;tab_act1,tab_mg)*V296*T296/MGMT)</f>
        <v>0</v>
      </c>
      <c r="AA296" s="46" cm="1">
        <f t="array" ref="AA296">IF(U296="",0,IF(U296="hybrid-Sch",_xlfn.XLOOKUP(E296&amp;U296&amp;F296,tab_act&amp;tab_mod&amp;tab_act1,tab_ls)*SchLS*T296/MGMT,_xlfn.XLOOKUP(E296&amp;U296&amp;F296,tab_act&amp;tab_mod&amp;tab_act1,tab_ls)*V296*T296/MGMT))</f>
        <v>0</v>
      </c>
      <c r="AB296" s="46" cm="1">
        <f t="array" ref="AB296">IF(U296="",0,_xlfn.XLOOKUP(E296&amp;U296&amp;F296,tab_act&amp;tab_mod&amp;tab_act1,tab_hu)*V296*T296/MGMT)</f>
        <v>6.93E-2</v>
      </c>
      <c r="AC296" s="46" cm="1">
        <f t="array" ref="AC296">IF(U296="",0,_xlfn.XLOOKUP(E296&amp;U296&amp;F296,tab_act&amp;tab_mod&amp;tab_act1,tab_mnp)*V296*T296/MGMT)</f>
        <v>0</v>
      </c>
      <c r="AD296" s="46" cm="1">
        <f t="array" ref="AD296">IF(U296="",0,_xlfn.XLOOKUP(E296&amp;U296&amp;F296,tab_act&amp;tab_mod&amp;tab_act1,tab_Psup)*V296*T296/MGMT)</f>
        <v>0</v>
      </c>
      <c r="AE296" s="110" cm="1">
        <f t="array" ref="AE296">IF(U296="",0,_xlfn.XLOOKUP(E296&amp;U296&amp;F296,tab_act&amp;tab_mod&amp;tab_act1,tab_csb1)*V296*T296/MGMT)</f>
        <v>0.64102499999999996</v>
      </c>
      <c r="AF296" s="110" cm="1">
        <f t="array" ref="AF296">IF(U296="",0,_xlfn.XLOOKUP(E296&amp;U296&amp;F296,tab_act&amp;tab_mod&amp;tab_act1,tab_csb2)*V296*T296/MGMT)</f>
        <v>5.1975E-2</v>
      </c>
      <c r="AG296" s="46" cm="1">
        <f t="array" ref="AG296">IF(U296="",0,_xlfn.XLOOKUP(E296&amp;U296&amp;F296,tab_act&amp;tab_mod&amp;tab_act1,tab_pdoz)*V296*T296/MGMT)</f>
        <v>0</v>
      </c>
      <c r="AH296" s="46" cm="1">
        <f t="array" ref="AH296">IF(U296="",0,_xlfn.XLOOKUP(E296&amp;U296&amp;F296,tab_act&amp;tab_mod&amp;tab_act1,tab_lns)*V296*T296/MGMT)</f>
        <v>0</v>
      </c>
      <c r="AI296" s="47">
        <f t="shared" si="23"/>
        <v>0.76229999999999998</v>
      </c>
      <c r="AJ296" s="48" cm="1">
        <f t="array" ref="AJ296">IF(U296="",0,_xlfn.XLOOKUP(E296&amp;U296&amp;F296,tab_act&amp;tab_mod&amp;tab_act1,tab_cash)*T296)</f>
        <v>0</v>
      </c>
      <c r="AK296" s="134" cm="1">
        <f t="array" ref="AK296">IF(B296="",0,IF(C296="",0,AJ296/_xlfn.XLOOKUP(B296&amp;C296,RMth&amp;RYr,RAr)))</f>
        <v>0</v>
      </c>
      <c r="AN296" s="146" t="str">
        <f t="shared" si="24"/>
        <v>A</v>
      </c>
    </row>
    <row r="297" spans="2:40" x14ac:dyDescent="0.35">
      <c r="B297" s="132" t="s">
        <v>128</v>
      </c>
      <c r="C297" s="44">
        <v>2023</v>
      </c>
      <c r="D297" s="44" t="s">
        <v>100</v>
      </c>
      <c r="E297" s="15" t="s">
        <v>39</v>
      </c>
      <c r="F297" s="99" t="s">
        <v>244</v>
      </c>
      <c r="G297" s="15" t="s">
        <v>159</v>
      </c>
      <c r="H297" s="44"/>
      <c r="I297" s="15" t="s">
        <v>94</v>
      </c>
      <c r="J297" s="15" t="s">
        <v>94</v>
      </c>
      <c r="K297" s="15" t="s">
        <v>160</v>
      </c>
      <c r="L297" s="15" t="s">
        <v>95</v>
      </c>
      <c r="M297" s="15" t="s">
        <v>94</v>
      </c>
      <c r="N297" s="15" t="s">
        <v>67</v>
      </c>
      <c r="O297" s="15" t="s">
        <v>182</v>
      </c>
      <c r="P297" s="15" t="s">
        <v>191</v>
      </c>
      <c r="Q297" s="42"/>
      <c r="R297" s="42">
        <v>166.1</v>
      </c>
      <c r="S297" s="42">
        <v>166.1</v>
      </c>
      <c r="T297" s="43">
        <v>166.1</v>
      </c>
      <c r="U297" s="44" t="s">
        <v>41</v>
      </c>
      <c r="V297" s="153">
        <v>30</v>
      </c>
      <c r="W297" s="45" cm="1">
        <f t="array" ref="W297">IF(U297="",0,_xlfn.XLOOKUP(E297&amp;U297&amp;F297,tab_act&amp;tab_mod&amp;tab_act1,tab_riz)*V297*T297/MGMT)</f>
        <v>0</v>
      </c>
      <c r="X297" s="42" cm="1">
        <f t="array" ref="X297">IF(U297="",0,_xlfn.XLOOKUP(E297&amp;U297&amp;F297,tab_act&amp;tab_mod&amp;tab_act1,tab_mc)*V297*T297/MGMT)</f>
        <v>0</v>
      </c>
      <c r="Y297" s="42" cm="1">
        <f t="array" ref="Y297">IF(U297="",0,_xlfn.XLOOKUP(E297&amp;U297&amp;F297,tab_act&amp;tab_mod&amp;tab_act1,tab_sor)*V297*T297/MGMT)</f>
        <v>0</v>
      </c>
      <c r="Z297" s="42" cm="1">
        <f t="array" ref="Z297">IF(U297="",0,_xlfn.XLOOKUP(E297&amp;U297&amp;F297,tab_act&amp;tab_mod&amp;tab_act1,tab_mg)*V297*T297/MGMT)</f>
        <v>0</v>
      </c>
      <c r="AA297" s="46" cm="1">
        <f t="array" ref="AA297">IF(U297="",0,IF(U297="hybrid-Sch",_xlfn.XLOOKUP(E297&amp;U297&amp;F297,tab_act&amp;tab_mod&amp;tab_act1,tab_ls)*SchLS*T297/MGMT,_xlfn.XLOOKUP(E297&amp;U297&amp;F297,tab_act&amp;tab_mod&amp;tab_act1,tab_ls)*V297*T297/MGMT))</f>
        <v>0</v>
      </c>
      <c r="AB297" s="46" cm="1">
        <f t="array" ref="AB297">IF(U297="",0,_xlfn.XLOOKUP(E297&amp;U297&amp;F297,tab_act&amp;tab_mod&amp;tab_act1,tab_hu)*V297*T297/MGMT)</f>
        <v>9.9659999999999999E-2</v>
      </c>
      <c r="AC297" s="46" cm="1">
        <f t="array" ref="AC297">IF(U297="",0,_xlfn.XLOOKUP(E297&amp;U297&amp;F297,tab_act&amp;tab_mod&amp;tab_act1,tab_mnp)*V297*T297/MGMT)</f>
        <v>0</v>
      </c>
      <c r="AD297" s="46" cm="1">
        <f t="array" ref="AD297">IF(U297="",0,_xlfn.XLOOKUP(E297&amp;U297&amp;F297,tab_act&amp;tab_mod&amp;tab_act1,tab_Psup)*V297*T297/MGMT)</f>
        <v>0</v>
      </c>
      <c r="AE297" s="110" cm="1">
        <f t="array" ref="AE297">IF(U297="",0,_xlfn.XLOOKUP(E297&amp;U297&amp;F297,tab_act&amp;tab_mod&amp;tab_act1,tab_csb1)*V297*T297/MGMT)</f>
        <v>0.92185499999999998</v>
      </c>
      <c r="AF297" s="110" cm="1">
        <f t="array" ref="AF297">IF(U297="",0,_xlfn.XLOOKUP(E297&amp;U297&amp;F297,tab_act&amp;tab_mod&amp;tab_act1,tab_csb2)*V297*T297/MGMT)</f>
        <v>7.4745000000000006E-2</v>
      </c>
      <c r="AG297" s="46" cm="1">
        <f t="array" ref="AG297">IF(U297="",0,_xlfn.XLOOKUP(E297&amp;U297&amp;F297,tab_act&amp;tab_mod&amp;tab_act1,tab_pdoz)*V297*T297/MGMT)</f>
        <v>0</v>
      </c>
      <c r="AH297" s="46" cm="1">
        <f t="array" ref="AH297">IF(U297="",0,_xlfn.XLOOKUP(E297&amp;U297&amp;F297,tab_act&amp;tab_mod&amp;tab_act1,tab_lns)*V297*T297/MGMT)</f>
        <v>0</v>
      </c>
      <c r="AI297" s="47">
        <f t="shared" si="23"/>
        <v>1.09626</v>
      </c>
      <c r="AJ297" s="48" cm="1">
        <f t="array" ref="AJ297">IF(U297="",0,_xlfn.XLOOKUP(E297&amp;U297&amp;F297,tab_act&amp;tab_mod&amp;tab_act1,tab_cash)*T297)</f>
        <v>0</v>
      </c>
      <c r="AK297" s="134" cm="1">
        <f t="array" ref="AK297">IF(B297="",0,IF(C297="",0,AJ297/_xlfn.XLOOKUP(B297&amp;C297,RMth&amp;RYr,RAr)))</f>
        <v>0</v>
      </c>
      <c r="AN297" s="146" t="str">
        <f t="shared" si="24"/>
        <v>A</v>
      </c>
    </row>
    <row r="298" spans="2:40" x14ac:dyDescent="0.35">
      <c r="B298" s="132" t="s">
        <v>128</v>
      </c>
      <c r="C298" s="44">
        <v>2023</v>
      </c>
      <c r="D298" s="44" t="s">
        <v>100</v>
      </c>
      <c r="E298" s="15" t="s">
        <v>39</v>
      </c>
      <c r="F298" s="99" t="s">
        <v>244</v>
      </c>
      <c r="G298" s="15" t="s">
        <v>159</v>
      </c>
      <c r="H298" s="44"/>
      <c r="I298" s="15" t="s">
        <v>94</v>
      </c>
      <c r="J298" s="15" t="s">
        <v>94</v>
      </c>
      <c r="K298" s="15" t="s">
        <v>160</v>
      </c>
      <c r="L298" s="15" t="s">
        <v>95</v>
      </c>
      <c r="M298" s="15" t="s">
        <v>94</v>
      </c>
      <c r="N298" s="15" t="s">
        <v>67</v>
      </c>
      <c r="O298" s="15" t="s">
        <v>182</v>
      </c>
      <c r="P298" s="15" t="s">
        <v>192</v>
      </c>
      <c r="Q298" s="42"/>
      <c r="R298" s="42">
        <v>152.9</v>
      </c>
      <c r="S298" s="42">
        <v>152.9</v>
      </c>
      <c r="T298" s="43">
        <v>152.9</v>
      </c>
      <c r="U298" s="44" t="s">
        <v>41</v>
      </c>
      <c r="V298" s="153">
        <v>30</v>
      </c>
      <c r="W298" s="45" cm="1">
        <f t="array" ref="W298">IF(U298="",0,_xlfn.XLOOKUP(E298&amp;U298&amp;F298,tab_act&amp;tab_mod&amp;tab_act1,tab_riz)*V298*T298/MGMT)</f>
        <v>0</v>
      </c>
      <c r="X298" s="42" cm="1">
        <f t="array" ref="X298">IF(U298="",0,_xlfn.XLOOKUP(E298&amp;U298&amp;F298,tab_act&amp;tab_mod&amp;tab_act1,tab_mc)*V298*T298/MGMT)</f>
        <v>0</v>
      </c>
      <c r="Y298" s="42" cm="1">
        <f t="array" ref="Y298">IF(U298="",0,_xlfn.XLOOKUP(E298&amp;U298&amp;F298,tab_act&amp;tab_mod&amp;tab_act1,tab_sor)*V298*T298/MGMT)</f>
        <v>0</v>
      </c>
      <c r="Z298" s="42" cm="1">
        <f t="array" ref="Z298">IF(U298="",0,_xlfn.XLOOKUP(E298&amp;U298&amp;F298,tab_act&amp;tab_mod&amp;tab_act1,tab_mg)*V298*T298/MGMT)</f>
        <v>0</v>
      </c>
      <c r="AA298" s="46" cm="1">
        <f t="array" ref="AA298">IF(U298="",0,IF(U298="hybrid-Sch",_xlfn.XLOOKUP(E298&amp;U298&amp;F298,tab_act&amp;tab_mod&amp;tab_act1,tab_ls)*SchLS*T298/MGMT,_xlfn.XLOOKUP(E298&amp;U298&amp;F298,tab_act&amp;tab_mod&amp;tab_act1,tab_ls)*V298*T298/MGMT))</f>
        <v>0</v>
      </c>
      <c r="AB298" s="46" cm="1">
        <f t="array" ref="AB298">IF(U298="",0,_xlfn.XLOOKUP(E298&amp;U298&amp;F298,tab_act&amp;tab_mod&amp;tab_act1,tab_hu)*V298*T298/MGMT)</f>
        <v>9.1740000000000002E-2</v>
      </c>
      <c r="AC298" s="46" cm="1">
        <f t="array" ref="AC298">IF(U298="",0,_xlfn.XLOOKUP(E298&amp;U298&amp;F298,tab_act&amp;tab_mod&amp;tab_act1,tab_mnp)*V298*T298/MGMT)</f>
        <v>0</v>
      </c>
      <c r="AD298" s="46" cm="1">
        <f t="array" ref="AD298">IF(U298="",0,_xlfn.XLOOKUP(E298&amp;U298&amp;F298,tab_act&amp;tab_mod&amp;tab_act1,tab_Psup)*V298*T298/MGMT)</f>
        <v>0</v>
      </c>
      <c r="AE298" s="110" cm="1">
        <f t="array" ref="AE298">IF(U298="",0,_xlfn.XLOOKUP(E298&amp;U298&amp;F298,tab_act&amp;tab_mod&amp;tab_act1,tab_csb1)*V298*T298/MGMT)</f>
        <v>0.84859499999999999</v>
      </c>
      <c r="AF298" s="110" cm="1">
        <f t="array" ref="AF298">IF(U298="",0,_xlfn.XLOOKUP(E298&amp;U298&amp;F298,tab_act&amp;tab_mod&amp;tab_act1,tab_csb2)*V298*T298/MGMT)</f>
        <v>6.8805000000000005E-2</v>
      </c>
      <c r="AG298" s="46" cm="1">
        <f t="array" ref="AG298">IF(U298="",0,_xlfn.XLOOKUP(E298&amp;U298&amp;F298,tab_act&amp;tab_mod&amp;tab_act1,tab_pdoz)*V298*T298/MGMT)</f>
        <v>0</v>
      </c>
      <c r="AH298" s="46" cm="1">
        <f t="array" ref="AH298">IF(U298="",0,_xlfn.XLOOKUP(E298&amp;U298&amp;F298,tab_act&amp;tab_mod&amp;tab_act1,tab_lns)*V298*T298/MGMT)</f>
        <v>0</v>
      </c>
      <c r="AI298" s="47">
        <f t="shared" si="23"/>
        <v>1.0091399999999999</v>
      </c>
      <c r="AJ298" s="48" cm="1">
        <f t="array" ref="AJ298">IF(U298="",0,_xlfn.XLOOKUP(E298&amp;U298&amp;F298,tab_act&amp;tab_mod&amp;tab_act1,tab_cash)*T298)</f>
        <v>0</v>
      </c>
      <c r="AK298" s="134" cm="1">
        <f t="array" ref="AK298">IF(B298="",0,IF(C298="",0,AJ298/_xlfn.XLOOKUP(B298&amp;C298,RMth&amp;RYr,RAr)))</f>
        <v>0</v>
      </c>
      <c r="AN298" s="146" t="str">
        <f t="shared" si="24"/>
        <v>A</v>
      </c>
    </row>
    <row r="299" spans="2:40" x14ac:dyDescent="0.35">
      <c r="B299" s="132" t="s">
        <v>128</v>
      </c>
      <c r="C299" s="44">
        <v>2023</v>
      </c>
      <c r="D299" s="44" t="s">
        <v>100</v>
      </c>
      <c r="E299" s="15" t="s">
        <v>39</v>
      </c>
      <c r="F299" s="99" t="s">
        <v>244</v>
      </c>
      <c r="G299" s="15" t="s">
        <v>159</v>
      </c>
      <c r="H299" s="44"/>
      <c r="I299" s="15" t="s">
        <v>94</v>
      </c>
      <c r="J299" s="15" t="s">
        <v>94</v>
      </c>
      <c r="K299" s="15" t="s">
        <v>160</v>
      </c>
      <c r="L299" s="15" t="s">
        <v>95</v>
      </c>
      <c r="M299" s="15" t="s">
        <v>94</v>
      </c>
      <c r="N299" s="15" t="s">
        <v>67</v>
      </c>
      <c r="O299" s="15" t="s">
        <v>182</v>
      </c>
      <c r="P299" s="15" t="s">
        <v>193</v>
      </c>
      <c r="Q299" s="42"/>
      <c r="R299" s="42">
        <v>271.7</v>
      </c>
      <c r="S299" s="42">
        <v>271.7</v>
      </c>
      <c r="T299" s="43">
        <v>271.7</v>
      </c>
      <c r="U299" s="44" t="s">
        <v>41</v>
      </c>
      <c r="V299" s="153">
        <v>30</v>
      </c>
      <c r="W299" s="45" cm="1">
        <f t="array" ref="W299">IF(U299="",0,_xlfn.XLOOKUP(E299&amp;U299&amp;F299,tab_act&amp;tab_mod&amp;tab_act1,tab_riz)*V299*T299/MGMT)</f>
        <v>0</v>
      </c>
      <c r="X299" s="42" cm="1">
        <f t="array" ref="X299">IF(U299="",0,_xlfn.XLOOKUP(E299&amp;U299&amp;F299,tab_act&amp;tab_mod&amp;tab_act1,tab_mc)*V299*T299/MGMT)</f>
        <v>0</v>
      </c>
      <c r="Y299" s="42" cm="1">
        <f t="array" ref="Y299">IF(U299="",0,_xlfn.XLOOKUP(E299&amp;U299&amp;F299,tab_act&amp;tab_mod&amp;tab_act1,tab_sor)*V299*T299/MGMT)</f>
        <v>0</v>
      </c>
      <c r="Z299" s="42" cm="1">
        <f t="array" ref="Z299">IF(U299="",0,_xlfn.XLOOKUP(E299&amp;U299&amp;F299,tab_act&amp;tab_mod&amp;tab_act1,tab_mg)*V299*T299/MGMT)</f>
        <v>0</v>
      </c>
      <c r="AA299" s="46" cm="1">
        <f t="array" ref="AA299">IF(U299="",0,IF(U299="hybrid-Sch",_xlfn.XLOOKUP(E299&amp;U299&amp;F299,tab_act&amp;tab_mod&amp;tab_act1,tab_ls)*SchLS*T299/MGMT,_xlfn.XLOOKUP(E299&amp;U299&amp;F299,tab_act&amp;tab_mod&amp;tab_act1,tab_ls)*V299*T299/MGMT))</f>
        <v>0</v>
      </c>
      <c r="AB299" s="46" cm="1">
        <f t="array" ref="AB299">IF(U299="",0,_xlfn.XLOOKUP(E299&amp;U299&amp;F299,tab_act&amp;tab_mod&amp;tab_act1,tab_hu)*V299*T299/MGMT)</f>
        <v>0.16302</v>
      </c>
      <c r="AC299" s="46" cm="1">
        <f t="array" ref="AC299">IF(U299="",0,_xlfn.XLOOKUP(E299&amp;U299&amp;F299,tab_act&amp;tab_mod&amp;tab_act1,tab_mnp)*V299*T299/MGMT)</f>
        <v>0</v>
      </c>
      <c r="AD299" s="46" cm="1">
        <f t="array" ref="AD299">IF(U299="",0,_xlfn.XLOOKUP(E299&amp;U299&amp;F299,tab_act&amp;tab_mod&amp;tab_act1,tab_Psup)*V299*T299/MGMT)</f>
        <v>0</v>
      </c>
      <c r="AE299" s="110" cm="1">
        <f t="array" ref="AE299">IF(U299="",0,_xlfn.XLOOKUP(E299&amp;U299&amp;F299,tab_act&amp;tab_mod&amp;tab_act1,tab_csb1)*V299*T299/MGMT)</f>
        <v>1.507935</v>
      </c>
      <c r="AF299" s="110" cm="1">
        <f t="array" ref="AF299">IF(U299="",0,_xlfn.XLOOKUP(E299&amp;U299&amp;F299,tab_act&amp;tab_mod&amp;tab_act1,tab_csb2)*V299*T299/MGMT)</f>
        <v>0.122265</v>
      </c>
      <c r="AG299" s="46" cm="1">
        <f t="array" ref="AG299">IF(U299="",0,_xlfn.XLOOKUP(E299&amp;U299&amp;F299,tab_act&amp;tab_mod&amp;tab_act1,tab_pdoz)*V299*T299/MGMT)</f>
        <v>0</v>
      </c>
      <c r="AH299" s="46" cm="1">
        <f t="array" ref="AH299">IF(U299="",0,_xlfn.XLOOKUP(E299&amp;U299&amp;F299,tab_act&amp;tab_mod&amp;tab_act1,tab_lns)*V299*T299/MGMT)</f>
        <v>0</v>
      </c>
      <c r="AI299" s="47">
        <f t="shared" si="23"/>
        <v>1.79322</v>
      </c>
      <c r="AJ299" s="48" cm="1">
        <f t="array" ref="AJ299">IF(U299="",0,_xlfn.XLOOKUP(E299&amp;U299&amp;F299,tab_act&amp;tab_mod&amp;tab_act1,tab_cash)*T299)</f>
        <v>0</v>
      </c>
      <c r="AK299" s="134" cm="1">
        <f t="array" ref="AK299">IF(B299="",0,IF(C299="",0,AJ299/_xlfn.XLOOKUP(B299&amp;C299,RMth&amp;RYr,RAr)))</f>
        <v>0</v>
      </c>
      <c r="AN299" s="146" t="str">
        <f t="shared" si="24"/>
        <v>A</v>
      </c>
    </row>
    <row r="300" spans="2:40" x14ac:dyDescent="0.35">
      <c r="B300" s="132" t="s">
        <v>128</v>
      </c>
      <c r="C300" s="44">
        <v>2023</v>
      </c>
      <c r="D300" s="44" t="s">
        <v>100</v>
      </c>
      <c r="E300" s="15" t="s">
        <v>39</v>
      </c>
      <c r="F300" s="99" t="s">
        <v>244</v>
      </c>
      <c r="G300" s="15" t="s">
        <v>159</v>
      </c>
      <c r="H300" s="44"/>
      <c r="I300" s="15" t="s">
        <v>94</v>
      </c>
      <c r="J300" s="15" t="s">
        <v>94</v>
      </c>
      <c r="K300" s="15" t="s">
        <v>160</v>
      </c>
      <c r="L300" s="15" t="s">
        <v>95</v>
      </c>
      <c r="M300" s="15" t="s">
        <v>94</v>
      </c>
      <c r="N300" s="15" t="s">
        <v>67</v>
      </c>
      <c r="O300" s="15" t="s">
        <v>182</v>
      </c>
      <c r="P300" s="15" t="s">
        <v>194</v>
      </c>
      <c r="Q300" s="42"/>
      <c r="R300" s="42">
        <v>239.8</v>
      </c>
      <c r="S300" s="42">
        <v>239.8</v>
      </c>
      <c r="T300" s="43">
        <v>239.8</v>
      </c>
      <c r="U300" s="44" t="s">
        <v>41</v>
      </c>
      <c r="V300" s="153">
        <v>30</v>
      </c>
      <c r="W300" s="45" cm="1">
        <f t="array" ref="W300">IF(U300="",0,_xlfn.XLOOKUP(E300&amp;U300&amp;F300,tab_act&amp;tab_mod&amp;tab_act1,tab_riz)*V300*T300/MGMT)</f>
        <v>0</v>
      </c>
      <c r="X300" s="42" cm="1">
        <f t="array" ref="X300">IF(U300="",0,_xlfn.XLOOKUP(E300&amp;U300&amp;F300,tab_act&amp;tab_mod&amp;tab_act1,tab_mc)*V300*T300/MGMT)</f>
        <v>0</v>
      </c>
      <c r="Y300" s="42" cm="1">
        <f t="array" ref="Y300">IF(U300="",0,_xlfn.XLOOKUP(E300&amp;U300&amp;F300,tab_act&amp;tab_mod&amp;tab_act1,tab_sor)*V300*T300/MGMT)</f>
        <v>0</v>
      </c>
      <c r="Z300" s="42" cm="1">
        <f t="array" ref="Z300">IF(U300="",0,_xlfn.XLOOKUP(E300&amp;U300&amp;F300,tab_act&amp;tab_mod&amp;tab_act1,tab_mg)*V300*T300/MGMT)</f>
        <v>0</v>
      </c>
      <c r="AA300" s="46" cm="1">
        <f t="array" ref="AA300">IF(U300="",0,IF(U300="hybrid-Sch",_xlfn.XLOOKUP(E300&amp;U300&amp;F300,tab_act&amp;tab_mod&amp;tab_act1,tab_ls)*SchLS*T300/MGMT,_xlfn.XLOOKUP(E300&amp;U300&amp;F300,tab_act&amp;tab_mod&amp;tab_act1,tab_ls)*V300*T300/MGMT))</f>
        <v>0</v>
      </c>
      <c r="AB300" s="46" cm="1">
        <f t="array" ref="AB300">IF(U300="",0,_xlfn.XLOOKUP(E300&amp;U300&amp;F300,tab_act&amp;tab_mod&amp;tab_act1,tab_hu)*V300*T300/MGMT)</f>
        <v>0.14388000000000001</v>
      </c>
      <c r="AC300" s="46" cm="1">
        <f t="array" ref="AC300">IF(U300="",0,_xlfn.XLOOKUP(E300&amp;U300&amp;F300,tab_act&amp;tab_mod&amp;tab_act1,tab_mnp)*V300*T300/MGMT)</f>
        <v>0</v>
      </c>
      <c r="AD300" s="46" cm="1">
        <f t="array" ref="AD300">IF(U300="",0,_xlfn.XLOOKUP(E300&amp;U300&amp;F300,tab_act&amp;tab_mod&amp;tab_act1,tab_Psup)*V300*T300/MGMT)</f>
        <v>0</v>
      </c>
      <c r="AE300" s="110" cm="1">
        <f t="array" ref="AE300">IF(U300="",0,_xlfn.XLOOKUP(E300&amp;U300&amp;F300,tab_act&amp;tab_mod&amp;tab_act1,tab_csb1)*V300*T300/MGMT)</f>
        <v>1.3308899999999999</v>
      </c>
      <c r="AF300" s="110" cm="1">
        <f t="array" ref="AF300">IF(U300="",0,_xlfn.XLOOKUP(E300&amp;U300&amp;F300,tab_act&amp;tab_mod&amp;tab_act1,tab_csb2)*V300*T300/MGMT)</f>
        <v>0.10791000000000001</v>
      </c>
      <c r="AG300" s="46" cm="1">
        <f t="array" ref="AG300">IF(U300="",0,_xlfn.XLOOKUP(E300&amp;U300&amp;F300,tab_act&amp;tab_mod&amp;tab_act1,tab_pdoz)*V300*T300/MGMT)</f>
        <v>0</v>
      </c>
      <c r="AH300" s="46" cm="1">
        <f t="array" ref="AH300">IF(U300="",0,_xlfn.XLOOKUP(E300&amp;U300&amp;F300,tab_act&amp;tab_mod&amp;tab_act1,tab_lns)*V300*T300/MGMT)</f>
        <v>0</v>
      </c>
      <c r="AI300" s="47">
        <f t="shared" si="23"/>
        <v>1.5826799999999999</v>
      </c>
      <c r="AJ300" s="48" cm="1">
        <f t="array" ref="AJ300">IF(U300="",0,_xlfn.XLOOKUP(E300&amp;U300&amp;F300,tab_act&amp;tab_mod&amp;tab_act1,tab_cash)*T300)</f>
        <v>0</v>
      </c>
      <c r="AK300" s="134" cm="1">
        <f t="array" ref="AK300">IF(B300="",0,IF(C300="",0,AJ300/_xlfn.XLOOKUP(B300&amp;C300,RMth&amp;RYr,RAr)))</f>
        <v>0</v>
      </c>
      <c r="AN300" s="146" t="str">
        <f t="shared" si="24"/>
        <v>A</v>
      </c>
    </row>
    <row r="301" spans="2:40" x14ac:dyDescent="0.35">
      <c r="B301" s="132" t="s">
        <v>128</v>
      </c>
      <c r="C301" s="44">
        <v>2023</v>
      </c>
      <c r="D301" s="44" t="s">
        <v>100</v>
      </c>
      <c r="E301" s="15" t="s">
        <v>39</v>
      </c>
      <c r="F301" s="99" t="s">
        <v>244</v>
      </c>
      <c r="G301" s="15" t="s">
        <v>159</v>
      </c>
      <c r="H301" s="44"/>
      <c r="I301" s="15" t="s">
        <v>94</v>
      </c>
      <c r="J301" s="15" t="s">
        <v>94</v>
      </c>
      <c r="K301" s="15" t="s">
        <v>160</v>
      </c>
      <c r="L301" s="15" t="s">
        <v>95</v>
      </c>
      <c r="M301" s="15" t="s">
        <v>94</v>
      </c>
      <c r="N301" s="15" t="s">
        <v>67</v>
      </c>
      <c r="O301" s="15" t="s">
        <v>182</v>
      </c>
      <c r="P301" s="15" t="s">
        <v>195</v>
      </c>
      <c r="Q301" s="42"/>
      <c r="R301" s="42">
        <v>155.1</v>
      </c>
      <c r="S301" s="42">
        <v>155.1</v>
      </c>
      <c r="T301" s="43">
        <v>155.1</v>
      </c>
      <c r="U301" s="44" t="s">
        <v>41</v>
      </c>
      <c r="V301" s="153">
        <v>30</v>
      </c>
      <c r="W301" s="45" cm="1">
        <f t="array" ref="W301">IF(U301="",0,_xlfn.XLOOKUP(E301&amp;U301&amp;F301,tab_act&amp;tab_mod&amp;tab_act1,tab_riz)*V301*T301/MGMT)</f>
        <v>0</v>
      </c>
      <c r="X301" s="42" cm="1">
        <f t="array" ref="X301">IF(U301="",0,_xlfn.XLOOKUP(E301&amp;U301&amp;F301,tab_act&amp;tab_mod&amp;tab_act1,tab_mc)*V301*T301/MGMT)</f>
        <v>0</v>
      </c>
      <c r="Y301" s="42" cm="1">
        <f t="array" ref="Y301">IF(U301="",0,_xlfn.XLOOKUP(E301&amp;U301&amp;F301,tab_act&amp;tab_mod&amp;tab_act1,tab_sor)*V301*T301/MGMT)</f>
        <v>0</v>
      </c>
      <c r="Z301" s="42" cm="1">
        <f t="array" ref="Z301">IF(U301="",0,_xlfn.XLOOKUP(E301&amp;U301&amp;F301,tab_act&amp;tab_mod&amp;tab_act1,tab_mg)*V301*T301/MGMT)</f>
        <v>0</v>
      </c>
      <c r="AA301" s="46" cm="1">
        <f t="array" ref="AA301">IF(U301="",0,IF(U301="hybrid-Sch",_xlfn.XLOOKUP(E301&amp;U301&amp;F301,tab_act&amp;tab_mod&amp;tab_act1,tab_ls)*SchLS*T301/MGMT,_xlfn.XLOOKUP(E301&amp;U301&amp;F301,tab_act&amp;tab_mod&amp;tab_act1,tab_ls)*V301*T301/MGMT))</f>
        <v>0</v>
      </c>
      <c r="AB301" s="46" cm="1">
        <f t="array" ref="AB301">IF(U301="",0,_xlfn.XLOOKUP(E301&amp;U301&amp;F301,tab_act&amp;tab_mod&amp;tab_act1,tab_hu)*V301*T301/MGMT)</f>
        <v>9.3060000000000004E-2</v>
      </c>
      <c r="AC301" s="46" cm="1">
        <f t="array" ref="AC301">IF(U301="",0,_xlfn.XLOOKUP(E301&amp;U301&amp;F301,tab_act&amp;tab_mod&amp;tab_act1,tab_mnp)*V301*T301/MGMT)</f>
        <v>0</v>
      </c>
      <c r="AD301" s="46" cm="1">
        <f t="array" ref="AD301">IF(U301="",0,_xlfn.XLOOKUP(E301&amp;U301&amp;F301,tab_act&amp;tab_mod&amp;tab_act1,tab_Psup)*V301*T301/MGMT)</f>
        <v>0</v>
      </c>
      <c r="AE301" s="110" cm="1">
        <f t="array" ref="AE301">IF(U301="",0,_xlfn.XLOOKUP(E301&amp;U301&amp;F301,tab_act&amp;tab_mod&amp;tab_act1,tab_csb1)*V301*T301/MGMT)</f>
        <v>0.86080500000000004</v>
      </c>
      <c r="AF301" s="110" cm="1">
        <f t="array" ref="AF301">IF(U301="",0,_xlfn.XLOOKUP(E301&amp;U301&amp;F301,tab_act&amp;tab_mod&amp;tab_act1,tab_csb2)*V301*T301/MGMT)</f>
        <v>6.9794999999999996E-2</v>
      </c>
      <c r="AG301" s="46" cm="1">
        <f t="array" ref="AG301">IF(U301="",0,_xlfn.XLOOKUP(E301&amp;U301&amp;F301,tab_act&amp;tab_mod&amp;tab_act1,tab_pdoz)*V301*T301/MGMT)</f>
        <v>0</v>
      </c>
      <c r="AH301" s="46" cm="1">
        <f t="array" ref="AH301">IF(U301="",0,_xlfn.XLOOKUP(E301&amp;U301&amp;F301,tab_act&amp;tab_mod&amp;tab_act1,tab_lns)*V301*T301/MGMT)</f>
        <v>0</v>
      </c>
      <c r="AI301" s="47">
        <f t="shared" si="23"/>
        <v>1.02366</v>
      </c>
      <c r="AJ301" s="48" cm="1">
        <f t="array" ref="AJ301">IF(U301="",0,_xlfn.XLOOKUP(E301&amp;U301&amp;F301,tab_act&amp;tab_mod&amp;tab_act1,tab_cash)*T301)</f>
        <v>0</v>
      </c>
      <c r="AK301" s="134" cm="1">
        <f t="array" ref="AK301">IF(B301="",0,IF(C301="",0,AJ301/_xlfn.XLOOKUP(B301&amp;C301,RMth&amp;RYr,RAr)))</f>
        <v>0</v>
      </c>
      <c r="AN301" s="146" t="str">
        <f t="shared" si="24"/>
        <v>A</v>
      </c>
    </row>
    <row r="302" spans="2:40" x14ac:dyDescent="0.35">
      <c r="B302" s="132" t="s">
        <v>128</v>
      </c>
      <c r="C302" s="44">
        <v>2023</v>
      </c>
      <c r="D302" s="44" t="s">
        <v>100</v>
      </c>
      <c r="E302" s="15" t="s">
        <v>39</v>
      </c>
      <c r="F302" s="99" t="s">
        <v>244</v>
      </c>
      <c r="G302" s="15" t="s">
        <v>159</v>
      </c>
      <c r="H302" s="44"/>
      <c r="I302" s="15" t="s">
        <v>94</v>
      </c>
      <c r="J302" s="15" t="s">
        <v>94</v>
      </c>
      <c r="K302" s="15" t="s">
        <v>160</v>
      </c>
      <c r="L302" s="15" t="s">
        <v>95</v>
      </c>
      <c r="M302" s="15" t="s">
        <v>94</v>
      </c>
      <c r="N302" s="15" t="s">
        <v>67</v>
      </c>
      <c r="O302" s="15" t="s">
        <v>182</v>
      </c>
      <c r="P302" s="15" t="s">
        <v>196</v>
      </c>
      <c r="Q302" s="42"/>
      <c r="R302" s="42">
        <v>502.7</v>
      </c>
      <c r="S302" s="42">
        <v>502.7</v>
      </c>
      <c r="T302" s="43">
        <v>502.7</v>
      </c>
      <c r="U302" s="44" t="s">
        <v>41</v>
      </c>
      <c r="V302" s="153">
        <v>30</v>
      </c>
      <c r="W302" s="45" cm="1">
        <f t="array" ref="W302">IF(U302="",0,_xlfn.XLOOKUP(E302&amp;U302&amp;F302,tab_act&amp;tab_mod&amp;tab_act1,tab_riz)*V302*T302/MGMT)</f>
        <v>0</v>
      </c>
      <c r="X302" s="42" cm="1">
        <f t="array" ref="X302">IF(U302="",0,_xlfn.XLOOKUP(E302&amp;U302&amp;F302,tab_act&amp;tab_mod&amp;tab_act1,tab_mc)*V302*T302/MGMT)</f>
        <v>0</v>
      </c>
      <c r="Y302" s="42" cm="1">
        <f t="array" ref="Y302">IF(U302="",0,_xlfn.XLOOKUP(E302&amp;U302&amp;F302,tab_act&amp;tab_mod&amp;tab_act1,tab_sor)*V302*T302/MGMT)</f>
        <v>0</v>
      </c>
      <c r="Z302" s="42" cm="1">
        <f t="array" ref="Z302">IF(U302="",0,_xlfn.XLOOKUP(E302&amp;U302&amp;F302,tab_act&amp;tab_mod&amp;tab_act1,tab_mg)*V302*T302/MGMT)</f>
        <v>0</v>
      </c>
      <c r="AA302" s="46" cm="1">
        <f t="array" ref="AA302">IF(U302="",0,IF(U302="hybrid-Sch",_xlfn.XLOOKUP(E302&amp;U302&amp;F302,tab_act&amp;tab_mod&amp;tab_act1,tab_ls)*SchLS*T302/MGMT,_xlfn.XLOOKUP(E302&amp;U302&amp;F302,tab_act&amp;tab_mod&amp;tab_act1,tab_ls)*V302*T302/MGMT))</f>
        <v>0</v>
      </c>
      <c r="AB302" s="46" cm="1">
        <f t="array" ref="AB302">IF(U302="",0,_xlfn.XLOOKUP(E302&amp;U302&amp;F302,tab_act&amp;tab_mod&amp;tab_act1,tab_hu)*V302*T302/MGMT)</f>
        <v>0.30162</v>
      </c>
      <c r="AC302" s="46" cm="1">
        <f t="array" ref="AC302">IF(U302="",0,_xlfn.XLOOKUP(E302&amp;U302&amp;F302,tab_act&amp;tab_mod&amp;tab_act1,tab_mnp)*V302*T302/MGMT)</f>
        <v>0</v>
      </c>
      <c r="AD302" s="46" cm="1">
        <f t="array" ref="AD302">IF(U302="",0,_xlfn.XLOOKUP(E302&amp;U302&amp;F302,tab_act&amp;tab_mod&amp;tab_act1,tab_Psup)*V302*T302/MGMT)</f>
        <v>0</v>
      </c>
      <c r="AE302" s="110" cm="1">
        <f t="array" ref="AE302">IF(U302="",0,_xlfn.XLOOKUP(E302&amp;U302&amp;F302,tab_act&amp;tab_mod&amp;tab_act1,tab_csb1)*V302*T302/MGMT)</f>
        <v>2.7899850000000002</v>
      </c>
      <c r="AF302" s="110" cm="1">
        <f t="array" ref="AF302">IF(U302="",0,_xlfn.XLOOKUP(E302&amp;U302&amp;F302,tab_act&amp;tab_mod&amp;tab_act1,tab_csb2)*V302*T302/MGMT)</f>
        <v>0.226215</v>
      </c>
      <c r="AG302" s="46" cm="1">
        <f t="array" ref="AG302">IF(U302="",0,_xlfn.XLOOKUP(E302&amp;U302&amp;F302,tab_act&amp;tab_mod&amp;tab_act1,tab_pdoz)*V302*T302/MGMT)</f>
        <v>0</v>
      </c>
      <c r="AH302" s="46" cm="1">
        <f t="array" ref="AH302">IF(U302="",0,_xlfn.XLOOKUP(E302&amp;U302&amp;F302,tab_act&amp;tab_mod&amp;tab_act1,tab_lns)*V302*T302/MGMT)</f>
        <v>0</v>
      </c>
      <c r="AI302" s="47">
        <f t="shared" si="23"/>
        <v>3.3178200000000002</v>
      </c>
      <c r="AJ302" s="48" cm="1">
        <f t="array" ref="AJ302">IF(U302="",0,_xlfn.XLOOKUP(E302&amp;U302&amp;F302,tab_act&amp;tab_mod&amp;tab_act1,tab_cash)*T302)</f>
        <v>0</v>
      </c>
      <c r="AK302" s="134" cm="1">
        <f t="array" ref="AK302">IF(B302="",0,IF(C302="",0,AJ302/_xlfn.XLOOKUP(B302&amp;C302,RMth&amp;RYr,RAr)))</f>
        <v>0</v>
      </c>
      <c r="AN302" s="146" t="str">
        <f t="shared" si="24"/>
        <v>A</v>
      </c>
    </row>
    <row r="303" spans="2:40" x14ac:dyDescent="0.35">
      <c r="B303" s="132" t="s">
        <v>128</v>
      </c>
      <c r="C303" s="44">
        <v>2023</v>
      </c>
      <c r="D303" s="44" t="s">
        <v>100</v>
      </c>
      <c r="E303" s="15" t="s">
        <v>39</v>
      </c>
      <c r="F303" s="99" t="s">
        <v>244</v>
      </c>
      <c r="G303" s="15" t="s">
        <v>159</v>
      </c>
      <c r="H303" s="44"/>
      <c r="I303" s="15" t="s">
        <v>94</v>
      </c>
      <c r="J303" s="15" t="s">
        <v>94</v>
      </c>
      <c r="K303" s="15" t="s">
        <v>160</v>
      </c>
      <c r="L303" s="15" t="s">
        <v>95</v>
      </c>
      <c r="M303" s="15" t="s">
        <v>94</v>
      </c>
      <c r="N303" s="15" t="s">
        <v>67</v>
      </c>
      <c r="O303" s="15" t="s">
        <v>182</v>
      </c>
      <c r="P303" s="15" t="s">
        <v>197</v>
      </c>
      <c r="Q303" s="42"/>
      <c r="R303" s="42">
        <v>63.8</v>
      </c>
      <c r="S303" s="42">
        <v>63.8</v>
      </c>
      <c r="T303" s="43">
        <v>63.8</v>
      </c>
      <c r="U303" s="44" t="s">
        <v>41</v>
      </c>
      <c r="V303" s="153">
        <v>30</v>
      </c>
      <c r="W303" s="45" cm="1">
        <f t="array" ref="W303">IF(U303="",0,_xlfn.XLOOKUP(E303&amp;U303&amp;F303,tab_act&amp;tab_mod&amp;tab_act1,tab_riz)*V303*T303/MGMT)</f>
        <v>0</v>
      </c>
      <c r="X303" s="42" cm="1">
        <f t="array" ref="X303">IF(U303="",0,_xlfn.XLOOKUP(E303&amp;U303&amp;F303,tab_act&amp;tab_mod&amp;tab_act1,tab_mc)*V303*T303/MGMT)</f>
        <v>0</v>
      </c>
      <c r="Y303" s="42" cm="1">
        <f t="array" ref="Y303">IF(U303="",0,_xlfn.XLOOKUP(E303&amp;U303&amp;F303,tab_act&amp;tab_mod&amp;tab_act1,tab_sor)*V303*T303/MGMT)</f>
        <v>0</v>
      </c>
      <c r="Z303" s="42" cm="1">
        <f t="array" ref="Z303">IF(U303="",0,_xlfn.XLOOKUP(E303&amp;U303&amp;F303,tab_act&amp;tab_mod&amp;tab_act1,tab_mg)*V303*T303/MGMT)</f>
        <v>0</v>
      </c>
      <c r="AA303" s="46" cm="1">
        <f t="array" ref="AA303">IF(U303="",0,IF(U303="hybrid-Sch",_xlfn.XLOOKUP(E303&amp;U303&amp;F303,tab_act&amp;tab_mod&amp;tab_act1,tab_ls)*SchLS*T303/MGMT,_xlfn.XLOOKUP(E303&amp;U303&amp;F303,tab_act&amp;tab_mod&amp;tab_act1,tab_ls)*V303*T303/MGMT))</f>
        <v>0</v>
      </c>
      <c r="AB303" s="46" cm="1">
        <f t="array" ref="AB303">IF(U303="",0,_xlfn.XLOOKUP(E303&amp;U303&amp;F303,tab_act&amp;tab_mod&amp;tab_act1,tab_hu)*V303*T303/MGMT)</f>
        <v>3.8280000000000002E-2</v>
      </c>
      <c r="AC303" s="46" cm="1">
        <f t="array" ref="AC303">IF(U303="",0,_xlfn.XLOOKUP(E303&amp;U303&amp;F303,tab_act&amp;tab_mod&amp;tab_act1,tab_mnp)*V303*T303/MGMT)</f>
        <v>0</v>
      </c>
      <c r="AD303" s="46" cm="1">
        <f t="array" ref="AD303">IF(U303="",0,_xlfn.XLOOKUP(E303&amp;U303&amp;F303,tab_act&amp;tab_mod&amp;tab_act1,tab_Psup)*V303*T303/MGMT)</f>
        <v>0</v>
      </c>
      <c r="AE303" s="110" cm="1">
        <f t="array" ref="AE303">IF(U303="",0,_xlfn.XLOOKUP(E303&amp;U303&amp;F303,tab_act&amp;tab_mod&amp;tab_act1,tab_csb1)*V303*T303/MGMT)</f>
        <v>0.35409000000000002</v>
      </c>
      <c r="AF303" s="110" cm="1">
        <f t="array" ref="AF303">IF(U303="",0,_xlfn.XLOOKUP(E303&amp;U303&amp;F303,tab_act&amp;tab_mod&amp;tab_act1,tab_csb2)*V303*T303/MGMT)</f>
        <v>2.8709999999999999E-2</v>
      </c>
      <c r="AG303" s="46" cm="1">
        <f t="array" ref="AG303">IF(U303="",0,_xlfn.XLOOKUP(E303&amp;U303&amp;F303,tab_act&amp;tab_mod&amp;tab_act1,tab_pdoz)*V303*T303/MGMT)</f>
        <v>0</v>
      </c>
      <c r="AH303" s="46" cm="1">
        <f t="array" ref="AH303">IF(U303="",0,_xlfn.XLOOKUP(E303&amp;U303&amp;F303,tab_act&amp;tab_mod&amp;tab_act1,tab_lns)*V303*T303/MGMT)</f>
        <v>0</v>
      </c>
      <c r="AI303" s="47">
        <f t="shared" si="23"/>
        <v>0.42108000000000001</v>
      </c>
      <c r="AJ303" s="48" cm="1">
        <f t="array" ref="AJ303">IF(U303="",0,_xlfn.XLOOKUP(E303&amp;U303&amp;F303,tab_act&amp;tab_mod&amp;tab_act1,tab_cash)*T303)</f>
        <v>0</v>
      </c>
      <c r="AK303" s="134" cm="1">
        <f t="array" ref="AK303">IF(B303="",0,IF(C303="",0,AJ303/_xlfn.XLOOKUP(B303&amp;C303,RMth&amp;RYr,RAr)))</f>
        <v>0</v>
      </c>
      <c r="AN303" s="146" t="str">
        <f t="shared" si="24"/>
        <v>A</v>
      </c>
    </row>
    <row r="304" spans="2:40" x14ac:dyDescent="0.35">
      <c r="B304" s="132" t="s">
        <v>128</v>
      </c>
      <c r="C304" s="44">
        <v>2023</v>
      </c>
      <c r="D304" s="44" t="s">
        <v>100</v>
      </c>
      <c r="E304" s="15" t="s">
        <v>39</v>
      </c>
      <c r="F304" s="99" t="s">
        <v>244</v>
      </c>
      <c r="G304" s="15" t="s">
        <v>159</v>
      </c>
      <c r="H304" s="44"/>
      <c r="I304" s="15" t="s">
        <v>94</v>
      </c>
      <c r="J304" s="15" t="s">
        <v>94</v>
      </c>
      <c r="K304" s="15" t="s">
        <v>160</v>
      </c>
      <c r="L304" s="15" t="s">
        <v>95</v>
      </c>
      <c r="M304" s="15" t="s">
        <v>94</v>
      </c>
      <c r="N304" s="15" t="s">
        <v>67</v>
      </c>
      <c r="O304" s="15" t="s">
        <v>182</v>
      </c>
      <c r="P304" s="15" t="s">
        <v>198</v>
      </c>
      <c r="Q304" s="42"/>
      <c r="R304" s="42">
        <v>35.200000000000003</v>
      </c>
      <c r="S304" s="42">
        <v>35.200000000000003</v>
      </c>
      <c r="T304" s="43">
        <v>35.200000000000003</v>
      </c>
      <c r="U304" s="44" t="s">
        <v>41</v>
      </c>
      <c r="V304" s="153">
        <v>30</v>
      </c>
      <c r="W304" s="45" cm="1">
        <f t="array" ref="W304">IF(U304="",0,_xlfn.XLOOKUP(E304&amp;U304&amp;F304,tab_act&amp;tab_mod&amp;tab_act1,tab_riz)*V304*T304/MGMT)</f>
        <v>0</v>
      </c>
      <c r="X304" s="42" cm="1">
        <f t="array" ref="X304">IF(U304="",0,_xlfn.XLOOKUP(E304&amp;U304&amp;F304,tab_act&amp;tab_mod&amp;tab_act1,tab_mc)*V304*T304/MGMT)</f>
        <v>0</v>
      </c>
      <c r="Y304" s="42" cm="1">
        <f t="array" ref="Y304">IF(U304="",0,_xlfn.XLOOKUP(E304&amp;U304&amp;F304,tab_act&amp;tab_mod&amp;tab_act1,tab_sor)*V304*T304/MGMT)</f>
        <v>0</v>
      </c>
      <c r="Z304" s="42" cm="1">
        <f t="array" ref="Z304">IF(U304="",0,_xlfn.XLOOKUP(E304&amp;U304&amp;F304,tab_act&amp;tab_mod&amp;tab_act1,tab_mg)*V304*T304/MGMT)</f>
        <v>0</v>
      </c>
      <c r="AA304" s="46" cm="1">
        <f t="array" ref="AA304">IF(U304="",0,IF(U304="hybrid-Sch",_xlfn.XLOOKUP(E304&amp;U304&amp;F304,tab_act&amp;tab_mod&amp;tab_act1,tab_ls)*SchLS*T304/MGMT,_xlfn.XLOOKUP(E304&amp;U304&amp;F304,tab_act&amp;tab_mod&amp;tab_act1,tab_ls)*V304*T304/MGMT))</f>
        <v>0</v>
      </c>
      <c r="AB304" s="46" cm="1">
        <f t="array" ref="AB304">IF(U304="",0,_xlfn.XLOOKUP(E304&amp;U304&amp;F304,tab_act&amp;tab_mod&amp;tab_act1,tab_hu)*V304*T304/MGMT)</f>
        <v>2.112E-2</v>
      </c>
      <c r="AC304" s="46" cm="1">
        <f t="array" ref="AC304">IF(U304="",0,_xlfn.XLOOKUP(E304&amp;U304&amp;F304,tab_act&amp;tab_mod&amp;tab_act1,tab_mnp)*V304*T304/MGMT)</f>
        <v>0</v>
      </c>
      <c r="AD304" s="46" cm="1">
        <f t="array" ref="AD304">IF(U304="",0,_xlfn.XLOOKUP(E304&amp;U304&amp;F304,tab_act&amp;tab_mod&amp;tab_act1,tab_Psup)*V304*T304/MGMT)</f>
        <v>0</v>
      </c>
      <c r="AE304" s="110" cm="1">
        <f t="array" ref="AE304">IF(U304="",0,_xlfn.XLOOKUP(E304&amp;U304&amp;F304,tab_act&amp;tab_mod&amp;tab_act1,tab_csb1)*V304*T304/MGMT)</f>
        <v>0.19536000000000003</v>
      </c>
      <c r="AF304" s="110" cm="1">
        <f t="array" ref="AF304">IF(U304="",0,_xlfn.XLOOKUP(E304&amp;U304&amp;F304,tab_act&amp;tab_mod&amp;tab_act1,tab_csb2)*V304*T304/MGMT)</f>
        <v>1.5840000000000003E-2</v>
      </c>
      <c r="AG304" s="46" cm="1">
        <f t="array" ref="AG304">IF(U304="",0,_xlfn.XLOOKUP(E304&amp;U304&amp;F304,tab_act&amp;tab_mod&amp;tab_act1,tab_pdoz)*V304*T304/MGMT)</f>
        <v>0</v>
      </c>
      <c r="AH304" s="46" cm="1">
        <f t="array" ref="AH304">IF(U304="",0,_xlfn.XLOOKUP(E304&amp;U304&amp;F304,tab_act&amp;tab_mod&amp;tab_act1,tab_lns)*V304*T304/MGMT)</f>
        <v>0</v>
      </c>
      <c r="AI304" s="47">
        <f t="shared" si="23"/>
        <v>0.23232000000000003</v>
      </c>
      <c r="AJ304" s="48" cm="1">
        <f t="array" ref="AJ304">IF(U304="",0,_xlfn.XLOOKUP(E304&amp;U304&amp;F304,tab_act&amp;tab_mod&amp;tab_act1,tab_cash)*T304)</f>
        <v>0</v>
      </c>
      <c r="AK304" s="134" cm="1">
        <f t="array" ref="AK304">IF(B304="",0,IF(C304="",0,AJ304/_xlfn.XLOOKUP(B304&amp;C304,RMth&amp;RYr,RAr)))</f>
        <v>0</v>
      </c>
      <c r="AN304" s="146" t="str">
        <f t="shared" si="24"/>
        <v>A</v>
      </c>
    </row>
    <row r="305" spans="1:40" x14ac:dyDescent="0.35">
      <c r="B305" s="132" t="s">
        <v>128</v>
      </c>
      <c r="C305" s="44">
        <v>2023</v>
      </c>
      <c r="D305" s="44" t="s">
        <v>100</v>
      </c>
      <c r="E305" s="15" t="s">
        <v>39</v>
      </c>
      <c r="F305" s="99" t="s">
        <v>244</v>
      </c>
      <c r="G305" s="15" t="s">
        <v>159</v>
      </c>
      <c r="H305" s="44"/>
      <c r="I305" s="15" t="s">
        <v>94</v>
      </c>
      <c r="J305" s="15" t="s">
        <v>94</v>
      </c>
      <c r="K305" s="15" t="s">
        <v>160</v>
      </c>
      <c r="L305" s="15" t="s">
        <v>95</v>
      </c>
      <c r="M305" s="15" t="s">
        <v>94</v>
      </c>
      <c r="N305" s="15" t="s">
        <v>67</v>
      </c>
      <c r="O305" s="15" t="s">
        <v>182</v>
      </c>
      <c r="P305" s="15" t="s">
        <v>199</v>
      </c>
      <c r="Q305" s="42"/>
      <c r="R305" s="42">
        <v>213.4</v>
      </c>
      <c r="S305" s="42">
        <v>213.4</v>
      </c>
      <c r="T305" s="43">
        <v>213.4</v>
      </c>
      <c r="U305" s="44" t="s">
        <v>41</v>
      </c>
      <c r="V305" s="153">
        <v>30</v>
      </c>
      <c r="W305" s="45" cm="1">
        <f t="array" ref="W305">IF(U305="",0,_xlfn.XLOOKUP(E305&amp;U305&amp;F305,tab_act&amp;tab_mod&amp;tab_act1,tab_riz)*V305*T305/MGMT)</f>
        <v>0</v>
      </c>
      <c r="X305" s="42" cm="1">
        <f t="array" ref="X305">IF(U305="",0,_xlfn.XLOOKUP(E305&amp;U305&amp;F305,tab_act&amp;tab_mod&amp;tab_act1,tab_mc)*V305*T305/MGMT)</f>
        <v>0</v>
      </c>
      <c r="Y305" s="42" cm="1">
        <f t="array" ref="Y305">IF(U305="",0,_xlfn.XLOOKUP(E305&amp;U305&amp;F305,tab_act&amp;tab_mod&amp;tab_act1,tab_sor)*V305*T305/MGMT)</f>
        <v>0</v>
      </c>
      <c r="Z305" s="42" cm="1">
        <f t="array" ref="Z305">IF(U305="",0,_xlfn.XLOOKUP(E305&amp;U305&amp;F305,tab_act&amp;tab_mod&amp;tab_act1,tab_mg)*V305*T305/MGMT)</f>
        <v>0</v>
      </c>
      <c r="AA305" s="46" cm="1">
        <f t="array" ref="AA305">IF(U305="",0,IF(U305="hybrid-Sch",_xlfn.XLOOKUP(E305&amp;U305&amp;F305,tab_act&amp;tab_mod&amp;tab_act1,tab_ls)*SchLS*T305/MGMT,_xlfn.XLOOKUP(E305&amp;U305&amp;F305,tab_act&amp;tab_mod&amp;tab_act1,tab_ls)*V305*T305/MGMT))</f>
        <v>0</v>
      </c>
      <c r="AB305" s="46" cm="1">
        <f t="array" ref="AB305">IF(U305="",0,_xlfn.XLOOKUP(E305&amp;U305&amp;F305,tab_act&amp;tab_mod&amp;tab_act1,tab_hu)*V305*T305/MGMT)</f>
        <v>0.12803999999999999</v>
      </c>
      <c r="AC305" s="46" cm="1">
        <f t="array" ref="AC305">IF(U305="",0,_xlfn.XLOOKUP(E305&amp;U305&amp;F305,tab_act&amp;tab_mod&amp;tab_act1,tab_mnp)*V305*T305/MGMT)</f>
        <v>0</v>
      </c>
      <c r="AD305" s="46" cm="1">
        <f t="array" ref="AD305">IF(U305="",0,_xlfn.XLOOKUP(E305&amp;U305&amp;F305,tab_act&amp;tab_mod&amp;tab_act1,tab_Psup)*V305*T305/MGMT)</f>
        <v>0</v>
      </c>
      <c r="AE305" s="110" cm="1">
        <f t="array" ref="AE305">IF(U305="",0,_xlfn.XLOOKUP(E305&amp;U305&amp;F305,tab_act&amp;tab_mod&amp;tab_act1,tab_csb1)*V305*T305/MGMT)</f>
        <v>1.1843699999999999</v>
      </c>
      <c r="AF305" s="110" cm="1">
        <f t="array" ref="AF305">IF(U305="",0,_xlfn.XLOOKUP(E305&amp;U305&amp;F305,tab_act&amp;tab_mod&amp;tab_act1,tab_csb2)*V305*T305/MGMT)</f>
        <v>9.6030000000000004E-2</v>
      </c>
      <c r="AG305" s="46" cm="1">
        <f t="array" ref="AG305">IF(U305="",0,_xlfn.XLOOKUP(E305&amp;U305&amp;F305,tab_act&amp;tab_mod&amp;tab_act1,tab_pdoz)*V305*T305/MGMT)</f>
        <v>0</v>
      </c>
      <c r="AH305" s="46" cm="1">
        <f t="array" ref="AH305">IF(U305="",0,_xlfn.XLOOKUP(E305&amp;U305&amp;F305,tab_act&amp;tab_mod&amp;tab_act1,tab_lns)*V305*T305/MGMT)</f>
        <v>0</v>
      </c>
      <c r="AI305" s="47">
        <f t="shared" si="23"/>
        <v>1.4084399999999999</v>
      </c>
      <c r="AJ305" s="48" cm="1">
        <f t="array" ref="AJ305">IF(U305="",0,_xlfn.XLOOKUP(E305&amp;U305&amp;F305,tab_act&amp;tab_mod&amp;tab_act1,tab_cash)*T305)</f>
        <v>0</v>
      </c>
      <c r="AK305" s="134" cm="1">
        <f t="array" ref="AK305">IF(B305="",0,IF(C305="",0,AJ305/_xlfn.XLOOKUP(B305&amp;C305,RMth&amp;RYr,RAr)))</f>
        <v>0</v>
      </c>
      <c r="AN305" s="146" t="str">
        <f t="shared" si="24"/>
        <v>A</v>
      </c>
    </row>
    <row r="306" spans="1:40" x14ac:dyDescent="0.35">
      <c r="B306" s="132" t="s">
        <v>128</v>
      </c>
      <c r="C306" s="44">
        <v>2023</v>
      </c>
      <c r="D306" s="44" t="s">
        <v>100</v>
      </c>
      <c r="E306" s="15" t="s">
        <v>39</v>
      </c>
      <c r="F306" s="99" t="s">
        <v>244</v>
      </c>
      <c r="G306" s="15" t="s">
        <v>159</v>
      </c>
      <c r="H306" s="44"/>
      <c r="I306" s="15" t="s">
        <v>94</v>
      </c>
      <c r="J306" s="15" t="s">
        <v>94</v>
      </c>
      <c r="K306" s="15" t="s">
        <v>160</v>
      </c>
      <c r="L306" s="15" t="s">
        <v>95</v>
      </c>
      <c r="M306" s="15" t="s">
        <v>94</v>
      </c>
      <c r="N306" s="15" t="s">
        <v>67</v>
      </c>
      <c r="O306" s="15" t="s">
        <v>200</v>
      </c>
      <c r="P306" s="15" t="s">
        <v>201</v>
      </c>
      <c r="Q306" s="42"/>
      <c r="R306" s="42">
        <v>394.9</v>
      </c>
      <c r="S306" s="42">
        <v>394.9</v>
      </c>
      <c r="T306" s="43">
        <v>394.9</v>
      </c>
      <c r="U306" s="44" t="s">
        <v>41</v>
      </c>
      <c r="V306" s="153">
        <v>30</v>
      </c>
      <c r="W306" s="45" cm="1">
        <f t="array" ref="W306">IF(U306="",0,_xlfn.XLOOKUP(E306&amp;U306&amp;F306,tab_act&amp;tab_mod&amp;tab_act1,tab_riz)*V306*T306/MGMT)</f>
        <v>0</v>
      </c>
      <c r="X306" s="42" cm="1">
        <f t="array" ref="X306">IF(U306="",0,_xlfn.XLOOKUP(E306&amp;U306&amp;F306,tab_act&amp;tab_mod&amp;tab_act1,tab_mc)*V306*T306/MGMT)</f>
        <v>0</v>
      </c>
      <c r="Y306" s="42" cm="1">
        <f t="array" ref="Y306">IF(U306="",0,_xlfn.XLOOKUP(E306&amp;U306&amp;F306,tab_act&amp;tab_mod&amp;tab_act1,tab_sor)*V306*T306/MGMT)</f>
        <v>0</v>
      </c>
      <c r="Z306" s="42" cm="1">
        <f t="array" ref="Z306">IF(U306="",0,_xlfn.XLOOKUP(E306&amp;U306&amp;F306,tab_act&amp;tab_mod&amp;tab_act1,tab_mg)*V306*T306/MGMT)</f>
        <v>0</v>
      </c>
      <c r="AA306" s="46" cm="1">
        <f t="array" ref="AA306">IF(U306="",0,IF(U306="hybrid-Sch",_xlfn.XLOOKUP(E306&amp;U306&amp;F306,tab_act&amp;tab_mod&amp;tab_act1,tab_ls)*SchLS*T306/MGMT,_xlfn.XLOOKUP(E306&amp;U306&amp;F306,tab_act&amp;tab_mod&amp;tab_act1,tab_ls)*V306*T306/MGMT))</f>
        <v>0</v>
      </c>
      <c r="AB306" s="46" cm="1">
        <f t="array" ref="AB306">IF(U306="",0,_xlfn.XLOOKUP(E306&amp;U306&amp;F306,tab_act&amp;tab_mod&amp;tab_act1,tab_hu)*V306*T306/MGMT)</f>
        <v>0.23694000000000001</v>
      </c>
      <c r="AC306" s="46" cm="1">
        <f t="array" ref="AC306">IF(U306="",0,_xlfn.XLOOKUP(E306&amp;U306&amp;F306,tab_act&amp;tab_mod&amp;tab_act1,tab_mnp)*V306*T306/MGMT)</f>
        <v>0</v>
      </c>
      <c r="AD306" s="46" cm="1">
        <f t="array" ref="AD306">IF(U306="",0,_xlfn.XLOOKUP(E306&amp;U306&amp;F306,tab_act&amp;tab_mod&amp;tab_act1,tab_Psup)*V306*T306/MGMT)</f>
        <v>0</v>
      </c>
      <c r="AE306" s="110" cm="1">
        <f t="array" ref="AE306">IF(U306="",0,_xlfn.XLOOKUP(E306&amp;U306&amp;F306,tab_act&amp;tab_mod&amp;tab_act1,tab_csb1)*V306*T306/MGMT)</f>
        <v>2.1916950000000002</v>
      </c>
      <c r="AF306" s="110" cm="1">
        <f t="array" ref="AF306">IF(U306="",0,_xlfn.XLOOKUP(E306&amp;U306&amp;F306,tab_act&amp;tab_mod&amp;tab_act1,tab_csb2)*V306*T306/MGMT)</f>
        <v>0.177705</v>
      </c>
      <c r="AG306" s="46" cm="1">
        <f t="array" ref="AG306">IF(U306="",0,_xlfn.XLOOKUP(E306&amp;U306&amp;F306,tab_act&amp;tab_mod&amp;tab_act1,tab_pdoz)*V306*T306/MGMT)</f>
        <v>0</v>
      </c>
      <c r="AH306" s="46" cm="1">
        <f t="array" ref="AH306">IF(U306="",0,_xlfn.XLOOKUP(E306&amp;U306&amp;F306,tab_act&amp;tab_mod&amp;tab_act1,tab_lns)*V306*T306/MGMT)</f>
        <v>0</v>
      </c>
      <c r="AI306" s="47">
        <f t="shared" si="23"/>
        <v>2.6063400000000003</v>
      </c>
      <c r="AJ306" s="48" cm="1">
        <f t="array" ref="AJ306">IF(U306="",0,_xlfn.XLOOKUP(E306&amp;U306&amp;F306,tab_act&amp;tab_mod&amp;tab_act1,tab_cash)*T306)</f>
        <v>0</v>
      </c>
      <c r="AK306" s="134" cm="1">
        <f t="array" ref="AK306">IF(B306="",0,IF(C306="",0,AJ306/_xlfn.XLOOKUP(B306&amp;C306,RMth&amp;RYr,RAr)))</f>
        <v>0</v>
      </c>
      <c r="AN306" s="146" t="str">
        <f t="shared" si="24"/>
        <v>A</v>
      </c>
    </row>
    <row r="307" spans="1:40" x14ac:dyDescent="0.35">
      <c r="B307" s="132" t="s">
        <v>128</v>
      </c>
      <c r="C307" s="44">
        <v>2023</v>
      </c>
      <c r="D307" s="44" t="s">
        <v>100</v>
      </c>
      <c r="E307" s="15" t="s">
        <v>39</v>
      </c>
      <c r="F307" s="99" t="s">
        <v>244</v>
      </c>
      <c r="G307" s="15" t="s">
        <v>159</v>
      </c>
      <c r="H307" s="44"/>
      <c r="I307" s="15" t="s">
        <v>94</v>
      </c>
      <c r="J307" s="15" t="s">
        <v>94</v>
      </c>
      <c r="K307" s="15" t="s">
        <v>160</v>
      </c>
      <c r="L307" s="15" t="s">
        <v>95</v>
      </c>
      <c r="M307" s="15" t="s">
        <v>94</v>
      </c>
      <c r="N307" s="15" t="s">
        <v>67</v>
      </c>
      <c r="O307" s="15" t="s">
        <v>200</v>
      </c>
      <c r="P307" s="15" t="s">
        <v>202</v>
      </c>
      <c r="Q307" s="42"/>
      <c r="R307" s="42">
        <v>325.60000000000002</v>
      </c>
      <c r="S307" s="42">
        <v>325.60000000000002</v>
      </c>
      <c r="T307" s="43">
        <v>325.60000000000002</v>
      </c>
      <c r="U307" s="44" t="s">
        <v>41</v>
      </c>
      <c r="V307" s="153">
        <v>30</v>
      </c>
      <c r="W307" s="45" cm="1">
        <f t="array" ref="W307">IF(U307="",0,_xlfn.XLOOKUP(E307&amp;U307&amp;F307,tab_act&amp;tab_mod&amp;tab_act1,tab_riz)*V307*T307/MGMT)</f>
        <v>0</v>
      </c>
      <c r="X307" s="42" cm="1">
        <f t="array" ref="X307">IF(U307="",0,_xlfn.XLOOKUP(E307&amp;U307&amp;F307,tab_act&amp;tab_mod&amp;tab_act1,tab_mc)*V307*T307/MGMT)</f>
        <v>0</v>
      </c>
      <c r="Y307" s="42" cm="1">
        <f t="array" ref="Y307">IF(U307="",0,_xlfn.XLOOKUP(E307&amp;U307&amp;F307,tab_act&amp;tab_mod&amp;tab_act1,tab_sor)*V307*T307/MGMT)</f>
        <v>0</v>
      </c>
      <c r="Z307" s="42" cm="1">
        <f t="array" ref="Z307">IF(U307="",0,_xlfn.XLOOKUP(E307&amp;U307&amp;F307,tab_act&amp;tab_mod&amp;tab_act1,tab_mg)*V307*T307/MGMT)</f>
        <v>0</v>
      </c>
      <c r="AA307" s="46" cm="1">
        <f t="array" ref="AA307">IF(U307="",0,IF(U307="hybrid-Sch",_xlfn.XLOOKUP(E307&amp;U307&amp;F307,tab_act&amp;tab_mod&amp;tab_act1,tab_ls)*SchLS*T307/MGMT,_xlfn.XLOOKUP(E307&amp;U307&amp;F307,tab_act&amp;tab_mod&amp;tab_act1,tab_ls)*V307*T307/MGMT))</f>
        <v>0</v>
      </c>
      <c r="AB307" s="46" cm="1">
        <f t="array" ref="AB307">IF(U307="",0,_xlfn.XLOOKUP(E307&amp;U307&amp;F307,tab_act&amp;tab_mod&amp;tab_act1,tab_hu)*V307*T307/MGMT)</f>
        <v>0.19536000000000001</v>
      </c>
      <c r="AC307" s="46" cm="1">
        <f t="array" ref="AC307">IF(U307="",0,_xlfn.XLOOKUP(E307&amp;U307&amp;F307,tab_act&amp;tab_mod&amp;tab_act1,tab_mnp)*V307*T307/MGMT)</f>
        <v>0</v>
      </c>
      <c r="AD307" s="46" cm="1">
        <f t="array" ref="AD307">IF(U307="",0,_xlfn.XLOOKUP(E307&amp;U307&amp;F307,tab_act&amp;tab_mod&amp;tab_act1,tab_Psup)*V307*T307/MGMT)</f>
        <v>0</v>
      </c>
      <c r="AE307" s="110" cm="1">
        <f t="array" ref="AE307">IF(U307="",0,_xlfn.XLOOKUP(E307&amp;U307&amp;F307,tab_act&amp;tab_mod&amp;tab_act1,tab_csb1)*V307*T307/MGMT)</f>
        <v>1.8070800000000002</v>
      </c>
      <c r="AF307" s="110" cm="1">
        <f t="array" ref="AF307">IF(U307="",0,_xlfn.XLOOKUP(E307&amp;U307&amp;F307,tab_act&amp;tab_mod&amp;tab_act1,tab_csb2)*V307*T307/MGMT)</f>
        <v>0.14652000000000001</v>
      </c>
      <c r="AG307" s="46" cm="1">
        <f t="array" ref="AG307">IF(U307="",0,_xlfn.XLOOKUP(E307&amp;U307&amp;F307,tab_act&amp;tab_mod&amp;tab_act1,tab_pdoz)*V307*T307/MGMT)</f>
        <v>0</v>
      </c>
      <c r="AH307" s="46" cm="1">
        <f t="array" ref="AH307">IF(U307="",0,_xlfn.XLOOKUP(E307&amp;U307&amp;F307,tab_act&amp;tab_mod&amp;tab_act1,tab_lns)*V307*T307/MGMT)</f>
        <v>0</v>
      </c>
      <c r="AI307" s="47">
        <f t="shared" si="23"/>
        <v>2.1489600000000006</v>
      </c>
      <c r="AJ307" s="48" cm="1">
        <f t="array" ref="AJ307">IF(U307="",0,_xlfn.XLOOKUP(E307&amp;U307&amp;F307,tab_act&amp;tab_mod&amp;tab_act1,tab_cash)*T307)</f>
        <v>0</v>
      </c>
      <c r="AK307" s="134" cm="1">
        <f t="array" ref="AK307">IF(B307="",0,IF(C307="",0,AJ307/_xlfn.XLOOKUP(B307&amp;C307,RMth&amp;RYr,RAr)))</f>
        <v>0</v>
      </c>
      <c r="AN307" s="146" t="str">
        <f t="shared" si="24"/>
        <v>A</v>
      </c>
    </row>
    <row r="308" spans="1:40" x14ac:dyDescent="0.35">
      <c r="B308" s="132" t="s">
        <v>128</v>
      </c>
      <c r="C308" s="44">
        <v>2023</v>
      </c>
      <c r="D308" s="44" t="s">
        <v>100</v>
      </c>
      <c r="E308" s="15" t="s">
        <v>39</v>
      </c>
      <c r="F308" s="99" t="s">
        <v>244</v>
      </c>
      <c r="G308" s="15" t="s">
        <v>159</v>
      </c>
      <c r="H308" s="44"/>
      <c r="I308" s="15" t="s">
        <v>94</v>
      </c>
      <c r="J308" s="15" t="s">
        <v>94</v>
      </c>
      <c r="K308" s="15" t="s">
        <v>160</v>
      </c>
      <c r="L308" s="15" t="s">
        <v>95</v>
      </c>
      <c r="M308" s="15" t="s">
        <v>94</v>
      </c>
      <c r="N308" s="15" t="s">
        <v>67</v>
      </c>
      <c r="O308" s="15" t="s">
        <v>200</v>
      </c>
      <c r="P308" s="15" t="s">
        <v>203</v>
      </c>
      <c r="Q308" s="42"/>
      <c r="R308" s="42">
        <v>592.9</v>
      </c>
      <c r="S308" s="42">
        <v>592.9</v>
      </c>
      <c r="T308" s="43">
        <v>592.9</v>
      </c>
      <c r="U308" s="44" t="s">
        <v>41</v>
      </c>
      <c r="V308" s="153">
        <v>30</v>
      </c>
      <c r="W308" s="45" cm="1">
        <f t="array" ref="W308">IF(U308="",0,_xlfn.XLOOKUP(E308&amp;U308&amp;F308,tab_act&amp;tab_mod&amp;tab_act1,tab_riz)*V308*T308/MGMT)</f>
        <v>0</v>
      </c>
      <c r="X308" s="42" cm="1">
        <f t="array" ref="X308">IF(U308="",0,_xlfn.XLOOKUP(E308&amp;U308&amp;F308,tab_act&amp;tab_mod&amp;tab_act1,tab_mc)*V308*T308/MGMT)</f>
        <v>0</v>
      </c>
      <c r="Y308" s="42" cm="1">
        <f t="array" ref="Y308">IF(U308="",0,_xlfn.XLOOKUP(E308&amp;U308&amp;F308,tab_act&amp;tab_mod&amp;tab_act1,tab_sor)*V308*T308/MGMT)</f>
        <v>0</v>
      </c>
      <c r="Z308" s="42" cm="1">
        <f t="array" ref="Z308">IF(U308="",0,_xlfn.XLOOKUP(E308&amp;U308&amp;F308,tab_act&amp;tab_mod&amp;tab_act1,tab_mg)*V308*T308/MGMT)</f>
        <v>0</v>
      </c>
      <c r="AA308" s="46" cm="1">
        <f t="array" ref="AA308">IF(U308="",0,IF(U308="hybrid-Sch",_xlfn.XLOOKUP(E308&amp;U308&amp;F308,tab_act&amp;tab_mod&amp;tab_act1,tab_ls)*SchLS*T308/MGMT,_xlfn.XLOOKUP(E308&amp;U308&amp;F308,tab_act&amp;tab_mod&amp;tab_act1,tab_ls)*V308*T308/MGMT))</f>
        <v>0</v>
      </c>
      <c r="AB308" s="46" cm="1">
        <f t="array" ref="AB308">IF(U308="",0,_xlfn.XLOOKUP(E308&amp;U308&amp;F308,tab_act&amp;tab_mod&amp;tab_act1,tab_hu)*V308*T308/MGMT)</f>
        <v>0.35574</v>
      </c>
      <c r="AC308" s="46" cm="1">
        <f t="array" ref="AC308">IF(U308="",0,_xlfn.XLOOKUP(E308&amp;U308&amp;F308,tab_act&amp;tab_mod&amp;tab_act1,tab_mnp)*V308*T308/MGMT)</f>
        <v>0</v>
      </c>
      <c r="AD308" s="46" cm="1">
        <f t="array" ref="AD308">IF(U308="",0,_xlfn.XLOOKUP(E308&amp;U308&amp;F308,tab_act&amp;tab_mod&amp;tab_act1,tab_Psup)*V308*T308/MGMT)</f>
        <v>0</v>
      </c>
      <c r="AE308" s="110" cm="1">
        <f t="array" ref="AE308">IF(U308="",0,_xlfn.XLOOKUP(E308&amp;U308&amp;F308,tab_act&amp;tab_mod&amp;tab_act1,tab_csb1)*V308*T308/MGMT)</f>
        <v>3.2905950000000002</v>
      </c>
      <c r="AF308" s="110" cm="1">
        <f t="array" ref="AF308">IF(U308="",0,_xlfn.XLOOKUP(E308&amp;U308&amp;F308,tab_act&amp;tab_mod&amp;tab_act1,tab_csb2)*V308*T308/MGMT)</f>
        <v>0.26680500000000001</v>
      </c>
      <c r="AG308" s="46" cm="1">
        <f t="array" ref="AG308">IF(U308="",0,_xlfn.XLOOKUP(E308&amp;U308&amp;F308,tab_act&amp;tab_mod&amp;tab_act1,tab_pdoz)*V308*T308/MGMT)</f>
        <v>0</v>
      </c>
      <c r="AH308" s="46" cm="1">
        <f t="array" ref="AH308">IF(U308="",0,_xlfn.XLOOKUP(E308&amp;U308&amp;F308,tab_act&amp;tab_mod&amp;tab_act1,tab_lns)*V308*T308/MGMT)</f>
        <v>0</v>
      </c>
      <c r="AI308" s="47">
        <f t="shared" si="23"/>
        <v>3.9131400000000003</v>
      </c>
      <c r="AJ308" s="48" cm="1">
        <f t="array" ref="AJ308">IF(U308="",0,_xlfn.XLOOKUP(E308&amp;U308&amp;F308,tab_act&amp;tab_mod&amp;tab_act1,tab_cash)*T308)</f>
        <v>0</v>
      </c>
      <c r="AK308" s="134" cm="1">
        <f t="array" ref="AK308">IF(B308="",0,IF(C308="",0,AJ308/_xlfn.XLOOKUP(B308&amp;C308,RMth&amp;RYr,RAr)))</f>
        <v>0</v>
      </c>
      <c r="AN308" s="146" t="str">
        <f t="shared" si="24"/>
        <v>A</v>
      </c>
    </row>
    <row r="309" spans="1:40" x14ac:dyDescent="0.35">
      <c r="B309" s="132" t="s">
        <v>128</v>
      </c>
      <c r="C309" s="44">
        <v>2023</v>
      </c>
      <c r="D309" s="44" t="s">
        <v>100</v>
      </c>
      <c r="E309" s="15" t="s">
        <v>39</v>
      </c>
      <c r="F309" s="99" t="s">
        <v>244</v>
      </c>
      <c r="G309" s="15" t="s">
        <v>159</v>
      </c>
      <c r="H309" s="44"/>
      <c r="I309" s="15" t="s">
        <v>94</v>
      </c>
      <c r="J309" s="15" t="s">
        <v>94</v>
      </c>
      <c r="K309" s="15" t="s">
        <v>160</v>
      </c>
      <c r="L309" s="15" t="s">
        <v>95</v>
      </c>
      <c r="M309" s="15" t="s">
        <v>94</v>
      </c>
      <c r="N309" s="15" t="s">
        <v>67</v>
      </c>
      <c r="O309" s="15" t="s">
        <v>200</v>
      </c>
      <c r="P309" s="15" t="s">
        <v>204</v>
      </c>
      <c r="Q309" s="42"/>
      <c r="R309" s="42">
        <v>342.1</v>
      </c>
      <c r="S309" s="42">
        <v>342.1</v>
      </c>
      <c r="T309" s="43">
        <v>342.1</v>
      </c>
      <c r="U309" s="44" t="s">
        <v>41</v>
      </c>
      <c r="V309" s="153">
        <v>30</v>
      </c>
      <c r="W309" s="45" cm="1">
        <f t="array" ref="W309">IF(U309="",0,_xlfn.XLOOKUP(E309&amp;U309&amp;F309,tab_act&amp;tab_mod&amp;tab_act1,tab_riz)*V309*T309/MGMT)</f>
        <v>0</v>
      </c>
      <c r="X309" s="42" cm="1">
        <f t="array" ref="X309">IF(U309="",0,_xlfn.XLOOKUP(E309&amp;U309&amp;F309,tab_act&amp;tab_mod&amp;tab_act1,tab_mc)*V309*T309/MGMT)</f>
        <v>0</v>
      </c>
      <c r="Y309" s="42" cm="1">
        <f t="array" ref="Y309">IF(U309="",0,_xlfn.XLOOKUP(E309&amp;U309&amp;F309,tab_act&amp;tab_mod&amp;tab_act1,tab_sor)*V309*T309/MGMT)</f>
        <v>0</v>
      </c>
      <c r="Z309" s="42" cm="1">
        <f t="array" ref="Z309">IF(U309="",0,_xlfn.XLOOKUP(E309&amp;U309&amp;F309,tab_act&amp;tab_mod&amp;tab_act1,tab_mg)*V309*T309/MGMT)</f>
        <v>0</v>
      </c>
      <c r="AA309" s="46" cm="1">
        <f t="array" ref="AA309">IF(U309="",0,IF(U309="hybrid-Sch",_xlfn.XLOOKUP(E309&amp;U309&amp;F309,tab_act&amp;tab_mod&amp;tab_act1,tab_ls)*SchLS*T309/MGMT,_xlfn.XLOOKUP(E309&amp;U309&amp;F309,tab_act&amp;tab_mod&amp;tab_act1,tab_ls)*V309*T309/MGMT))</f>
        <v>0</v>
      </c>
      <c r="AB309" s="46" cm="1">
        <f t="array" ref="AB309">IF(U309="",0,_xlfn.XLOOKUP(E309&amp;U309&amp;F309,tab_act&amp;tab_mod&amp;tab_act1,tab_hu)*V309*T309/MGMT)</f>
        <v>0.20526</v>
      </c>
      <c r="AC309" s="46" cm="1">
        <f t="array" ref="AC309">IF(U309="",0,_xlfn.XLOOKUP(E309&amp;U309&amp;F309,tab_act&amp;tab_mod&amp;tab_act1,tab_mnp)*V309*T309/MGMT)</f>
        <v>0</v>
      </c>
      <c r="AD309" s="46" cm="1">
        <f t="array" ref="AD309">IF(U309="",0,_xlfn.XLOOKUP(E309&amp;U309&amp;F309,tab_act&amp;tab_mod&amp;tab_act1,tab_Psup)*V309*T309/MGMT)</f>
        <v>0</v>
      </c>
      <c r="AE309" s="110" cm="1">
        <f t="array" ref="AE309">IF(U309="",0,_xlfn.XLOOKUP(E309&amp;U309&amp;F309,tab_act&amp;tab_mod&amp;tab_act1,tab_csb1)*V309*T309/MGMT)</f>
        <v>1.8986550000000002</v>
      </c>
      <c r="AF309" s="110" cm="1">
        <f t="array" ref="AF309">IF(U309="",0,_xlfn.XLOOKUP(E309&amp;U309&amp;F309,tab_act&amp;tab_mod&amp;tab_act1,tab_csb2)*V309*T309/MGMT)</f>
        <v>0.153945</v>
      </c>
      <c r="AG309" s="46" cm="1">
        <f t="array" ref="AG309">IF(U309="",0,_xlfn.XLOOKUP(E309&amp;U309&amp;F309,tab_act&amp;tab_mod&amp;tab_act1,tab_pdoz)*V309*T309/MGMT)</f>
        <v>0</v>
      </c>
      <c r="AH309" s="46" cm="1">
        <f t="array" ref="AH309">IF(U309="",0,_xlfn.XLOOKUP(E309&amp;U309&amp;F309,tab_act&amp;tab_mod&amp;tab_act1,tab_lns)*V309*T309/MGMT)</f>
        <v>0</v>
      </c>
      <c r="AI309" s="47">
        <f t="shared" si="23"/>
        <v>2.25786</v>
      </c>
      <c r="AJ309" s="48" cm="1">
        <f t="array" ref="AJ309">IF(U309="",0,_xlfn.XLOOKUP(E309&amp;U309&amp;F309,tab_act&amp;tab_mod&amp;tab_act1,tab_cash)*T309)</f>
        <v>0</v>
      </c>
      <c r="AK309" s="134" cm="1">
        <f t="array" ref="AK309">IF(B309="",0,IF(C309="",0,AJ309/_xlfn.XLOOKUP(B309&amp;C309,RMth&amp;RYr,RAr)))</f>
        <v>0</v>
      </c>
      <c r="AN309" s="146" t="str">
        <f t="shared" si="24"/>
        <v>A</v>
      </c>
    </row>
    <row r="310" spans="1:40" x14ac:dyDescent="0.35">
      <c r="B310" s="132" t="s">
        <v>128</v>
      </c>
      <c r="C310" s="44">
        <v>2023</v>
      </c>
      <c r="D310" s="44" t="s">
        <v>100</v>
      </c>
      <c r="E310" s="15" t="s">
        <v>39</v>
      </c>
      <c r="F310" s="99" t="s">
        <v>244</v>
      </c>
      <c r="G310" s="15" t="s">
        <v>159</v>
      </c>
      <c r="H310" s="44"/>
      <c r="I310" s="15" t="s">
        <v>94</v>
      </c>
      <c r="J310" s="15" t="s">
        <v>94</v>
      </c>
      <c r="K310" s="15" t="s">
        <v>160</v>
      </c>
      <c r="L310" s="15" t="s">
        <v>95</v>
      </c>
      <c r="M310" s="15" t="s">
        <v>94</v>
      </c>
      <c r="N310" s="15" t="s">
        <v>67</v>
      </c>
      <c r="O310" s="15" t="s">
        <v>200</v>
      </c>
      <c r="P310" s="15" t="s">
        <v>205</v>
      </c>
      <c r="Q310" s="42"/>
      <c r="R310" s="42">
        <v>66</v>
      </c>
      <c r="S310" s="42">
        <v>66</v>
      </c>
      <c r="T310" s="43">
        <v>66</v>
      </c>
      <c r="U310" s="44" t="s">
        <v>41</v>
      </c>
      <c r="V310" s="153">
        <v>30</v>
      </c>
      <c r="W310" s="45" cm="1">
        <f t="array" ref="W310">IF(U310="",0,_xlfn.XLOOKUP(E310&amp;U310&amp;F310,tab_act&amp;tab_mod&amp;tab_act1,tab_riz)*V310*T310/MGMT)</f>
        <v>0</v>
      </c>
      <c r="X310" s="42" cm="1">
        <f t="array" ref="X310">IF(U310="",0,_xlfn.XLOOKUP(E310&amp;U310&amp;F310,tab_act&amp;tab_mod&amp;tab_act1,tab_mc)*V310*T310/MGMT)</f>
        <v>0</v>
      </c>
      <c r="Y310" s="42" cm="1">
        <f t="array" ref="Y310">IF(U310="",0,_xlfn.XLOOKUP(E310&amp;U310&amp;F310,tab_act&amp;tab_mod&amp;tab_act1,tab_sor)*V310*T310/MGMT)</f>
        <v>0</v>
      </c>
      <c r="Z310" s="42" cm="1">
        <f t="array" ref="Z310">IF(U310="",0,_xlfn.XLOOKUP(E310&amp;U310&amp;F310,tab_act&amp;tab_mod&amp;tab_act1,tab_mg)*V310*T310/MGMT)</f>
        <v>0</v>
      </c>
      <c r="AA310" s="46" cm="1">
        <f t="array" ref="AA310">IF(U310="",0,IF(U310="hybrid-Sch",_xlfn.XLOOKUP(E310&amp;U310&amp;F310,tab_act&amp;tab_mod&amp;tab_act1,tab_ls)*SchLS*T310/MGMT,_xlfn.XLOOKUP(E310&amp;U310&amp;F310,tab_act&amp;tab_mod&amp;tab_act1,tab_ls)*V310*T310/MGMT))</f>
        <v>0</v>
      </c>
      <c r="AB310" s="46" cm="1">
        <f t="array" ref="AB310">IF(U310="",0,_xlfn.XLOOKUP(E310&amp;U310&amp;F310,tab_act&amp;tab_mod&amp;tab_act1,tab_hu)*V310*T310/MGMT)</f>
        <v>3.9600000000000003E-2</v>
      </c>
      <c r="AC310" s="46" cm="1">
        <f t="array" ref="AC310">IF(U310="",0,_xlfn.XLOOKUP(E310&amp;U310&amp;F310,tab_act&amp;tab_mod&amp;tab_act1,tab_mnp)*V310*T310/MGMT)</f>
        <v>0</v>
      </c>
      <c r="AD310" s="46" cm="1">
        <f t="array" ref="AD310">IF(U310="",0,_xlfn.XLOOKUP(E310&amp;U310&amp;F310,tab_act&amp;tab_mod&amp;tab_act1,tab_Psup)*V310*T310/MGMT)</f>
        <v>0</v>
      </c>
      <c r="AE310" s="110" cm="1">
        <f t="array" ref="AE310">IF(U310="",0,_xlfn.XLOOKUP(E310&amp;U310&amp;F310,tab_act&amp;tab_mod&amp;tab_act1,tab_csb1)*V310*T310/MGMT)</f>
        <v>0.36630000000000001</v>
      </c>
      <c r="AF310" s="110" cm="1">
        <f t="array" ref="AF310">IF(U310="",0,_xlfn.XLOOKUP(E310&amp;U310&amp;F310,tab_act&amp;tab_mod&amp;tab_act1,tab_csb2)*V310*T310/MGMT)</f>
        <v>2.9700000000000001E-2</v>
      </c>
      <c r="AG310" s="46" cm="1">
        <f t="array" ref="AG310">IF(U310="",0,_xlfn.XLOOKUP(E310&amp;U310&amp;F310,tab_act&amp;tab_mod&amp;tab_act1,tab_pdoz)*V310*T310/MGMT)</f>
        <v>0</v>
      </c>
      <c r="AH310" s="46" cm="1">
        <f t="array" ref="AH310">IF(U310="",0,_xlfn.XLOOKUP(E310&amp;U310&amp;F310,tab_act&amp;tab_mod&amp;tab_act1,tab_lns)*V310*T310/MGMT)</f>
        <v>0</v>
      </c>
      <c r="AI310" s="47">
        <f t="shared" si="23"/>
        <v>0.43560000000000004</v>
      </c>
      <c r="AJ310" s="48" cm="1">
        <f t="array" ref="AJ310">IF(U310="",0,_xlfn.XLOOKUP(E310&amp;U310&amp;F310,tab_act&amp;tab_mod&amp;tab_act1,tab_cash)*T310)</f>
        <v>0</v>
      </c>
      <c r="AK310" s="134" cm="1">
        <f t="array" ref="AK310">IF(B310="",0,IF(C310="",0,AJ310/_xlfn.XLOOKUP(B310&amp;C310,RMth&amp;RYr,RAr)))</f>
        <v>0</v>
      </c>
      <c r="AN310" s="146" t="str">
        <f t="shared" si="24"/>
        <v>A</v>
      </c>
    </row>
    <row r="311" spans="1:40" x14ac:dyDescent="0.35">
      <c r="B311" s="132" t="s">
        <v>128</v>
      </c>
      <c r="C311" s="44">
        <v>2023</v>
      </c>
      <c r="D311" s="44" t="s">
        <v>100</v>
      </c>
      <c r="E311" s="15" t="s">
        <v>39</v>
      </c>
      <c r="F311" s="99" t="s">
        <v>244</v>
      </c>
      <c r="G311" s="15" t="s">
        <v>159</v>
      </c>
      <c r="H311" s="44"/>
      <c r="I311" s="15" t="s">
        <v>94</v>
      </c>
      <c r="J311" s="15" t="s">
        <v>94</v>
      </c>
      <c r="K311" s="15" t="s">
        <v>160</v>
      </c>
      <c r="L311" s="15" t="s">
        <v>95</v>
      </c>
      <c r="M311" s="15" t="s">
        <v>94</v>
      </c>
      <c r="N311" s="15" t="s">
        <v>67</v>
      </c>
      <c r="O311" s="15" t="s">
        <v>206</v>
      </c>
      <c r="P311" s="15" t="s">
        <v>207</v>
      </c>
      <c r="Q311" s="42"/>
      <c r="R311" s="42">
        <v>295.89999999999998</v>
      </c>
      <c r="S311" s="42">
        <v>295.89999999999998</v>
      </c>
      <c r="T311" s="43">
        <v>295.89999999999998</v>
      </c>
      <c r="U311" s="44" t="s">
        <v>41</v>
      </c>
      <c r="V311" s="153">
        <v>30</v>
      </c>
      <c r="W311" s="45" cm="1">
        <f t="array" ref="W311">IF(U311="",0,_xlfn.XLOOKUP(E311&amp;U311&amp;F311,tab_act&amp;tab_mod&amp;tab_act1,tab_riz)*V311*T311/MGMT)</f>
        <v>0</v>
      </c>
      <c r="X311" s="42" cm="1">
        <f t="array" ref="X311">IF(U311="",0,_xlfn.XLOOKUP(E311&amp;U311&amp;F311,tab_act&amp;tab_mod&amp;tab_act1,tab_mc)*V311*T311/MGMT)</f>
        <v>0</v>
      </c>
      <c r="Y311" s="42" cm="1">
        <f t="array" ref="Y311">IF(U311="",0,_xlfn.XLOOKUP(E311&amp;U311&amp;F311,tab_act&amp;tab_mod&amp;tab_act1,tab_sor)*V311*T311/MGMT)</f>
        <v>0</v>
      </c>
      <c r="Z311" s="42" cm="1">
        <f t="array" ref="Z311">IF(U311="",0,_xlfn.XLOOKUP(E311&amp;U311&amp;F311,tab_act&amp;tab_mod&amp;tab_act1,tab_mg)*V311*T311/MGMT)</f>
        <v>0</v>
      </c>
      <c r="AA311" s="46" cm="1">
        <f t="array" ref="AA311">IF(U311="",0,IF(U311="hybrid-Sch",_xlfn.XLOOKUP(E311&amp;U311&amp;F311,tab_act&amp;tab_mod&amp;tab_act1,tab_ls)*SchLS*T311/MGMT,_xlfn.XLOOKUP(E311&amp;U311&amp;F311,tab_act&amp;tab_mod&amp;tab_act1,tab_ls)*V311*T311/MGMT))</f>
        <v>0</v>
      </c>
      <c r="AB311" s="46" cm="1">
        <f t="array" ref="AB311">IF(U311="",0,_xlfn.XLOOKUP(E311&amp;U311&amp;F311,tab_act&amp;tab_mod&amp;tab_act1,tab_hu)*V311*T311/MGMT)</f>
        <v>0.17754</v>
      </c>
      <c r="AC311" s="46" cm="1">
        <f t="array" ref="AC311">IF(U311="",0,_xlfn.XLOOKUP(E311&amp;U311&amp;F311,tab_act&amp;tab_mod&amp;tab_act1,tab_mnp)*V311*T311/MGMT)</f>
        <v>0</v>
      </c>
      <c r="AD311" s="46" cm="1">
        <f t="array" ref="AD311">IF(U311="",0,_xlfn.XLOOKUP(E311&amp;U311&amp;F311,tab_act&amp;tab_mod&amp;tab_act1,tab_Psup)*V311*T311/MGMT)</f>
        <v>0</v>
      </c>
      <c r="AE311" s="110" cm="1">
        <f t="array" ref="AE311">IF(U311="",0,_xlfn.XLOOKUP(E311&amp;U311&amp;F311,tab_act&amp;tab_mod&amp;tab_act1,tab_csb1)*V311*T311/MGMT)</f>
        <v>1.6422449999999997</v>
      </c>
      <c r="AF311" s="110" cm="1">
        <f t="array" ref="AF311">IF(U311="",0,_xlfn.XLOOKUP(E311&amp;U311&amp;F311,tab_act&amp;tab_mod&amp;tab_act1,tab_csb2)*V311*T311/MGMT)</f>
        <v>0.133155</v>
      </c>
      <c r="AG311" s="46" cm="1">
        <f t="array" ref="AG311">IF(U311="",0,_xlfn.XLOOKUP(E311&amp;U311&amp;F311,tab_act&amp;tab_mod&amp;tab_act1,tab_pdoz)*V311*T311/MGMT)</f>
        <v>0</v>
      </c>
      <c r="AH311" s="46" cm="1">
        <f t="array" ref="AH311">IF(U311="",0,_xlfn.XLOOKUP(E311&amp;U311&amp;F311,tab_act&amp;tab_mod&amp;tab_act1,tab_lns)*V311*T311/MGMT)</f>
        <v>0</v>
      </c>
      <c r="AI311" s="47">
        <f t="shared" si="23"/>
        <v>1.9529399999999997</v>
      </c>
      <c r="AJ311" s="48" cm="1">
        <f t="array" ref="AJ311">IF(U311="",0,_xlfn.XLOOKUP(E311&amp;U311&amp;F311,tab_act&amp;tab_mod&amp;tab_act1,tab_cash)*T311)</f>
        <v>0</v>
      </c>
      <c r="AK311" s="134" cm="1">
        <f t="array" ref="AK311">IF(B311="",0,IF(C311="",0,AJ311/_xlfn.XLOOKUP(B311&amp;C311,RMth&amp;RYr,RAr)))</f>
        <v>0</v>
      </c>
      <c r="AN311" s="146" t="str">
        <f t="shared" si="24"/>
        <v>A</v>
      </c>
    </row>
    <row r="312" spans="1:40" x14ac:dyDescent="0.35">
      <c r="B312" s="132" t="s">
        <v>128</v>
      </c>
      <c r="C312" s="44">
        <v>2023</v>
      </c>
      <c r="D312" s="44" t="s">
        <v>100</v>
      </c>
      <c r="E312" s="15" t="s">
        <v>39</v>
      </c>
      <c r="F312" s="99" t="s">
        <v>244</v>
      </c>
      <c r="G312" s="15" t="s">
        <v>159</v>
      </c>
      <c r="H312" s="44"/>
      <c r="I312" s="15" t="s">
        <v>94</v>
      </c>
      <c r="J312" s="15" t="s">
        <v>94</v>
      </c>
      <c r="K312" s="15" t="s">
        <v>160</v>
      </c>
      <c r="L312" s="15" t="s">
        <v>95</v>
      </c>
      <c r="M312" s="15" t="s">
        <v>94</v>
      </c>
      <c r="N312" s="15" t="s">
        <v>67</v>
      </c>
      <c r="O312" s="15" t="s">
        <v>206</v>
      </c>
      <c r="P312" s="15" t="s">
        <v>208</v>
      </c>
      <c r="Q312" s="42"/>
      <c r="R312" s="42">
        <v>198</v>
      </c>
      <c r="S312" s="42">
        <v>198</v>
      </c>
      <c r="T312" s="43">
        <v>198</v>
      </c>
      <c r="U312" s="44" t="s">
        <v>41</v>
      </c>
      <c r="V312" s="153">
        <v>30</v>
      </c>
      <c r="W312" s="45" cm="1">
        <f t="array" ref="W312">IF(U312="",0,_xlfn.XLOOKUP(E312&amp;U312&amp;F312,tab_act&amp;tab_mod&amp;tab_act1,tab_riz)*V312*T312/MGMT)</f>
        <v>0</v>
      </c>
      <c r="X312" s="42" cm="1">
        <f t="array" ref="X312">IF(U312="",0,_xlfn.XLOOKUP(E312&amp;U312&amp;F312,tab_act&amp;tab_mod&amp;tab_act1,tab_mc)*V312*T312/MGMT)</f>
        <v>0</v>
      </c>
      <c r="Y312" s="42" cm="1">
        <f t="array" ref="Y312">IF(U312="",0,_xlfn.XLOOKUP(E312&amp;U312&amp;F312,tab_act&amp;tab_mod&amp;tab_act1,tab_sor)*V312*T312/MGMT)</f>
        <v>0</v>
      </c>
      <c r="Z312" s="42" cm="1">
        <f t="array" ref="Z312">IF(U312="",0,_xlfn.XLOOKUP(E312&amp;U312&amp;F312,tab_act&amp;tab_mod&amp;tab_act1,tab_mg)*V312*T312/MGMT)</f>
        <v>0</v>
      </c>
      <c r="AA312" s="46" cm="1">
        <f t="array" ref="AA312">IF(U312="",0,IF(U312="hybrid-Sch",_xlfn.XLOOKUP(E312&amp;U312&amp;F312,tab_act&amp;tab_mod&amp;tab_act1,tab_ls)*SchLS*T312/MGMT,_xlfn.XLOOKUP(E312&amp;U312&amp;F312,tab_act&amp;tab_mod&amp;tab_act1,tab_ls)*V312*T312/MGMT))</f>
        <v>0</v>
      </c>
      <c r="AB312" s="46" cm="1">
        <f t="array" ref="AB312">IF(U312="",0,_xlfn.XLOOKUP(E312&amp;U312&amp;F312,tab_act&amp;tab_mod&amp;tab_act1,tab_hu)*V312*T312/MGMT)</f>
        <v>0.1188</v>
      </c>
      <c r="AC312" s="46" cm="1">
        <f t="array" ref="AC312">IF(U312="",0,_xlfn.XLOOKUP(E312&amp;U312&amp;F312,tab_act&amp;tab_mod&amp;tab_act1,tab_mnp)*V312*T312/MGMT)</f>
        <v>0</v>
      </c>
      <c r="AD312" s="46" cm="1">
        <f t="array" ref="AD312">IF(U312="",0,_xlfn.XLOOKUP(E312&amp;U312&amp;F312,tab_act&amp;tab_mod&amp;tab_act1,tab_Psup)*V312*T312/MGMT)</f>
        <v>0</v>
      </c>
      <c r="AE312" s="110" cm="1">
        <f t="array" ref="AE312">IF(U312="",0,_xlfn.XLOOKUP(E312&amp;U312&amp;F312,tab_act&amp;tab_mod&amp;tab_act1,tab_csb1)*V312*T312/MGMT)</f>
        <v>1.0989</v>
      </c>
      <c r="AF312" s="110" cm="1">
        <f t="array" ref="AF312">IF(U312="",0,_xlfn.XLOOKUP(E312&amp;U312&amp;F312,tab_act&amp;tab_mod&amp;tab_act1,tab_csb2)*V312*T312/MGMT)</f>
        <v>8.9099999999999999E-2</v>
      </c>
      <c r="AG312" s="46" cm="1">
        <f t="array" ref="AG312">IF(U312="",0,_xlfn.XLOOKUP(E312&amp;U312&amp;F312,tab_act&amp;tab_mod&amp;tab_act1,tab_pdoz)*V312*T312/MGMT)</f>
        <v>0</v>
      </c>
      <c r="AH312" s="46" cm="1">
        <f t="array" ref="AH312">IF(U312="",0,_xlfn.XLOOKUP(E312&amp;U312&amp;F312,tab_act&amp;tab_mod&amp;tab_act1,tab_lns)*V312*T312/MGMT)</f>
        <v>0</v>
      </c>
      <c r="AI312" s="47">
        <f t="shared" si="23"/>
        <v>1.3068</v>
      </c>
      <c r="AJ312" s="48" cm="1">
        <f t="array" ref="AJ312">IF(U312="",0,_xlfn.XLOOKUP(E312&amp;U312&amp;F312,tab_act&amp;tab_mod&amp;tab_act1,tab_cash)*T312)</f>
        <v>0</v>
      </c>
      <c r="AK312" s="134" cm="1">
        <f t="array" ref="AK312">IF(B312="",0,IF(C312="",0,AJ312/_xlfn.XLOOKUP(B312&amp;C312,RMth&amp;RYr,RAr)))</f>
        <v>0</v>
      </c>
      <c r="AN312" s="146" t="str">
        <f t="shared" si="24"/>
        <v>A</v>
      </c>
    </row>
    <row r="313" spans="1:40" x14ac:dyDescent="0.35">
      <c r="B313" s="132" t="s">
        <v>128</v>
      </c>
      <c r="C313" s="44">
        <v>2023</v>
      </c>
      <c r="D313" s="44" t="s">
        <v>100</v>
      </c>
      <c r="E313" s="15" t="s">
        <v>39</v>
      </c>
      <c r="F313" s="99" t="s">
        <v>244</v>
      </c>
      <c r="G313" s="15" t="s">
        <v>159</v>
      </c>
      <c r="H313" s="44"/>
      <c r="I313" s="15" t="s">
        <v>94</v>
      </c>
      <c r="J313" s="15" t="s">
        <v>94</v>
      </c>
      <c r="K313" s="15" t="s">
        <v>160</v>
      </c>
      <c r="L313" s="15" t="s">
        <v>95</v>
      </c>
      <c r="M313" s="15" t="s">
        <v>94</v>
      </c>
      <c r="N313" s="15" t="s">
        <v>67</v>
      </c>
      <c r="O313" s="15" t="s">
        <v>206</v>
      </c>
      <c r="P313" s="15" t="s">
        <v>209</v>
      </c>
      <c r="Q313" s="42"/>
      <c r="R313" s="42">
        <v>185.9</v>
      </c>
      <c r="S313" s="42">
        <v>185.9</v>
      </c>
      <c r="T313" s="43">
        <v>185.9</v>
      </c>
      <c r="U313" s="44" t="s">
        <v>41</v>
      </c>
      <c r="V313" s="153">
        <v>30</v>
      </c>
      <c r="W313" s="45" cm="1">
        <f t="array" ref="W313">IF(U313="",0,_xlfn.XLOOKUP(E313&amp;U313&amp;F313,tab_act&amp;tab_mod&amp;tab_act1,tab_riz)*V313*T313/MGMT)</f>
        <v>0</v>
      </c>
      <c r="X313" s="42" cm="1">
        <f t="array" ref="X313">IF(U313="",0,_xlfn.XLOOKUP(E313&amp;U313&amp;F313,tab_act&amp;tab_mod&amp;tab_act1,tab_mc)*V313*T313/MGMT)</f>
        <v>0</v>
      </c>
      <c r="Y313" s="42" cm="1">
        <f t="array" ref="Y313">IF(U313="",0,_xlfn.XLOOKUP(E313&amp;U313&amp;F313,tab_act&amp;tab_mod&amp;tab_act1,tab_sor)*V313*T313/MGMT)</f>
        <v>0</v>
      </c>
      <c r="Z313" s="42" cm="1">
        <f t="array" ref="Z313">IF(U313="",0,_xlfn.XLOOKUP(E313&amp;U313&amp;F313,tab_act&amp;tab_mod&amp;tab_act1,tab_mg)*V313*T313/MGMT)</f>
        <v>0</v>
      </c>
      <c r="AA313" s="46" cm="1">
        <f t="array" ref="AA313">IF(U313="",0,IF(U313="hybrid-Sch",_xlfn.XLOOKUP(E313&amp;U313&amp;F313,tab_act&amp;tab_mod&amp;tab_act1,tab_ls)*SchLS*T313/MGMT,_xlfn.XLOOKUP(E313&amp;U313&amp;F313,tab_act&amp;tab_mod&amp;tab_act1,tab_ls)*V313*T313/MGMT))</f>
        <v>0</v>
      </c>
      <c r="AB313" s="46" cm="1">
        <f t="array" ref="AB313">IF(U313="",0,_xlfn.XLOOKUP(E313&amp;U313&amp;F313,tab_act&amp;tab_mod&amp;tab_act1,tab_hu)*V313*T313/MGMT)</f>
        <v>0.11154</v>
      </c>
      <c r="AC313" s="46" cm="1">
        <f t="array" ref="AC313">IF(U313="",0,_xlfn.XLOOKUP(E313&amp;U313&amp;F313,tab_act&amp;tab_mod&amp;tab_act1,tab_mnp)*V313*T313/MGMT)</f>
        <v>0</v>
      </c>
      <c r="AD313" s="46" cm="1">
        <f t="array" ref="AD313">IF(U313="",0,_xlfn.XLOOKUP(E313&amp;U313&amp;F313,tab_act&amp;tab_mod&amp;tab_act1,tab_Psup)*V313*T313/MGMT)</f>
        <v>0</v>
      </c>
      <c r="AE313" s="110" cm="1">
        <f t="array" ref="AE313">IF(U313="",0,_xlfn.XLOOKUP(E313&amp;U313&amp;F313,tab_act&amp;tab_mod&amp;tab_act1,tab_csb1)*V313*T313/MGMT)</f>
        <v>1.0317449999999999</v>
      </c>
      <c r="AF313" s="110" cm="1">
        <f t="array" ref="AF313">IF(U313="",0,_xlfn.XLOOKUP(E313&amp;U313&amp;F313,tab_act&amp;tab_mod&amp;tab_act1,tab_csb2)*V313*T313/MGMT)</f>
        <v>8.3654999999999993E-2</v>
      </c>
      <c r="AG313" s="46" cm="1">
        <f t="array" ref="AG313">IF(U313="",0,_xlfn.XLOOKUP(E313&amp;U313&amp;F313,tab_act&amp;tab_mod&amp;tab_act1,tab_pdoz)*V313*T313/MGMT)</f>
        <v>0</v>
      </c>
      <c r="AH313" s="46" cm="1">
        <f t="array" ref="AH313">IF(U313="",0,_xlfn.XLOOKUP(E313&amp;U313&amp;F313,tab_act&amp;tab_mod&amp;tab_act1,tab_lns)*V313*T313/MGMT)</f>
        <v>0</v>
      </c>
      <c r="AI313" s="47">
        <f t="shared" si="23"/>
        <v>1.2269399999999999</v>
      </c>
      <c r="AJ313" s="48" cm="1">
        <f t="array" ref="AJ313">IF(U313="",0,_xlfn.XLOOKUP(E313&amp;U313&amp;F313,tab_act&amp;tab_mod&amp;tab_act1,tab_cash)*T313)</f>
        <v>0</v>
      </c>
      <c r="AK313" s="134" cm="1">
        <f t="array" ref="AK313">IF(B313="",0,IF(C313="",0,AJ313/_xlfn.XLOOKUP(B313&amp;C313,RMth&amp;RYr,RAr)))</f>
        <v>0</v>
      </c>
      <c r="AN313" s="146" t="str">
        <f t="shared" si="24"/>
        <v>A</v>
      </c>
    </row>
    <row r="314" spans="1:40" x14ac:dyDescent="0.35">
      <c r="B314" s="132" t="s">
        <v>128</v>
      </c>
      <c r="C314" s="44">
        <v>2023</v>
      </c>
      <c r="D314" s="44" t="s">
        <v>100</v>
      </c>
      <c r="E314" s="15" t="s">
        <v>39</v>
      </c>
      <c r="F314" s="99" t="s">
        <v>244</v>
      </c>
      <c r="G314" s="15" t="s">
        <v>159</v>
      </c>
      <c r="H314" s="44"/>
      <c r="I314" s="15" t="s">
        <v>94</v>
      </c>
      <c r="J314" s="15" t="s">
        <v>94</v>
      </c>
      <c r="K314" s="15" t="s">
        <v>160</v>
      </c>
      <c r="L314" s="15" t="s">
        <v>95</v>
      </c>
      <c r="M314" s="15" t="s">
        <v>94</v>
      </c>
      <c r="N314" s="15" t="s">
        <v>67</v>
      </c>
      <c r="O314" s="15" t="s">
        <v>206</v>
      </c>
      <c r="P314" s="15" t="s">
        <v>210</v>
      </c>
      <c r="Q314" s="42"/>
      <c r="R314" s="42">
        <v>398.2</v>
      </c>
      <c r="S314" s="42">
        <v>398.2</v>
      </c>
      <c r="T314" s="43">
        <v>398.2</v>
      </c>
      <c r="U314" s="44" t="s">
        <v>41</v>
      </c>
      <c r="V314" s="153">
        <v>30</v>
      </c>
      <c r="W314" s="45" cm="1">
        <f t="array" ref="W314">IF(U314="",0,_xlfn.XLOOKUP(E314&amp;U314&amp;F314,tab_act&amp;tab_mod&amp;tab_act1,tab_riz)*V314*T314/MGMT)</f>
        <v>0</v>
      </c>
      <c r="X314" s="42" cm="1">
        <f t="array" ref="X314">IF(U314="",0,_xlfn.XLOOKUP(E314&amp;U314&amp;F314,tab_act&amp;tab_mod&amp;tab_act1,tab_mc)*V314*T314/MGMT)</f>
        <v>0</v>
      </c>
      <c r="Y314" s="42" cm="1">
        <f t="array" ref="Y314">IF(U314="",0,_xlfn.XLOOKUP(E314&amp;U314&amp;F314,tab_act&amp;tab_mod&amp;tab_act1,tab_sor)*V314*T314/MGMT)</f>
        <v>0</v>
      </c>
      <c r="Z314" s="42" cm="1">
        <f t="array" ref="Z314">IF(U314="",0,_xlfn.XLOOKUP(E314&amp;U314&amp;F314,tab_act&amp;tab_mod&amp;tab_act1,tab_mg)*V314*T314/MGMT)</f>
        <v>0</v>
      </c>
      <c r="AA314" s="46" cm="1">
        <f t="array" ref="AA314">IF(U314="",0,IF(U314="hybrid-Sch",_xlfn.XLOOKUP(E314&amp;U314&amp;F314,tab_act&amp;tab_mod&amp;tab_act1,tab_ls)*SchLS*T314/MGMT,_xlfn.XLOOKUP(E314&amp;U314&amp;F314,tab_act&amp;tab_mod&amp;tab_act1,tab_ls)*V314*T314/MGMT))</f>
        <v>0</v>
      </c>
      <c r="AB314" s="46" cm="1">
        <f t="array" ref="AB314">IF(U314="",0,_xlfn.XLOOKUP(E314&amp;U314&amp;F314,tab_act&amp;tab_mod&amp;tab_act1,tab_hu)*V314*T314/MGMT)</f>
        <v>0.23891999999999999</v>
      </c>
      <c r="AC314" s="46" cm="1">
        <f t="array" ref="AC314">IF(U314="",0,_xlfn.XLOOKUP(E314&amp;U314&amp;F314,tab_act&amp;tab_mod&amp;tab_act1,tab_mnp)*V314*T314/MGMT)</f>
        <v>0</v>
      </c>
      <c r="AD314" s="46" cm="1">
        <f t="array" ref="AD314">IF(U314="",0,_xlfn.XLOOKUP(E314&amp;U314&amp;F314,tab_act&amp;tab_mod&amp;tab_act1,tab_Psup)*V314*T314/MGMT)</f>
        <v>0</v>
      </c>
      <c r="AE314" s="110" cm="1">
        <f t="array" ref="AE314">IF(U314="",0,_xlfn.XLOOKUP(E314&amp;U314&amp;F314,tab_act&amp;tab_mod&amp;tab_act1,tab_csb1)*V314*T314/MGMT)</f>
        <v>2.21001</v>
      </c>
      <c r="AF314" s="110" cm="1">
        <f t="array" ref="AF314">IF(U314="",0,_xlfn.XLOOKUP(E314&amp;U314&amp;F314,tab_act&amp;tab_mod&amp;tab_act1,tab_csb2)*V314*T314/MGMT)</f>
        <v>0.17918999999999999</v>
      </c>
      <c r="AG314" s="46" cm="1">
        <f t="array" ref="AG314">IF(U314="",0,_xlfn.XLOOKUP(E314&amp;U314&amp;F314,tab_act&amp;tab_mod&amp;tab_act1,tab_pdoz)*V314*T314/MGMT)</f>
        <v>0</v>
      </c>
      <c r="AH314" s="46" cm="1">
        <f t="array" ref="AH314">IF(U314="",0,_xlfn.XLOOKUP(E314&amp;U314&amp;F314,tab_act&amp;tab_mod&amp;tab_act1,tab_lns)*V314*T314/MGMT)</f>
        <v>0</v>
      </c>
      <c r="AI314" s="47">
        <f t="shared" si="23"/>
        <v>2.62812</v>
      </c>
      <c r="AJ314" s="48" cm="1">
        <f t="array" ref="AJ314">IF(U314="",0,_xlfn.XLOOKUP(E314&amp;U314&amp;F314,tab_act&amp;tab_mod&amp;tab_act1,tab_cash)*T314)</f>
        <v>0</v>
      </c>
      <c r="AK314" s="134" cm="1">
        <f t="array" ref="AK314">IF(B314="",0,IF(C314="",0,AJ314/_xlfn.XLOOKUP(B314&amp;C314,RMth&amp;RYr,RAr)))</f>
        <v>0</v>
      </c>
      <c r="AN314" s="146" t="str">
        <f t="shared" si="24"/>
        <v>A</v>
      </c>
    </row>
    <row r="315" spans="1:40" x14ac:dyDescent="0.35">
      <c r="B315" s="132" t="s">
        <v>128</v>
      </c>
      <c r="C315" s="44">
        <v>2023</v>
      </c>
      <c r="D315" s="44" t="s">
        <v>100</v>
      </c>
      <c r="E315" s="15" t="s">
        <v>39</v>
      </c>
      <c r="F315" s="99" t="s">
        <v>244</v>
      </c>
      <c r="G315" s="15" t="s">
        <v>159</v>
      </c>
      <c r="H315" s="44"/>
      <c r="I315" s="15" t="s">
        <v>94</v>
      </c>
      <c r="J315" s="15" t="s">
        <v>94</v>
      </c>
      <c r="K315" s="15" t="s">
        <v>160</v>
      </c>
      <c r="L315" s="15" t="s">
        <v>95</v>
      </c>
      <c r="M315" s="15" t="s">
        <v>94</v>
      </c>
      <c r="N315" s="15" t="s">
        <v>67</v>
      </c>
      <c r="O315" s="15" t="s">
        <v>206</v>
      </c>
      <c r="P315" s="15" t="s">
        <v>211</v>
      </c>
      <c r="Q315" s="42"/>
      <c r="R315" s="42">
        <v>209</v>
      </c>
      <c r="S315" s="42">
        <v>209</v>
      </c>
      <c r="T315" s="43">
        <v>209</v>
      </c>
      <c r="U315" s="44" t="s">
        <v>41</v>
      </c>
      <c r="V315" s="153">
        <v>30</v>
      </c>
      <c r="W315" s="45" cm="1">
        <f t="array" ref="W315">IF(U315="",0,_xlfn.XLOOKUP(E315&amp;U315&amp;F315,tab_act&amp;tab_mod&amp;tab_act1,tab_riz)*V315*T315/MGMT)</f>
        <v>0</v>
      </c>
      <c r="X315" s="42" cm="1">
        <f t="array" ref="X315">IF(U315="",0,_xlfn.XLOOKUP(E315&amp;U315&amp;F315,tab_act&amp;tab_mod&amp;tab_act1,tab_mc)*V315*T315/MGMT)</f>
        <v>0</v>
      </c>
      <c r="Y315" s="42" cm="1">
        <f t="array" ref="Y315">IF(U315="",0,_xlfn.XLOOKUP(E315&amp;U315&amp;F315,tab_act&amp;tab_mod&amp;tab_act1,tab_sor)*V315*T315/MGMT)</f>
        <v>0</v>
      </c>
      <c r="Z315" s="42" cm="1">
        <f t="array" ref="Z315">IF(U315="",0,_xlfn.XLOOKUP(E315&amp;U315&amp;F315,tab_act&amp;tab_mod&amp;tab_act1,tab_mg)*V315*T315/MGMT)</f>
        <v>0</v>
      </c>
      <c r="AA315" s="46" cm="1">
        <f t="array" ref="AA315">IF(U315="",0,IF(U315="hybrid-Sch",_xlfn.XLOOKUP(E315&amp;U315&amp;F315,tab_act&amp;tab_mod&amp;tab_act1,tab_ls)*SchLS*T315/MGMT,_xlfn.XLOOKUP(E315&amp;U315&amp;F315,tab_act&amp;tab_mod&amp;tab_act1,tab_ls)*V315*T315/MGMT))</f>
        <v>0</v>
      </c>
      <c r="AB315" s="46" cm="1">
        <f t="array" ref="AB315">IF(U315="",0,_xlfn.XLOOKUP(E315&amp;U315&amp;F315,tab_act&amp;tab_mod&amp;tab_act1,tab_hu)*V315*T315/MGMT)</f>
        <v>0.12540000000000001</v>
      </c>
      <c r="AC315" s="46" cm="1">
        <f t="array" ref="AC315">IF(U315="",0,_xlfn.XLOOKUP(E315&amp;U315&amp;F315,tab_act&amp;tab_mod&amp;tab_act1,tab_mnp)*V315*T315/MGMT)</f>
        <v>0</v>
      </c>
      <c r="AD315" s="46" cm="1">
        <f t="array" ref="AD315">IF(U315="",0,_xlfn.XLOOKUP(E315&amp;U315&amp;F315,tab_act&amp;tab_mod&amp;tab_act1,tab_Psup)*V315*T315/MGMT)</f>
        <v>0</v>
      </c>
      <c r="AE315" s="110" cm="1">
        <f t="array" ref="AE315">IF(U315="",0,_xlfn.XLOOKUP(E315&amp;U315&amp;F315,tab_act&amp;tab_mod&amp;tab_act1,tab_csb1)*V315*T315/MGMT)</f>
        <v>1.15995</v>
      </c>
      <c r="AF315" s="110" cm="1">
        <f t="array" ref="AF315">IF(U315="",0,_xlfn.XLOOKUP(E315&amp;U315&amp;F315,tab_act&amp;tab_mod&amp;tab_act1,tab_csb2)*V315*T315/MGMT)</f>
        <v>9.4049999999999995E-2</v>
      </c>
      <c r="AG315" s="46" cm="1">
        <f t="array" ref="AG315">IF(U315="",0,_xlfn.XLOOKUP(E315&amp;U315&amp;F315,tab_act&amp;tab_mod&amp;tab_act1,tab_pdoz)*V315*T315/MGMT)</f>
        <v>0</v>
      </c>
      <c r="AH315" s="46" cm="1">
        <f t="array" ref="AH315">IF(U315="",0,_xlfn.XLOOKUP(E315&amp;U315&amp;F315,tab_act&amp;tab_mod&amp;tab_act1,tab_lns)*V315*T315/MGMT)</f>
        <v>0</v>
      </c>
      <c r="AI315" s="47">
        <f t="shared" si="23"/>
        <v>1.3794</v>
      </c>
      <c r="AJ315" s="48" cm="1">
        <f t="array" ref="AJ315">IF(U315="",0,_xlfn.XLOOKUP(E315&amp;U315&amp;F315,tab_act&amp;tab_mod&amp;tab_act1,tab_cash)*T315)</f>
        <v>0</v>
      </c>
      <c r="AK315" s="134" cm="1">
        <f t="array" ref="AK315">IF(B315="",0,IF(C315="",0,AJ315/_xlfn.XLOOKUP(B315&amp;C315,RMth&amp;RYr,RAr)))</f>
        <v>0</v>
      </c>
      <c r="AN315" s="146" t="str">
        <f t="shared" si="24"/>
        <v>A</v>
      </c>
    </row>
    <row r="316" spans="1:40" x14ac:dyDescent="0.35">
      <c r="A316" s="90"/>
      <c r="B316" s="50" t="s">
        <v>128</v>
      </c>
      <c r="C316" s="117">
        <v>2023</v>
      </c>
      <c r="D316" s="118" t="s">
        <v>100</v>
      </c>
      <c r="E316" s="118" t="s">
        <v>39</v>
      </c>
      <c r="F316" s="118" t="s">
        <v>22</v>
      </c>
      <c r="G316" s="118" t="s">
        <v>159</v>
      </c>
      <c r="H316" s="118"/>
      <c r="I316" s="118" t="s">
        <v>91</v>
      </c>
      <c r="J316" s="118" t="s">
        <v>91</v>
      </c>
      <c r="K316" s="118" t="s">
        <v>97</v>
      </c>
      <c r="L316" s="118" t="s">
        <v>246</v>
      </c>
      <c r="M316" s="118" t="s">
        <v>91</v>
      </c>
      <c r="N316" s="118" t="s">
        <v>68</v>
      </c>
      <c r="O316" s="118" t="s">
        <v>247</v>
      </c>
      <c r="P316" s="118" t="s">
        <v>247</v>
      </c>
      <c r="Q316" s="118"/>
      <c r="R316" s="118"/>
      <c r="S316" s="118">
        <v>1932</v>
      </c>
      <c r="T316" s="118">
        <v>1932</v>
      </c>
      <c r="U316" s="117" t="s">
        <v>41</v>
      </c>
      <c r="V316" s="154">
        <v>30</v>
      </c>
      <c r="W316" s="120" cm="1">
        <f t="array" ref="W316">IF(U316="",0,_xlfn.XLOOKUP(E316&amp;U316&amp;F316,tab_act&amp;tab_mod&amp;tab_act1,tab_riz)*V316*T316/MGMT)</f>
        <v>0</v>
      </c>
      <c r="X316" s="121" cm="1">
        <f t="array" ref="X316">IF(U316="",0,_xlfn.XLOOKUP(E316&amp;U316&amp;F316,tab_act&amp;tab_mod&amp;tab_act1,tab_mc)*V316*T316/MGMT)</f>
        <v>0</v>
      </c>
      <c r="Y316" s="121" cm="1">
        <f t="array" ref="Y316">IF(U316="",0,_xlfn.XLOOKUP(E316&amp;U316&amp;F316,tab_act&amp;tab_mod&amp;tab_act1,tab_sor)*V316*T316/MGMT)</f>
        <v>0</v>
      </c>
      <c r="Z316" s="121" cm="1">
        <f t="array" ref="Z316">IF(U316="",0,_xlfn.XLOOKUP(E316&amp;U316&amp;F316,tab_act&amp;tab_mod&amp;tab_act1,tab_mg)*V316*T316/MGMT)</f>
        <v>0</v>
      </c>
      <c r="AA316" s="122" cm="1">
        <f t="array" ref="AA316">IF(U316="",0,IF(U316="hybrid-Sch",_xlfn.XLOOKUP(E316&amp;U316&amp;F316,tab_act&amp;tab_mod&amp;tab_act1,tab_ls)*SchLS*T316/MGMT,_xlfn.XLOOKUP(E316&amp;U316&amp;F316,tab_act&amp;tab_mod&amp;tab_act1,tab_ls)*V316*T316/MGMT))</f>
        <v>0</v>
      </c>
      <c r="AB316" s="122" cm="1">
        <f t="array" ref="AB316">IF(U316="",0,_xlfn.XLOOKUP(E316&amp;U316&amp;F316,tab_act&amp;tab_mod&amp;tab_act1,tab_hu)*V316*T316/MGMT)</f>
        <v>0</v>
      </c>
      <c r="AC316" s="122" cm="1">
        <f t="array" ref="AC316">IF(U316="",0,_xlfn.XLOOKUP(E316&amp;U316&amp;F316,tab_act&amp;tab_mod&amp;tab_act1,tab_mnp)*V316*T316/MGMT)</f>
        <v>0</v>
      </c>
      <c r="AD316" s="122" cm="1">
        <f t="array" ref="AD316">IF(U316="",0,_xlfn.XLOOKUP(E316&amp;U316&amp;F316,tab_act&amp;tab_mod&amp;tab_act1,tab_Psup)*V316*T316/MGMT)</f>
        <v>0</v>
      </c>
      <c r="AE316" s="122" cm="1">
        <f t="array" ref="AE316">IF(U316="",0,_xlfn.XLOOKUP(E316&amp;U316&amp;F316,tab_act&amp;tab_mod&amp;tab_act1,tab_csb1)*V316*T316/MGMT)</f>
        <v>0</v>
      </c>
      <c r="AF316" s="122" cm="1">
        <f t="array" ref="AF316">IF(U316="",0,_xlfn.XLOOKUP(E316&amp;U316&amp;F316,tab_act&amp;tab_mod&amp;tab_act1,tab_csb2)*V316*T316/MGMT)</f>
        <v>0</v>
      </c>
      <c r="AG316" s="122" cm="1">
        <f t="array" ref="AG316">IF(U316="",0,_xlfn.XLOOKUP(E316&amp;U316&amp;F316,tab_act&amp;tab_mod&amp;tab_act1,tab_pdoz)*V316*T316/MGMT)</f>
        <v>2.8980000000000001</v>
      </c>
      <c r="AH316" s="122" cm="1">
        <f t="array" ref="AH316">IF(U316="",0,_xlfn.XLOOKUP(E316&amp;U316&amp;F316,tab_act&amp;tab_mod&amp;tab_act1,tab_lns)*V316*T316/MGMT)</f>
        <v>0</v>
      </c>
      <c r="AI316" s="123">
        <f t="shared" si="23"/>
        <v>2.8980000000000001</v>
      </c>
      <c r="AJ316" s="124" cm="1">
        <f t="array" ref="AJ316">IF(U316="",0,_xlfn.XLOOKUP(E316&amp;U316&amp;F316,tab_act&amp;tab_mod&amp;tab_act1,tab_cash)*T316)</f>
        <v>0</v>
      </c>
      <c r="AK316" s="139" cm="1">
        <f t="array" ref="AK316">IF(B316="",0,IF(C316="",0,AJ316/_xlfn.XLOOKUP(B316&amp;C316,RMth&amp;RYr,RAr)))</f>
        <v>0</v>
      </c>
      <c r="AL316" s="90"/>
      <c r="AM316" s="90"/>
      <c r="AN316" s="141" t="s">
        <v>248</v>
      </c>
    </row>
    <row r="317" spans="1:40" x14ac:dyDescent="0.35">
      <c r="A317" s="90"/>
      <c r="B317" s="50" t="s">
        <v>128</v>
      </c>
      <c r="C317" s="117">
        <v>2023</v>
      </c>
      <c r="D317" s="118" t="s">
        <v>100</v>
      </c>
      <c r="E317" s="118" t="s">
        <v>39</v>
      </c>
      <c r="F317" s="118" t="s">
        <v>22</v>
      </c>
      <c r="G317" s="118" t="s">
        <v>159</v>
      </c>
      <c r="H317" s="118"/>
      <c r="I317" s="118" t="s">
        <v>213</v>
      </c>
      <c r="J317" s="118" t="s">
        <v>91</v>
      </c>
      <c r="K317" s="118" t="s">
        <v>97</v>
      </c>
      <c r="L317" s="118" t="s">
        <v>249</v>
      </c>
      <c r="M317" s="118" t="s">
        <v>158</v>
      </c>
      <c r="N317" s="118" t="s">
        <v>68</v>
      </c>
      <c r="O317" s="118" t="s">
        <v>250</v>
      </c>
      <c r="P317" s="118" t="s">
        <v>250</v>
      </c>
      <c r="Q317" s="118"/>
      <c r="R317" s="118"/>
      <c r="S317" s="118">
        <v>1861</v>
      </c>
      <c r="T317" s="118">
        <v>1861</v>
      </c>
      <c r="U317" s="117" t="s">
        <v>41</v>
      </c>
      <c r="V317" s="154">
        <v>30</v>
      </c>
      <c r="W317" s="120" cm="1">
        <f t="array" ref="W317">IF(U317="",0,_xlfn.XLOOKUP(E317&amp;U317&amp;F317,tab_act&amp;tab_mod&amp;tab_act1,tab_riz)*V317*T317/MGMT)</f>
        <v>0</v>
      </c>
      <c r="X317" s="121" cm="1">
        <f t="array" ref="X317">IF(U317="",0,_xlfn.XLOOKUP(E317&amp;U317&amp;F317,tab_act&amp;tab_mod&amp;tab_act1,tab_mc)*V317*T317/MGMT)</f>
        <v>0</v>
      </c>
      <c r="Y317" s="121" cm="1">
        <f t="array" ref="Y317">IF(U317="",0,_xlfn.XLOOKUP(E317&amp;U317&amp;F317,tab_act&amp;tab_mod&amp;tab_act1,tab_sor)*V317*T317/MGMT)</f>
        <v>0</v>
      </c>
      <c r="Z317" s="121" cm="1">
        <f t="array" ref="Z317">IF(U317="",0,_xlfn.XLOOKUP(E317&amp;U317&amp;F317,tab_act&amp;tab_mod&amp;tab_act1,tab_mg)*V317*T317/MGMT)</f>
        <v>0</v>
      </c>
      <c r="AA317" s="122" cm="1">
        <f t="array" ref="AA317">IF(U317="",0,IF(U317="hybrid-Sch",_xlfn.XLOOKUP(E317&amp;U317&amp;F317,tab_act&amp;tab_mod&amp;tab_act1,tab_ls)*SchLS*T317/MGMT,_xlfn.XLOOKUP(E317&amp;U317&amp;F317,tab_act&amp;tab_mod&amp;tab_act1,tab_ls)*V317*T317/MGMT))</f>
        <v>0</v>
      </c>
      <c r="AB317" s="122" cm="1">
        <f t="array" ref="AB317">IF(U317="",0,_xlfn.XLOOKUP(E317&amp;U317&amp;F317,tab_act&amp;tab_mod&amp;tab_act1,tab_hu)*V317*T317/MGMT)</f>
        <v>0</v>
      </c>
      <c r="AC317" s="122" cm="1">
        <f t="array" ref="AC317">IF(U317="",0,_xlfn.XLOOKUP(E317&amp;U317&amp;F317,tab_act&amp;tab_mod&amp;tab_act1,tab_mnp)*V317*T317/MGMT)</f>
        <v>0</v>
      </c>
      <c r="AD317" s="122" cm="1">
        <f t="array" ref="AD317">IF(U317="",0,_xlfn.XLOOKUP(E317&amp;U317&amp;F317,tab_act&amp;tab_mod&amp;tab_act1,tab_Psup)*V317*T317/MGMT)</f>
        <v>0</v>
      </c>
      <c r="AE317" s="122" cm="1">
        <f t="array" ref="AE317">IF(U317="",0,_xlfn.XLOOKUP(E317&amp;U317&amp;F317,tab_act&amp;tab_mod&amp;tab_act1,tab_csb1)*V317*T317/MGMT)</f>
        <v>0</v>
      </c>
      <c r="AF317" s="122" cm="1">
        <f t="array" ref="AF317">IF(U317="",0,_xlfn.XLOOKUP(E317&amp;U317&amp;F317,tab_act&amp;tab_mod&amp;tab_act1,tab_csb2)*V317*T317/MGMT)</f>
        <v>0</v>
      </c>
      <c r="AG317" s="122" cm="1">
        <f t="array" ref="AG317">IF(U317="",0,_xlfn.XLOOKUP(E317&amp;U317&amp;F317,tab_act&amp;tab_mod&amp;tab_act1,tab_pdoz)*V317*T317/MGMT)</f>
        <v>2.7915000000000001</v>
      </c>
      <c r="AH317" s="122" cm="1">
        <f t="array" ref="AH317">IF(U317="",0,_xlfn.XLOOKUP(E317&amp;U317&amp;F317,tab_act&amp;tab_mod&amp;tab_act1,tab_lns)*V317*T317/MGMT)</f>
        <v>0</v>
      </c>
      <c r="AI317" s="123">
        <f t="shared" si="23"/>
        <v>2.7915000000000001</v>
      </c>
      <c r="AJ317" s="124" cm="1">
        <f t="array" ref="AJ317">IF(U317="",0,_xlfn.XLOOKUP(E317&amp;U317&amp;F317,tab_act&amp;tab_mod&amp;tab_act1,tab_cash)*T317)</f>
        <v>0</v>
      </c>
      <c r="AK317" s="139" cm="1">
        <f t="array" ref="AK317">IF(B317="",0,IF(C317="",0,AJ317/_xlfn.XLOOKUP(B317&amp;C317,RMth&amp;RYr,RAr)))</f>
        <v>0</v>
      </c>
      <c r="AL317" s="90"/>
      <c r="AM317" s="90"/>
      <c r="AN317" s="141" t="s">
        <v>248</v>
      </c>
    </row>
    <row r="318" spans="1:40" x14ac:dyDescent="0.35">
      <c r="A318" s="90"/>
      <c r="B318" s="50" t="s">
        <v>128</v>
      </c>
      <c r="C318" s="117">
        <v>2023</v>
      </c>
      <c r="D318" s="118" t="s">
        <v>100</v>
      </c>
      <c r="E318" s="118" t="s">
        <v>39</v>
      </c>
      <c r="F318" s="118" t="s">
        <v>245</v>
      </c>
      <c r="G318" s="118" t="s">
        <v>159</v>
      </c>
      <c r="H318" s="118"/>
      <c r="I318" s="118" t="s">
        <v>213</v>
      </c>
      <c r="J318" s="118" t="s">
        <v>91</v>
      </c>
      <c r="K318" s="118" t="s">
        <v>97</v>
      </c>
      <c r="L318" s="118" t="s">
        <v>212</v>
      </c>
      <c r="M318" s="118" t="s">
        <v>158</v>
      </c>
      <c r="N318" s="118" t="s">
        <v>68</v>
      </c>
      <c r="O318" s="118" t="s">
        <v>251</v>
      </c>
      <c r="P318" s="118" t="s">
        <v>251</v>
      </c>
      <c r="Q318" s="118"/>
      <c r="R318" s="118">
        <v>1710</v>
      </c>
      <c r="S318" s="118">
        <v>1710</v>
      </c>
      <c r="T318" s="118">
        <v>1710</v>
      </c>
      <c r="U318" s="117" t="s">
        <v>41</v>
      </c>
      <c r="V318" s="154">
        <v>30</v>
      </c>
      <c r="W318" s="120" cm="1">
        <f t="array" ref="W318">IF(U318="",0,_xlfn.XLOOKUP(E318&amp;U318&amp;F318,tab_act&amp;tab_mod&amp;tab_act1,tab_riz)*V318*T318/MGMT)</f>
        <v>0</v>
      </c>
      <c r="X318" s="121" cm="1">
        <f t="array" ref="X318">IF(U318="",0,_xlfn.XLOOKUP(E318&amp;U318&amp;F318,tab_act&amp;tab_mod&amp;tab_act1,tab_mc)*V318*T318/MGMT)</f>
        <v>0</v>
      </c>
      <c r="Y318" s="121" cm="1">
        <f t="array" ref="Y318">IF(U318="",0,_xlfn.XLOOKUP(E318&amp;U318&amp;F318,tab_act&amp;tab_mod&amp;tab_act1,tab_sor)*V318*T318/MGMT)</f>
        <v>0</v>
      </c>
      <c r="Z318" s="121" cm="1">
        <f t="array" ref="Z318">IF(U318="",0,_xlfn.XLOOKUP(E318&amp;U318&amp;F318,tab_act&amp;tab_mod&amp;tab_act1,tab_mg)*V318*T318/MGMT)</f>
        <v>0</v>
      </c>
      <c r="AA318" s="122" cm="1">
        <f t="array" ref="AA318">IF(U318="",0,IF(U318="hybrid-Sch",_xlfn.XLOOKUP(E318&amp;U318&amp;F318,tab_act&amp;tab_mod&amp;tab_act1,tab_ls)*SchLS*T318/MGMT,_xlfn.XLOOKUP(E318&amp;U318&amp;F318,tab_act&amp;tab_mod&amp;tab_act1,tab_ls)*V318*T318/MGMT))</f>
        <v>0</v>
      </c>
      <c r="AB318" s="122" cm="1">
        <f t="array" ref="AB318">IF(U318="",0,_xlfn.XLOOKUP(E318&amp;U318&amp;F318,tab_act&amp;tab_mod&amp;tab_act1,tab_hu)*V318*T318/MGMT)</f>
        <v>1.026</v>
      </c>
      <c r="AC318" s="122" cm="1">
        <f t="array" ref="AC318">IF(U318="",0,_xlfn.XLOOKUP(E318&amp;U318&amp;F318,tab_act&amp;tab_mod&amp;tab_act1,tab_mnp)*V318*T318/MGMT)</f>
        <v>0</v>
      </c>
      <c r="AD318" s="122" cm="1">
        <f t="array" ref="AD318">IF(U318="",0,_xlfn.XLOOKUP(E318&amp;U318&amp;F318,tab_act&amp;tab_mod&amp;tab_act1,tab_Psup)*V318*T318/MGMT)</f>
        <v>0</v>
      </c>
      <c r="AE318" s="122" cm="1">
        <f t="array" ref="AE318">IF(U318="",0,_xlfn.XLOOKUP(E318&amp;U318&amp;F318,tab_act&amp;tab_mod&amp;tab_act1,tab_csb1)*V318*T318/MGMT)</f>
        <v>4.1553000000000004</v>
      </c>
      <c r="AF318" s="122" cm="1">
        <f t="array" ref="AF318">IF(U318="",0,_xlfn.XLOOKUP(E318&amp;U318&amp;F318,tab_act&amp;tab_mod&amp;tab_act1,tab_csb2)*V318*T318/MGMT)</f>
        <v>6.1047000000000002</v>
      </c>
      <c r="AG318" s="122" cm="1">
        <f t="array" ref="AG318">IF(U318="",0,_xlfn.XLOOKUP(E318&amp;U318&amp;F318,tab_act&amp;tab_mod&amp;tab_act1,tab_pdoz)*V318*T318/MGMT)</f>
        <v>0</v>
      </c>
      <c r="AH318" s="122" cm="1">
        <f t="array" ref="AH318">IF(U318="",0,_xlfn.XLOOKUP(E318&amp;U318&amp;F318,tab_act&amp;tab_mod&amp;tab_act1,tab_lns)*V318*T318/MGMT)</f>
        <v>0</v>
      </c>
      <c r="AI318" s="123">
        <f t="shared" si="23"/>
        <v>11.286000000000001</v>
      </c>
      <c r="AJ318" s="124" cm="1">
        <f t="array" ref="AJ318">IF(U318="",0,_xlfn.XLOOKUP(E318&amp;U318&amp;F318,tab_act&amp;tab_mod&amp;tab_act1,tab_cash)*T318)</f>
        <v>0</v>
      </c>
      <c r="AK318" s="139" cm="1">
        <f t="array" ref="AK318">IF(B318="",0,IF(C318="",0,AJ318/_xlfn.XLOOKUP(B318&amp;C318,RMth&amp;RYr,RAr)))</f>
        <v>0</v>
      </c>
      <c r="AL318" s="90"/>
      <c r="AM318" s="90"/>
      <c r="AN318" s="141" t="s">
        <v>248</v>
      </c>
    </row>
    <row r="319" spans="1:40" x14ac:dyDescent="0.35">
      <c r="A319" s="90"/>
      <c r="B319" s="50" t="s">
        <v>128</v>
      </c>
      <c r="C319" s="117">
        <v>2023</v>
      </c>
      <c r="D319" s="118" t="s">
        <v>100</v>
      </c>
      <c r="E319" s="118" t="s">
        <v>39</v>
      </c>
      <c r="F319" s="118" t="s">
        <v>245</v>
      </c>
      <c r="G319" s="118" t="s">
        <v>159</v>
      </c>
      <c r="H319" s="118"/>
      <c r="I319" s="118" t="s">
        <v>213</v>
      </c>
      <c r="J319" s="118" t="s">
        <v>91</v>
      </c>
      <c r="K319" s="118" t="s">
        <v>97</v>
      </c>
      <c r="L319" s="118" t="s">
        <v>246</v>
      </c>
      <c r="M319" s="118" t="s">
        <v>91</v>
      </c>
      <c r="N319" s="118" t="s">
        <v>68</v>
      </c>
      <c r="O319" s="118" t="s">
        <v>247</v>
      </c>
      <c r="P319" s="118" t="s">
        <v>247</v>
      </c>
      <c r="Q319" s="118"/>
      <c r="R319" s="118">
        <v>1610</v>
      </c>
      <c r="S319" s="118">
        <v>1610</v>
      </c>
      <c r="T319" s="118">
        <v>1610</v>
      </c>
      <c r="U319" s="117" t="s">
        <v>41</v>
      </c>
      <c r="V319" s="154">
        <v>30</v>
      </c>
      <c r="W319" s="120" cm="1">
        <f t="array" ref="W319">IF(U319="",0,_xlfn.XLOOKUP(E319&amp;U319&amp;F319,tab_act&amp;tab_mod&amp;tab_act1,tab_riz)*V319*T319/MGMT)</f>
        <v>0</v>
      </c>
      <c r="X319" s="121" cm="1">
        <f t="array" ref="X319">IF(U319="",0,_xlfn.XLOOKUP(E319&amp;U319&amp;F319,tab_act&amp;tab_mod&amp;tab_act1,tab_mc)*V319*T319/MGMT)</f>
        <v>0</v>
      </c>
      <c r="Y319" s="121" cm="1">
        <f t="array" ref="Y319">IF(U319="",0,_xlfn.XLOOKUP(E319&amp;U319&amp;F319,tab_act&amp;tab_mod&amp;tab_act1,tab_sor)*V319*T319/MGMT)</f>
        <v>0</v>
      </c>
      <c r="Z319" s="121" cm="1">
        <f t="array" ref="Z319">IF(U319="",0,_xlfn.XLOOKUP(E319&amp;U319&amp;F319,tab_act&amp;tab_mod&amp;tab_act1,tab_mg)*V319*T319/MGMT)</f>
        <v>0</v>
      </c>
      <c r="AA319" s="122" cm="1">
        <f t="array" ref="AA319">IF(U319="",0,IF(U319="hybrid-Sch",_xlfn.XLOOKUP(E319&amp;U319&amp;F319,tab_act&amp;tab_mod&amp;tab_act1,tab_ls)*SchLS*T319/MGMT,_xlfn.XLOOKUP(E319&amp;U319&amp;F319,tab_act&amp;tab_mod&amp;tab_act1,tab_ls)*V319*T319/MGMT))</f>
        <v>0</v>
      </c>
      <c r="AB319" s="122" cm="1">
        <f t="array" ref="AB319">IF(U319="",0,_xlfn.XLOOKUP(E319&amp;U319&amp;F319,tab_act&amp;tab_mod&amp;tab_act1,tab_hu)*V319*T319/MGMT)</f>
        <v>0.96599999999999997</v>
      </c>
      <c r="AC319" s="122" cm="1">
        <f t="array" ref="AC319">IF(U319="",0,_xlfn.XLOOKUP(E319&amp;U319&amp;F319,tab_act&amp;tab_mod&amp;tab_act1,tab_mnp)*V319*T319/MGMT)</f>
        <v>0</v>
      </c>
      <c r="AD319" s="122" cm="1">
        <f t="array" ref="AD319">IF(U319="",0,_xlfn.XLOOKUP(E319&amp;U319&amp;F319,tab_act&amp;tab_mod&amp;tab_act1,tab_Psup)*V319*T319/MGMT)</f>
        <v>0</v>
      </c>
      <c r="AE319" s="122" cm="1">
        <f t="array" ref="AE319">IF(U319="",0,_xlfn.XLOOKUP(E319&amp;U319&amp;F319,tab_act&amp;tab_mod&amp;tab_act1,tab_csb1)*V319*T319/MGMT)</f>
        <v>3.9123000000000001</v>
      </c>
      <c r="AF319" s="122" cm="1">
        <f t="array" ref="AF319">IF(U319="",0,_xlfn.XLOOKUP(E319&amp;U319&amp;F319,tab_act&amp;tab_mod&amp;tab_act1,tab_csb2)*V319*T319/MGMT)</f>
        <v>5.7477</v>
      </c>
      <c r="AG319" s="122" cm="1">
        <f t="array" ref="AG319">IF(U319="",0,_xlfn.XLOOKUP(E319&amp;U319&amp;F319,tab_act&amp;tab_mod&amp;tab_act1,tab_pdoz)*V319*T319/MGMT)</f>
        <v>0</v>
      </c>
      <c r="AH319" s="122" cm="1">
        <f t="array" ref="AH319">IF(U319="",0,_xlfn.XLOOKUP(E319&amp;U319&amp;F319,tab_act&amp;tab_mod&amp;tab_act1,tab_lns)*V319*T319/MGMT)</f>
        <v>0</v>
      </c>
      <c r="AI319" s="123">
        <f t="shared" si="23"/>
        <v>10.626000000000001</v>
      </c>
      <c r="AJ319" s="124" cm="1">
        <f t="array" ref="AJ319">IF(U319="",0,_xlfn.XLOOKUP(E319&amp;U319&amp;F319,tab_act&amp;tab_mod&amp;tab_act1,tab_cash)*T319)</f>
        <v>0</v>
      </c>
      <c r="AK319" s="139" cm="1">
        <f t="array" ref="AK319">IF(B319="",0,IF(C319="",0,AJ319/_xlfn.XLOOKUP(B319&amp;C319,RMth&amp;RYr,RAr)))</f>
        <v>0</v>
      </c>
      <c r="AL319" s="90"/>
      <c r="AM319" s="90"/>
      <c r="AN319" s="141" t="s">
        <v>248</v>
      </c>
    </row>
    <row r="320" spans="1:40" x14ac:dyDescent="0.35">
      <c r="B320" s="50" t="s">
        <v>130</v>
      </c>
      <c r="C320" s="44">
        <v>2023</v>
      </c>
      <c r="D320" s="44" t="s">
        <v>100</v>
      </c>
      <c r="E320" s="15" t="s">
        <v>39</v>
      </c>
      <c r="F320" s="142" t="s">
        <v>117</v>
      </c>
      <c r="G320" s="15" t="s">
        <v>159</v>
      </c>
      <c r="H320" s="44"/>
      <c r="I320" s="15" t="s">
        <v>94</v>
      </c>
      <c r="J320" s="15" t="s">
        <v>94</v>
      </c>
      <c r="K320" s="15" t="s">
        <v>160</v>
      </c>
      <c r="L320" s="15" t="s">
        <v>95</v>
      </c>
      <c r="M320" s="15" t="s">
        <v>94</v>
      </c>
      <c r="N320" s="15" t="s">
        <v>67</v>
      </c>
      <c r="O320" s="15" t="s">
        <v>161</v>
      </c>
      <c r="P320" s="15" t="s">
        <v>162</v>
      </c>
      <c r="Q320" s="135"/>
      <c r="R320" s="42">
        <v>431.2</v>
      </c>
      <c r="S320" s="42">
        <f t="shared" ref="S320:S351" si="25">SUM(Q320:R320)</f>
        <v>431.2</v>
      </c>
      <c r="T320" s="43">
        <f t="shared" ref="T320:T351" si="26">IF(E320="Sch",S320,IF(E320="nutrition",S320,S320/5))</f>
        <v>431.2</v>
      </c>
      <c r="U320" s="15" t="s">
        <v>41</v>
      </c>
      <c r="V320" s="150">
        <v>30</v>
      </c>
      <c r="W320" s="111" cm="1">
        <f t="array" ref="W320">IF(U320="",0,_xlfn.XLOOKUP(E320&amp;U320&amp;F320,tab_act&amp;tab_mod&amp;tab_act1,tab_riz)*V320*T320/MGMT)</f>
        <v>0</v>
      </c>
      <c r="X320" s="112" cm="1">
        <f t="array" ref="X320">IF(U320="",0,_xlfn.XLOOKUP(E320&amp;U320&amp;F320,tab_act&amp;tab_mod&amp;tab_act1,tab_mc)*V320*T320/MGMT)</f>
        <v>0</v>
      </c>
      <c r="Y320" s="112" cm="1">
        <f t="array" ref="Y320">IF(U320="",0,_xlfn.XLOOKUP(E320&amp;U320&amp;F320,tab_act&amp;tab_mod&amp;tab_act1,tab_sor)*V320*T320/MGMT)</f>
        <v>0</v>
      </c>
      <c r="Z320" s="112" cm="1">
        <f t="array" ref="Z320">IF(U320="",0,_xlfn.XLOOKUP(E320&amp;U320&amp;F320,tab_act&amp;tab_mod&amp;tab_act1,tab_mg)*V320*T320/MGMT)</f>
        <v>0</v>
      </c>
      <c r="AA320" s="113" cm="1">
        <f t="array" ref="AA320">IF(U320="",0,IF(U320="hybrid-Sch",_xlfn.XLOOKUP(E320&amp;U320&amp;F320,tab_act&amp;tab_mod&amp;tab_act1,tab_ls)*SchLS*T320/MGMT,_xlfn.XLOOKUP(E320&amp;U320&amp;F320,tab_act&amp;tab_mod&amp;tab_act1,tab_ls)*V320*T320/MGMT))</f>
        <v>0</v>
      </c>
      <c r="AB320" s="113" cm="1">
        <f t="array" ref="AB320">IF(U320="",0,_xlfn.XLOOKUP(E320&amp;U320&amp;F320,tab_act&amp;tab_mod&amp;tab_act1,tab_hu)*V320*T320/MGMT)</f>
        <v>0.25872000000000001</v>
      </c>
      <c r="AC320" s="113" cm="1">
        <f t="array" ref="AC320">IF(U320="",0,_xlfn.XLOOKUP(E320&amp;U320&amp;F320,tab_act&amp;tab_mod&amp;tab_act1,tab_mnp)*V320*T320/MGMT)</f>
        <v>0</v>
      </c>
      <c r="AD320" s="113" cm="1">
        <f t="array" ref="AD320">IF(U320="",0,_xlfn.XLOOKUP(E320&amp;U320&amp;F320,tab_act&amp;tab_mod&amp;tab_act1,tab_Psup)*V320*T320/MGMT)</f>
        <v>0</v>
      </c>
      <c r="AE320" s="113" cm="1">
        <f t="array" ref="AE320">IF(U320="",0,_xlfn.XLOOKUP(E320&amp;U320&amp;F320,tab_act&amp;tab_mod&amp;tab_act1,tab_csb1)*V320*T320/MGMT)</f>
        <v>2.5872000000000002</v>
      </c>
      <c r="AF320" s="113" cm="1">
        <f t="array" ref="AF320">IF(U320="",0,_xlfn.XLOOKUP(E320&amp;U320&amp;F320,tab_act&amp;tab_mod&amp;tab_act1,tab_csb2)*V320*T320/MGMT)</f>
        <v>0</v>
      </c>
      <c r="AG320" s="113" cm="1">
        <f t="array" ref="AG320">IF(U320="",0,_xlfn.XLOOKUP(E320&amp;U320&amp;F320,tab_act&amp;tab_mod&amp;tab_act1,tab_pdoz)*V320*T320/MGMT)</f>
        <v>0</v>
      </c>
      <c r="AH320" s="113" cm="1">
        <f t="array" ref="AH320">IF(U320="",0,_xlfn.XLOOKUP(E320&amp;U320&amp;F320,tab_act&amp;tab_mod&amp;tab_act1,tab_lns)*V320*T320/MGMT)</f>
        <v>0</v>
      </c>
      <c r="AI320" s="114">
        <f t="shared" ref="AI320:AI383" si="27">SUM(W320:AH320)</f>
        <v>2.84592</v>
      </c>
      <c r="AJ320" s="115" cm="1">
        <f t="array" ref="AJ320">IF(U320="",0,_xlfn.XLOOKUP(E320&amp;U320&amp;F320,tab_act&amp;tab_mod&amp;tab_act1,tab_cash)*T320)</f>
        <v>0</v>
      </c>
      <c r="AK320" s="148" cm="1">
        <f t="array" ref="AK320">IF(B320="",0,IF(C320="",0,AJ320/_xlfn.XLOOKUP(B320&amp;C320,RMth&amp;RYr,RAr)))</f>
        <v>0</v>
      </c>
      <c r="AL320" s="90"/>
      <c r="AM320" s="90"/>
      <c r="AN320" s="141" t="s">
        <v>248</v>
      </c>
    </row>
    <row r="321" spans="2:40" x14ac:dyDescent="0.35">
      <c r="B321" s="50" t="s">
        <v>130</v>
      </c>
      <c r="C321" s="44">
        <v>2023</v>
      </c>
      <c r="D321" s="44" t="s">
        <v>100</v>
      </c>
      <c r="E321" s="15" t="s">
        <v>39</v>
      </c>
      <c r="F321" s="142" t="s">
        <v>117</v>
      </c>
      <c r="G321" s="15" t="s">
        <v>159</v>
      </c>
      <c r="H321" s="44"/>
      <c r="I321" s="15" t="s">
        <v>94</v>
      </c>
      <c r="J321" s="15" t="s">
        <v>94</v>
      </c>
      <c r="K321" s="15" t="s">
        <v>160</v>
      </c>
      <c r="L321" s="15" t="s">
        <v>95</v>
      </c>
      <c r="M321" s="15" t="s">
        <v>94</v>
      </c>
      <c r="N321" s="15" t="s">
        <v>67</v>
      </c>
      <c r="O321" s="15" t="s">
        <v>161</v>
      </c>
      <c r="P321" s="15" t="s">
        <v>163</v>
      </c>
      <c r="Q321" s="135"/>
      <c r="R321" s="42">
        <v>55</v>
      </c>
      <c r="S321" s="42">
        <f t="shared" si="25"/>
        <v>55</v>
      </c>
      <c r="T321" s="43">
        <f t="shared" si="26"/>
        <v>55</v>
      </c>
      <c r="U321" s="15" t="s">
        <v>41</v>
      </c>
      <c r="V321" s="150">
        <v>30</v>
      </c>
      <c r="W321" s="111" cm="1">
        <f t="array" ref="W321">IF(U321="",0,_xlfn.XLOOKUP(E321&amp;U321&amp;F321,tab_act&amp;tab_mod&amp;tab_act1,tab_riz)*V321*T321/MGMT)</f>
        <v>0</v>
      </c>
      <c r="X321" s="112" cm="1">
        <f t="array" ref="X321">IF(U321="",0,_xlfn.XLOOKUP(E321&amp;U321&amp;F321,tab_act&amp;tab_mod&amp;tab_act1,tab_mc)*V321*T321/MGMT)</f>
        <v>0</v>
      </c>
      <c r="Y321" s="112" cm="1">
        <f t="array" ref="Y321">IF(U321="",0,_xlfn.XLOOKUP(E321&amp;U321&amp;F321,tab_act&amp;tab_mod&amp;tab_act1,tab_sor)*V321*T321/MGMT)</f>
        <v>0</v>
      </c>
      <c r="Z321" s="112" cm="1">
        <f t="array" ref="Z321">IF(U321="",0,_xlfn.XLOOKUP(E321&amp;U321&amp;F321,tab_act&amp;tab_mod&amp;tab_act1,tab_mg)*V321*T321/MGMT)</f>
        <v>0</v>
      </c>
      <c r="AA321" s="113" cm="1">
        <f t="array" ref="AA321">IF(U321="",0,IF(U321="hybrid-Sch",_xlfn.XLOOKUP(E321&amp;U321&amp;F321,tab_act&amp;tab_mod&amp;tab_act1,tab_ls)*SchLS*T321/MGMT,_xlfn.XLOOKUP(E321&amp;U321&amp;F321,tab_act&amp;tab_mod&amp;tab_act1,tab_ls)*V321*T321/MGMT))</f>
        <v>0</v>
      </c>
      <c r="AB321" s="113" cm="1">
        <f t="array" ref="AB321">IF(U321="",0,_xlfn.XLOOKUP(E321&amp;U321&amp;F321,tab_act&amp;tab_mod&amp;tab_act1,tab_hu)*V321*T321/MGMT)</f>
        <v>3.3000000000000002E-2</v>
      </c>
      <c r="AC321" s="113" cm="1">
        <f t="array" ref="AC321">IF(U321="",0,_xlfn.XLOOKUP(E321&amp;U321&amp;F321,tab_act&amp;tab_mod&amp;tab_act1,tab_mnp)*V321*T321/MGMT)</f>
        <v>0</v>
      </c>
      <c r="AD321" s="113" cm="1">
        <f t="array" ref="AD321">IF(U321="",0,_xlfn.XLOOKUP(E321&amp;U321&amp;F321,tab_act&amp;tab_mod&amp;tab_act1,tab_Psup)*V321*T321/MGMT)</f>
        <v>0</v>
      </c>
      <c r="AE321" s="113" cm="1">
        <f t="array" ref="AE321">IF(U321="",0,_xlfn.XLOOKUP(E321&amp;U321&amp;F321,tab_act&amp;tab_mod&amp;tab_act1,tab_csb1)*V321*T321/MGMT)</f>
        <v>0.33</v>
      </c>
      <c r="AF321" s="113" cm="1">
        <f t="array" ref="AF321">IF(U321="",0,_xlfn.XLOOKUP(E321&amp;U321&amp;F321,tab_act&amp;tab_mod&amp;tab_act1,tab_csb2)*V321*T321/MGMT)</f>
        <v>0</v>
      </c>
      <c r="AG321" s="113" cm="1">
        <f t="array" ref="AG321">IF(U321="",0,_xlfn.XLOOKUP(E321&amp;U321&amp;F321,tab_act&amp;tab_mod&amp;tab_act1,tab_pdoz)*V321*T321/MGMT)</f>
        <v>0</v>
      </c>
      <c r="AH321" s="113" cm="1">
        <f t="array" ref="AH321">IF(U321="",0,_xlfn.XLOOKUP(E321&amp;U321&amp;F321,tab_act&amp;tab_mod&amp;tab_act1,tab_lns)*V321*T321/MGMT)</f>
        <v>0</v>
      </c>
      <c r="AI321" s="114">
        <f t="shared" si="27"/>
        <v>0.36299999999999999</v>
      </c>
      <c r="AJ321" s="115" cm="1">
        <f t="array" ref="AJ321">IF(U321="",0,_xlfn.XLOOKUP(E321&amp;U321&amp;F321,tab_act&amp;tab_mod&amp;tab_act1,tab_cash)*T321)</f>
        <v>0</v>
      </c>
      <c r="AK321" s="148" cm="1">
        <f t="array" ref="AK321">IF(B321="",0,IF(C321="",0,AJ321/_xlfn.XLOOKUP(B321&amp;C321,RMth&amp;RYr,RAr)))</f>
        <v>0</v>
      </c>
      <c r="AL321" s="90"/>
      <c r="AM321" s="90"/>
      <c r="AN321" s="141" t="s">
        <v>248</v>
      </c>
    </row>
    <row r="322" spans="2:40" x14ac:dyDescent="0.35">
      <c r="B322" s="50" t="s">
        <v>130</v>
      </c>
      <c r="C322" s="44">
        <v>2023</v>
      </c>
      <c r="D322" s="44" t="s">
        <v>100</v>
      </c>
      <c r="E322" s="15" t="s">
        <v>39</v>
      </c>
      <c r="F322" s="142" t="s">
        <v>117</v>
      </c>
      <c r="G322" s="15" t="s">
        <v>159</v>
      </c>
      <c r="H322" s="44"/>
      <c r="I322" s="15" t="s">
        <v>94</v>
      </c>
      <c r="J322" s="15" t="s">
        <v>94</v>
      </c>
      <c r="K322" s="15" t="s">
        <v>160</v>
      </c>
      <c r="L322" s="15" t="s">
        <v>95</v>
      </c>
      <c r="M322" s="15" t="s">
        <v>94</v>
      </c>
      <c r="N322" s="15" t="s">
        <v>67</v>
      </c>
      <c r="O322" s="15" t="s">
        <v>161</v>
      </c>
      <c r="P322" s="15" t="s">
        <v>164</v>
      </c>
      <c r="Q322" s="135"/>
      <c r="R322" s="42">
        <v>134.19999999999999</v>
      </c>
      <c r="S322" s="42">
        <f t="shared" si="25"/>
        <v>134.19999999999999</v>
      </c>
      <c r="T322" s="43">
        <f t="shared" si="26"/>
        <v>134.19999999999999</v>
      </c>
      <c r="U322" s="15" t="s">
        <v>41</v>
      </c>
      <c r="V322" s="150">
        <v>30</v>
      </c>
      <c r="W322" s="111" cm="1">
        <f t="array" ref="W322">IF(U322="",0,_xlfn.XLOOKUP(E322&amp;U322&amp;F322,tab_act&amp;tab_mod&amp;tab_act1,tab_riz)*V322*T322/MGMT)</f>
        <v>0</v>
      </c>
      <c r="X322" s="112" cm="1">
        <f t="array" ref="X322">IF(U322="",0,_xlfn.XLOOKUP(E322&amp;U322&amp;F322,tab_act&amp;tab_mod&amp;tab_act1,tab_mc)*V322*T322/MGMT)</f>
        <v>0</v>
      </c>
      <c r="Y322" s="112" cm="1">
        <f t="array" ref="Y322">IF(U322="",0,_xlfn.XLOOKUP(E322&amp;U322&amp;F322,tab_act&amp;tab_mod&amp;tab_act1,tab_sor)*V322*T322/MGMT)</f>
        <v>0</v>
      </c>
      <c r="Z322" s="112" cm="1">
        <f t="array" ref="Z322">IF(U322="",0,_xlfn.XLOOKUP(E322&amp;U322&amp;F322,tab_act&amp;tab_mod&amp;tab_act1,tab_mg)*V322*T322/MGMT)</f>
        <v>0</v>
      </c>
      <c r="AA322" s="113" cm="1">
        <f t="array" ref="AA322">IF(U322="",0,IF(U322="hybrid-Sch",_xlfn.XLOOKUP(E322&amp;U322&amp;F322,tab_act&amp;tab_mod&amp;tab_act1,tab_ls)*SchLS*T322/MGMT,_xlfn.XLOOKUP(E322&amp;U322&amp;F322,tab_act&amp;tab_mod&amp;tab_act1,tab_ls)*V322*T322/MGMT))</f>
        <v>0</v>
      </c>
      <c r="AB322" s="113" cm="1">
        <f t="array" ref="AB322">IF(U322="",0,_xlfn.XLOOKUP(E322&amp;U322&amp;F322,tab_act&amp;tab_mod&amp;tab_act1,tab_hu)*V322*T322/MGMT)</f>
        <v>8.0519999999999994E-2</v>
      </c>
      <c r="AC322" s="113" cm="1">
        <f t="array" ref="AC322">IF(U322="",0,_xlfn.XLOOKUP(E322&amp;U322&amp;F322,tab_act&amp;tab_mod&amp;tab_act1,tab_mnp)*V322*T322/MGMT)</f>
        <v>0</v>
      </c>
      <c r="AD322" s="113" cm="1">
        <f t="array" ref="AD322">IF(U322="",0,_xlfn.XLOOKUP(E322&amp;U322&amp;F322,tab_act&amp;tab_mod&amp;tab_act1,tab_Psup)*V322*T322/MGMT)</f>
        <v>0</v>
      </c>
      <c r="AE322" s="113" cm="1">
        <f t="array" ref="AE322">IF(U322="",0,_xlfn.XLOOKUP(E322&amp;U322&amp;F322,tab_act&amp;tab_mod&amp;tab_act1,tab_csb1)*V322*T322/MGMT)</f>
        <v>0.80519999999999992</v>
      </c>
      <c r="AF322" s="113" cm="1">
        <f t="array" ref="AF322">IF(U322="",0,_xlfn.XLOOKUP(E322&amp;U322&amp;F322,tab_act&amp;tab_mod&amp;tab_act1,tab_csb2)*V322*T322/MGMT)</f>
        <v>0</v>
      </c>
      <c r="AG322" s="113" cm="1">
        <f t="array" ref="AG322">IF(U322="",0,_xlfn.XLOOKUP(E322&amp;U322&amp;F322,tab_act&amp;tab_mod&amp;tab_act1,tab_pdoz)*V322*T322/MGMT)</f>
        <v>0</v>
      </c>
      <c r="AH322" s="113" cm="1">
        <f t="array" ref="AH322">IF(U322="",0,_xlfn.XLOOKUP(E322&amp;U322&amp;F322,tab_act&amp;tab_mod&amp;tab_act1,tab_lns)*V322*T322/MGMT)</f>
        <v>0</v>
      </c>
      <c r="AI322" s="114">
        <f t="shared" si="27"/>
        <v>0.88571999999999995</v>
      </c>
      <c r="AJ322" s="115" cm="1">
        <f t="array" ref="AJ322">IF(U322="",0,_xlfn.XLOOKUP(E322&amp;U322&amp;F322,tab_act&amp;tab_mod&amp;tab_act1,tab_cash)*T322)</f>
        <v>0</v>
      </c>
      <c r="AK322" s="148" cm="1">
        <f t="array" ref="AK322">IF(B322="",0,IF(C322="",0,AJ322/_xlfn.XLOOKUP(B322&amp;C322,RMth&amp;RYr,RAr)))</f>
        <v>0</v>
      </c>
      <c r="AL322" s="90"/>
      <c r="AM322" s="90"/>
      <c r="AN322" s="141" t="s">
        <v>248</v>
      </c>
    </row>
    <row r="323" spans="2:40" x14ac:dyDescent="0.35">
      <c r="B323" s="50" t="s">
        <v>130</v>
      </c>
      <c r="C323" s="44">
        <v>2023</v>
      </c>
      <c r="D323" s="44" t="s">
        <v>100</v>
      </c>
      <c r="E323" s="15" t="s">
        <v>39</v>
      </c>
      <c r="F323" s="142" t="s">
        <v>117</v>
      </c>
      <c r="G323" s="15" t="s">
        <v>159</v>
      </c>
      <c r="H323" s="44"/>
      <c r="I323" s="15" t="s">
        <v>94</v>
      </c>
      <c r="J323" s="15" t="s">
        <v>94</v>
      </c>
      <c r="K323" s="15" t="s">
        <v>160</v>
      </c>
      <c r="L323" s="15" t="s">
        <v>95</v>
      </c>
      <c r="M323" s="15" t="s">
        <v>94</v>
      </c>
      <c r="N323" s="15" t="s">
        <v>67</v>
      </c>
      <c r="O323" s="15" t="s">
        <v>161</v>
      </c>
      <c r="P323" s="15" t="s">
        <v>165</v>
      </c>
      <c r="Q323" s="135"/>
      <c r="R323" s="42">
        <v>85.8</v>
      </c>
      <c r="S323" s="42">
        <f t="shared" si="25"/>
        <v>85.8</v>
      </c>
      <c r="T323" s="43">
        <f t="shared" si="26"/>
        <v>85.8</v>
      </c>
      <c r="U323" s="15" t="s">
        <v>41</v>
      </c>
      <c r="V323" s="150">
        <v>30</v>
      </c>
      <c r="W323" s="111" cm="1">
        <f t="array" ref="W323">IF(U323="",0,_xlfn.XLOOKUP(E323&amp;U323&amp;F323,tab_act&amp;tab_mod&amp;tab_act1,tab_riz)*V323*T323/MGMT)</f>
        <v>0</v>
      </c>
      <c r="X323" s="112" cm="1">
        <f t="array" ref="X323">IF(U323="",0,_xlfn.XLOOKUP(E323&amp;U323&amp;F323,tab_act&amp;tab_mod&amp;tab_act1,tab_mc)*V323*T323/MGMT)</f>
        <v>0</v>
      </c>
      <c r="Y323" s="112" cm="1">
        <f t="array" ref="Y323">IF(U323="",0,_xlfn.XLOOKUP(E323&amp;U323&amp;F323,tab_act&amp;tab_mod&amp;tab_act1,tab_sor)*V323*T323/MGMT)</f>
        <v>0</v>
      </c>
      <c r="Z323" s="112" cm="1">
        <f t="array" ref="Z323">IF(U323="",0,_xlfn.XLOOKUP(E323&amp;U323&amp;F323,tab_act&amp;tab_mod&amp;tab_act1,tab_mg)*V323*T323/MGMT)</f>
        <v>0</v>
      </c>
      <c r="AA323" s="113" cm="1">
        <f t="array" ref="AA323">IF(U323="",0,IF(U323="hybrid-Sch",_xlfn.XLOOKUP(E323&amp;U323&amp;F323,tab_act&amp;tab_mod&amp;tab_act1,tab_ls)*SchLS*T323/MGMT,_xlfn.XLOOKUP(E323&amp;U323&amp;F323,tab_act&amp;tab_mod&amp;tab_act1,tab_ls)*V323*T323/MGMT))</f>
        <v>0</v>
      </c>
      <c r="AB323" s="113" cm="1">
        <f t="array" ref="AB323">IF(U323="",0,_xlfn.XLOOKUP(E323&amp;U323&amp;F323,tab_act&amp;tab_mod&amp;tab_act1,tab_hu)*V323*T323/MGMT)</f>
        <v>5.1479999999999998E-2</v>
      </c>
      <c r="AC323" s="113" cm="1">
        <f t="array" ref="AC323">IF(U323="",0,_xlfn.XLOOKUP(E323&amp;U323&amp;F323,tab_act&amp;tab_mod&amp;tab_act1,tab_mnp)*V323*T323/MGMT)</f>
        <v>0</v>
      </c>
      <c r="AD323" s="113" cm="1">
        <f t="array" ref="AD323">IF(U323="",0,_xlfn.XLOOKUP(E323&amp;U323&amp;F323,tab_act&amp;tab_mod&amp;tab_act1,tab_Psup)*V323*T323/MGMT)</f>
        <v>0</v>
      </c>
      <c r="AE323" s="113" cm="1">
        <f t="array" ref="AE323">IF(U323="",0,_xlfn.XLOOKUP(E323&amp;U323&amp;F323,tab_act&amp;tab_mod&amp;tab_act1,tab_csb1)*V323*T323/MGMT)</f>
        <v>0.51480000000000004</v>
      </c>
      <c r="AF323" s="113" cm="1">
        <f t="array" ref="AF323">IF(U323="",0,_xlfn.XLOOKUP(E323&amp;U323&amp;F323,tab_act&amp;tab_mod&amp;tab_act1,tab_csb2)*V323*T323/MGMT)</f>
        <v>0</v>
      </c>
      <c r="AG323" s="113" cm="1">
        <f t="array" ref="AG323">IF(U323="",0,_xlfn.XLOOKUP(E323&amp;U323&amp;F323,tab_act&amp;tab_mod&amp;tab_act1,tab_pdoz)*V323*T323/MGMT)</f>
        <v>0</v>
      </c>
      <c r="AH323" s="113" cm="1">
        <f t="array" ref="AH323">IF(U323="",0,_xlfn.XLOOKUP(E323&amp;U323&amp;F323,tab_act&amp;tab_mod&amp;tab_act1,tab_lns)*V323*T323/MGMT)</f>
        <v>0</v>
      </c>
      <c r="AI323" s="114">
        <f t="shared" si="27"/>
        <v>0.56628000000000001</v>
      </c>
      <c r="AJ323" s="115" cm="1">
        <f t="array" ref="AJ323">IF(U323="",0,_xlfn.XLOOKUP(E323&amp;U323&amp;F323,tab_act&amp;tab_mod&amp;tab_act1,tab_cash)*T323)</f>
        <v>0</v>
      </c>
      <c r="AK323" s="148" cm="1">
        <f t="array" ref="AK323">IF(B323="",0,IF(C323="",0,AJ323/_xlfn.XLOOKUP(B323&amp;C323,RMth&amp;RYr,RAr)))</f>
        <v>0</v>
      </c>
      <c r="AL323" s="90"/>
      <c r="AM323" s="90"/>
      <c r="AN323" s="141" t="s">
        <v>248</v>
      </c>
    </row>
    <row r="324" spans="2:40" x14ac:dyDescent="0.35">
      <c r="B324" s="50" t="s">
        <v>130</v>
      </c>
      <c r="C324" s="44">
        <v>2023</v>
      </c>
      <c r="D324" s="44" t="s">
        <v>100</v>
      </c>
      <c r="E324" s="15" t="s">
        <v>39</v>
      </c>
      <c r="F324" s="142" t="s">
        <v>117</v>
      </c>
      <c r="G324" s="15" t="s">
        <v>159</v>
      </c>
      <c r="H324" s="44"/>
      <c r="I324" s="15" t="s">
        <v>94</v>
      </c>
      <c r="J324" s="15" t="s">
        <v>94</v>
      </c>
      <c r="K324" s="15" t="s">
        <v>160</v>
      </c>
      <c r="L324" s="15" t="s">
        <v>95</v>
      </c>
      <c r="M324" s="15" t="s">
        <v>94</v>
      </c>
      <c r="N324" s="15" t="s">
        <v>67</v>
      </c>
      <c r="O324" s="15" t="s">
        <v>161</v>
      </c>
      <c r="P324" s="15" t="s">
        <v>161</v>
      </c>
      <c r="Q324" s="135"/>
      <c r="R324" s="42">
        <v>552.20000000000005</v>
      </c>
      <c r="S324" s="42">
        <f t="shared" si="25"/>
        <v>552.20000000000005</v>
      </c>
      <c r="T324" s="43">
        <f t="shared" si="26"/>
        <v>552.20000000000005</v>
      </c>
      <c r="U324" s="15" t="s">
        <v>41</v>
      </c>
      <c r="V324" s="150">
        <v>30</v>
      </c>
      <c r="W324" s="111" cm="1">
        <f t="array" ref="W324">IF(U324="",0,_xlfn.XLOOKUP(E324&amp;U324&amp;F324,tab_act&amp;tab_mod&amp;tab_act1,tab_riz)*V324*T324/MGMT)</f>
        <v>0</v>
      </c>
      <c r="X324" s="112" cm="1">
        <f t="array" ref="X324">IF(U324="",0,_xlfn.XLOOKUP(E324&amp;U324&amp;F324,tab_act&amp;tab_mod&amp;tab_act1,tab_mc)*V324*T324/MGMT)</f>
        <v>0</v>
      </c>
      <c r="Y324" s="112" cm="1">
        <f t="array" ref="Y324">IF(U324="",0,_xlfn.XLOOKUP(E324&amp;U324&amp;F324,tab_act&amp;tab_mod&amp;tab_act1,tab_sor)*V324*T324/MGMT)</f>
        <v>0</v>
      </c>
      <c r="Z324" s="112" cm="1">
        <f t="array" ref="Z324">IF(U324="",0,_xlfn.XLOOKUP(E324&amp;U324&amp;F324,tab_act&amp;tab_mod&amp;tab_act1,tab_mg)*V324*T324/MGMT)</f>
        <v>0</v>
      </c>
      <c r="AA324" s="113" cm="1">
        <f t="array" ref="AA324">IF(U324="",0,IF(U324="hybrid-Sch",_xlfn.XLOOKUP(E324&amp;U324&amp;F324,tab_act&amp;tab_mod&amp;tab_act1,tab_ls)*SchLS*T324/MGMT,_xlfn.XLOOKUP(E324&amp;U324&amp;F324,tab_act&amp;tab_mod&amp;tab_act1,tab_ls)*V324*T324/MGMT))</f>
        <v>0</v>
      </c>
      <c r="AB324" s="113" cm="1">
        <f t="array" ref="AB324">IF(U324="",0,_xlfn.XLOOKUP(E324&amp;U324&amp;F324,tab_act&amp;tab_mod&amp;tab_act1,tab_hu)*V324*T324/MGMT)</f>
        <v>0.33132</v>
      </c>
      <c r="AC324" s="113" cm="1">
        <f t="array" ref="AC324">IF(U324="",0,_xlfn.XLOOKUP(E324&amp;U324&amp;F324,tab_act&amp;tab_mod&amp;tab_act1,tab_mnp)*V324*T324/MGMT)</f>
        <v>0</v>
      </c>
      <c r="AD324" s="113" cm="1">
        <f t="array" ref="AD324">IF(U324="",0,_xlfn.XLOOKUP(E324&amp;U324&amp;F324,tab_act&amp;tab_mod&amp;tab_act1,tab_Psup)*V324*T324/MGMT)</f>
        <v>0</v>
      </c>
      <c r="AE324" s="113" cm="1">
        <f t="array" ref="AE324">IF(U324="",0,_xlfn.XLOOKUP(E324&amp;U324&amp;F324,tab_act&amp;tab_mod&amp;tab_act1,tab_csb1)*V324*T324/MGMT)</f>
        <v>3.3132000000000006</v>
      </c>
      <c r="AF324" s="113" cm="1">
        <f t="array" ref="AF324">IF(U324="",0,_xlfn.XLOOKUP(E324&amp;U324&amp;F324,tab_act&amp;tab_mod&amp;tab_act1,tab_csb2)*V324*T324/MGMT)</f>
        <v>0</v>
      </c>
      <c r="AG324" s="113" cm="1">
        <f t="array" ref="AG324">IF(U324="",0,_xlfn.XLOOKUP(E324&amp;U324&amp;F324,tab_act&amp;tab_mod&amp;tab_act1,tab_pdoz)*V324*T324/MGMT)</f>
        <v>0</v>
      </c>
      <c r="AH324" s="113" cm="1">
        <f t="array" ref="AH324">IF(U324="",0,_xlfn.XLOOKUP(E324&amp;U324&amp;F324,tab_act&amp;tab_mod&amp;tab_act1,tab_lns)*V324*T324/MGMT)</f>
        <v>0</v>
      </c>
      <c r="AI324" s="114">
        <f t="shared" si="27"/>
        <v>3.6445200000000004</v>
      </c>
      <c r="AJ324" s="115" cm="1">
        <f t="array" ref="AJ324">IF(U324="",0,_xlfn.XLOOKUP(E324&amp;U324&amp;F324,tab_act&amp;tab_mod&amp;tab_act1,tab_cash)*T324)</f>
        <v>0</v>
      </c>
      <c r="AK324" s="148" cm="1">
        <f t="array" ref="AK324">IF(B324="",0,IF(C324="",0,AJ324/_xlfn.XLOOKUP(B324&amp;C324,RMth&amp;RYr,RAr)))</f>
        <v>0</v>
      </c>
      <c r="AL324" s="90"/>
      <c r="AM324" s="90"/>
      <c r="AN324" s="141" t="s">
        <v>248</v>
      </c>
    </row>
    <row r="325" spans="2:40" x14ac:dyDescent="0.35">
      <c r="B325" s="50" t="s">
        <v>130</v>
      </c>
      <c r="C325" s="44">
        <v>2023</v>
      </c>
      <c r="D325" s="44" t="s">
        <v>100</v>
      </c>
      <c r="E325" s="15" t="s">
        <v>39</v>
      </c>
      <c r="F325" s="142" t="s">
        <v>117</v>
      </c>
      <c r="G325" s="15" t="s">
        <v>159</v>
      </c>
      <c r="H325" s="44"/>
      <c r="I325" s="15" t="s">
        <v>94</v>
      </c>
      <c r="J325" s="15" t="s">
        <v>94</v>
      </c>
      <c r="K325" s="15" t="s">
        <v>160</v>
      </c>
      <c r="L325" s="15" t="s">
        <v>95</v>
      </c>
      <c r="M325" s="15" t="s">
        <v>94</v>
      </c>
      <c r="N325" s="15" t="s">
        <v>67</v>
      </c>
      <c r="O325" s="15" t="s">
        <v>161</v>
      </c>
      <c r="P325" s="15" t="s">
        <v>166</v>
      </c>
      <c r="Q325" s="135"/>
      <c r="R325" s="42">
        <v>135.30000000000001</v>
      </c>
      <c r="S325" s="42">
        <f t="shared" si="25"/>
        <v>135.30000000000001</v>
      </c>
      <c r="T325" s="43">
        <f t="shared" si="26"/>
        <v>135.30000000000001</v>
      </c>
      <c r="U325" s="15" t="s">
        <v>41</v>
      </c>
      <c r="V325" s="150">
        <v>30</v>
      </c>
      <c r="W325" s="111" cm="1">
        <f t="array" ref="W325">IF(U325="",0,_xlfn.XLOOKUP(E325&amp;U325&amp;F325,tab_act&amp;tab_mod&amp;tab_act1,tab_riz)*V325*T325/MGMT)</f>
        <v>0</v>
      </c>
      <c r="X325" s="112" cm="1">
        <f t="array" ref="X325">IF(U325="",0,_xlfn.XLOOKUP(E325&amp;U325&amp;F325,tab_act&amp;tab_mod&amp;tab_act1,tab_mc)*V325*T325/MGMT)</f>
        <v>0</v>
      </c>
      <c r="Y325" s="112" cm="1">
        <f t="array" ref="Y325">IF(U325="",0,_xlfn.XLOOKUP(E325&amp;U325&amp;F325,tab_act&amp;tab_mod&amp;tab_act1,tab_sor)*V325*T325/MGMT)</f>
        <v>0</v>
      </c>
      <c r="Z325" s="112" cm="1">
        <f t="array" ref="Z325">IF(U325="",0,_xlfn.XLOOKUP(E325&amp;U325&amp;F325,tab_act&amp;tab_mod&amp;tab_act1,tab_mg)*V325*T325/MGMT)</f>
        <v>0</v>
      </c>
      <c r="AA325" s="113" cm="1">
        <f t="array" ref="AA325">IF(U325="",0,IF(U325="hybrid-Sch",_xlfn.XLOOKUP(E325&amp;U325&amp;F325,tab_act&amp;tab_mod&amp;tab_act1,tab_ls)*SchLS*T325/MGMT,_xlfn.XLOOKUP(E325&amp;U325&amp;F325,tab_act&amp;tab_mod&amp;tab_act1,tab_ls)*V325*T325/MGMT))</f>
        <v>0</v>
      </c>
      <c r="AB325" s="113" cm="1">
        <f t="array" ref="AB325">IF(U325="",0,_xlfn.XLOOKUP(E325&amp;U325&amp;F325,tab_act&amp;tab_mod&amp;tab_act1,tab_hu)*V325*T325/MGMT)</f>
        <v>8.1180000000000002E-2</v>
      </c>
      <c r="AC325" s="113" cm="1">
        <f t="array" ref="AC325">IF(U325="",0,_xlfn.XLOOKUP(E325&amp;U325&amp;F325,tab_act&amp;tab_mod&amp;tab_act1,tab_mnp)*V325*T325/MGMT)</f>
        <v>0</v>
      </c>
      <c r="AD325" s="113" cm="1">
        <f t="array" ref="AD325">IF(U325="",0,_xlfn.XLOOKUP(E325&amp;U325&amp;F325,tab_act&amp;tab_mod&amp;tab_act1,tab_Psup)*V325*T325/MGMT)</f>
        <v>0</v>
      </c>
      <c r="AE325" s="113" cm="1">
        <f t="array" ref="AE325">IF(U325="",0,_xlfn.XLOOKUP(E325&amp;U325&amp;F325,tab_act&amp;tab_mod&amp;tab_act1,tab_csb1)*V325*T325/MGMT)</f>
        <v>0.81180000000000008</v>
      </c>
      <c r="AF325" s="113" cm="1">
        <f t="array" ref="AF325">IF(U325="",0,_xlfn.XLOOKUP(E325&amp;U325&amp;F325,tab_act&amp;tab_mod&amp;tab_act1,tab_csb2)*V325*T325/MGMT)</f>
        <v>0</v>
      </c>
      <c r="AG325" s="113" cm="1">
        <f t="array" ref="AG325">IF(U325="",0,_xlfn.XLOOKUP(E325&amp;U325&amp;F325,tab_act&amp;tab_mod&amp;tab_act1,tab_pdoz)*V325*T325/MGMT)</f>
        <v>0</v>
      </c>
      <c r="AH325" s="113" cm="1">
        <f t="array" ref="AH325">IF(U325="",0,_xlfn.XLOOKUP(E325&amp;U325&amp;F325,tab_act&amp;tab_mod&amp;tab_act1,tab_lns)*V325*T325/MGMT)</f>
        <v>0</v>
      </c>
      <c r="AI325" s="114">
        <f t="shared" si="27"/>
        <v>0.89298000000000011</v>
      </c>
      <c r="AJ325" s="115" cm="1">
        <f t="array" ref="AJ325">IF(U325="",0,_xlfn.XLOOKUP(E325&amp;U325&amp;F325,tab_act&amp;tab_mod&amp;tab_act1,tab_cash)*T325)</f>
        <v>0</v>
      </c>
      <c r="AK325" s="148" cm="1">
        <f t="array" ref="AK325">IF(B325="",0,IF(C325="",0,AJ325/_xlfn.XLOOKUP(B325&amp;C325,RMth&amp;RYr,RAr)))</f>
        <v>0</v>
      </c>
      <c r="AL325" s="90"/>
      <c r="AM325" s="90"/>
      <c r="AN325" s="141" t="s">
        <v>248</v>
      </c>
    </row>
    <row r="326" spans="2:40" x14ac:dyDescent="0.35">
      <c r="B326" s="50" t="s">
        <v>130</v>
      </c>
      <c r="C326" s="44">
        <v>2023</v>
      </c>
      <c r="D326" s="44" t="s">
        <v>100</v>
      </c>
      <c r="E326" s="15" t="s">
        <v>39</v>
      </c>
      <c r="F326" s="142" t="s">
        <v>117</v>
      </c>
      <c r="G326" s="15" t="s">
        <v>159</v>
      </c>
      <c r="H326" s="44"/>
      <c r="I326" s="15" t="s">
        <v>94</v>
      </c>
      <c r="J326" s="15" t="s">
        <v>94</v>
      </c>
      <c r="K326" s="15" t="s">
        <v>160</v>
      </c>
      <c r="L326" s="15" t="s">
        <v>95</v>
      </c>
      <c r="M326" s="15" t="s">
        <v>94</v>
      </c>
      <c r="N326" s="15" t="s">
        <v>67</v>
      </c>
      <c r="O326" s="15" t="s">
        <v>161</v>
      </c>
      <c r="P326" s="15" t="s">
        <v>167</v>
      </c>
      <c r="Q326" s="135"/>
      <c r="R326" s="42">
        <v>103.4</v>
      </c>
      <c r="S326" s="42">
        <f t="shared" si="25"/>
        <v>103.4</v>
      </c>
      <c r="T326" s="43">
        <f t="shared" si="26"/>
        <v>103.4</v>
      </c>
      <c r="U326" s="15" t="s">
        <v>41</v>
      </c>
      <c r="V326" s="150">
        <v>30</v>
      </c>
      <c r="W326" s="111" cm="1">
        <f t="array" ref="W326">IF(U326="",0,_xlfn.XLOOKUP(E326&amp;U326&amp;F326,tab_act&amp;tab_mod&amp;tab_act1,tab_riz)*V326*T326/MGMT)</f>
        <v>0</v>
      </c>
      <c r="X326" s="112" cm="1">
        <f t="array" ref="X326">IF(U326="",0,_xlfn.XLOOKUP(E326&amp;U326&amp;F326,tab_act&amp;tab_mod&amp;tab_act1,tab_mc)*V326*T326/MGMT)</f>
        <v>0</v>
      </c>
      <c r="Y326" s="112" cm="1">
        <f t="array" ref="Y326">IF(U326="",0,_xlfn.XLOOKUP(E326&amp;U326&amp;F326,tab_act&amp;tab_mod&amp;tab_act1,tab_sor)*V326*T326/MGMT)</f>
        <v>0</v>
      </c>
      <c r="Z326" s="112" cm="1">
        <f t="array" ref="Z326">IF(U326="",0,_xlfn.XLOOKUP(E326&amp;U326&amp;F326,tab_act&amp;tab_mod&amp;tab_act1,tab_mg)*V326*T326/MGMT)</f>
        <v>0</v>
      </c>
      <c r="AA326" s="113" cm="1">
        <f t="array" ref="AA326">IF(U326="",0,IF(U326="hybrid-Sch",_xlfn.XLOOKUP(E326&amp;U326&amp;F326,tab_act&amp;tab_mod&amp;tab_act1,tab_ls)*SchLS*T326/MGMT,_xlfn.XLOOKUP(E326&amp;U326&amp;F326,tab_act&amp;tab_mod&amp;tab_act1,tab_ls)*V326*T326/MGMT))</f>
        <v>0</v>
      </c>
      <c r="AB326" s="113" cm="1">
        <f t="array" ref="AB326">IF(U326="",0,_xlfn.XLOOKUP(E326&amp;U326&amp;F326,tab_act&amp;tab_mod&amp;tab_act1,tab_hu)*V326*T326/MGMT)</f>
        <v>6.2039999999999998E-2</v>
      </c>
      <c r="AC326" s="113" cm="1">
        <f t="array" ref="AC326">IF(U326="",0,_xlfn.XLOOKUP(E326&amp;U326&amp;F326,tab_act&amp;tab_mod&amp;tab_act1,tab_mnp)*V326*T326/MGMT)</f>
        <v>0</v>
      </c>
      <c r="AD326" s="113" cm="1">
        <f t="array" ref="AD326">IF(U326="",0,_xlfn.XLOOKUP(E326&amp;U326&amp;F326,tab_act&amp;tab_mod&amp;tab_act1,tab_Psup)*V326*T326/MGMT)</f>
        <v>0</v>
      </c>
      <c r="AE326" s="113" cm="1">
        <f t="array" ref="AE326">IF(U326="",0,_xlfn.XLOOKUP(E326&amp;U326&amp;F326,tab_act&amp;tab_mod&amp;tab_act1,tab_csb1)*V326*T326/MGMT)</f>
        <v>0.62039999999999995</v>
      </c>
      <c r="AF326" s="113" cm="1">
        <f t="array" ref="AF326">IF(U326="",0,_xlfn.XLOOKUP(E326&amp;U326&amp;F326,tab_act&amp;tab_mod&amp;tab_act1,tab_csb2)*V326*T326/MGMT)</f>
        <v>0</v>
      </c>
      <c r="AG326" s="113" cm="1">
        <f t="array" ref="AG326">IF(U326="",0,_xlfn.XLOOKUP(E326&amp;U326&amp;F326,tab_act&amp;tab_mod&amp;tab_act1,tab_pdoz)*V326*T326/MGMT)</f>
        <v>0</v>
      </c>
      <c r="AH326" s="113" cm="1">
        <f t="array" ref="AH326">IF(U326="",0,_xlfn.XLOOKUP(E326&amp;U326&amp;F326,tab_act&amp;tab_mod&amp;tab_act1,tab_lns)*V326*T326/MGMT)</f>
        <v>0</v>
      </c>
      <c r="AI326" s="114">
        <f t="shared" si="27"/>
        <v>0.68243999999999994</v>
      </c>
      <c r="AJ326" s="115" cm="1">
        <f t="array" ref="AJ326">IF(U326="",0,_xlfn.XLOOKUP(E326&amp;U326&amp;F326,tab_act&amp;tab_mod&amp;tab_act1,tab_cash)*T326)</f>
        <v>0</v>
      </c>
      <c r="AK326" s="148" cm="1">
        <f t="array" ref="AK326">IF(B326="",0,IF(C326="",0,AJ326/_xlfn.XLOOKUP(B326&amp;C326,RMth&amp;RYr,RAr)))</f>
        <v>0</v>
      </c>
      <c r="AL326" s="90"/>
      <c r="AM326" s="90"/>
      <c r="AN326" s="141" t="s">
        <v>248</v>
      </c>
    </row>
    <row r="327" spans="2:40" x14ac:dyDescent="0.35">
      <c r="B327" s="50" t="s">
        <v>130</v>
      </c>
      <c r="C327" s="44">
        <v>2023</v>
      </c>
      <c r="D327" s="44" t="s">
        <v>100</v>
      </c>
      <c r="E327" s="15" t="s">
        <v>39</v>
      </c>
      <c r="F327" s="142" t="s">
        <v>117</v>
      </c>
      <c r="G327" s="15" t="s">
        <v>159</v>
      </c>
      <c r="H327" s="44"/>
      <c r="I327" s="15" t="s">
        <v>94</v>
      </c>
      <c r="J327" s="15" t="s">
        <v>94</v>
      </c>
      <c r="K327" s="15" t="s">
        <v>160</v>
      </c>
      <c r="L327" s="15" t="s">
        <v>95</v>
      </c>
      <c r="M327" s="15" t="s">
        <v>94</v>
      </c>
      <c r="N327" s="15" t="s">
        <v>67</v>
      </c>
      <c r="O327" s="15" t="s">
        <v>161</v>
      </c>
      <c r="P327" s="15" t="s">
        <v>168</v>
      </c>
      <c r="Q327" s="135"/>
      <c r="R327" s="42">
        <v>46.2</v>
      </c>
      <c r="S327" s="42">
        <f t="shared" si="25"/>
        <v>46.2</v>
      </c>
      <c r="T327" s="43">
        <f t="shared" si="26"/>
        <v>46.2</v>
      </c>
      <c r="U327" s="15" t="s">
        <v>41</v>
      </c>
      <c r="V327" s="150">
        <v>30</v>
      </c>
      <c r="W327" s="111" cm="1">
        <f t="array" ref="W327">IF(U327="",0,_xlfn.XLOOKUP(E327&amp;U327&amp;F327,tab_act&amp;tab_mod&amp;tab_act1,tab_riz)*V327*T327/MGMT)</f>
        <v>0</v>
      </c>
      <c r="X327" s="112" cm="1">
        <f t="array" ref="X327">IF(U327="",0,_xlfn.XLOOKUP(E327&amp;U327&amp;F327,tab_act&amp;tab_mod&amp;tab_act1,tab_mc)*V327*T327/MGMT)</f>
        <v>0</v>
      </c>
      <c r="Y327" s="112" cm="1">
        <f t="array" ref="Y327">IF(U327="",0,_xlfn.XLOOKUP(E327&amp;U327&amp;F327,tab_act&amp;tab_mod&amp;tab_act1,tab_sor)*V327*T327/MGMT)</f>
        <v>0</v>
      </c>
      <c r="Z327" s="112" cm="1">
        <f t="array" ref="Z327">IF(U327="",0,_xlfn.XLOOKUP(E327&amp;U327&amp;F327,tab_act&amp;tab_mod&amp;tab_act1,tab_mg)*V327*T327/MGMT)</f>
        <v>0</v>
      </c>
      <c r="AA327" s="113" cm="1">
        <f t="array" ref="AA327">IF(U327="",0,IF(U327="hybrid-Sch",_xlfn.XLOOKUP(E327&amp;U327&amp;F327,tab_act&amp;tab_mod&amp;tab_act1,tab_ls)*SchLS*T327/MGMT,_xlfn.XLOOKUP(E327&amp;U327&amp;F327,tab_act&amp;tab_mod&amp;tab_act1,tab_ls)*V327*T327/MGMT))</f>
        <v>0</v>
      </c>
      <c r="AB327" s="113" cm="1">
        <f t="array" ref="AB327">IF(U327="",0,_xlfn.XLOOKUP(E327&amp;U327&amp;F327,tab_act&amp;tab_mod&amp;tab_act1,tab_hu)*V327*T327/MGMT)</f>
        <v>2.7720000000000002E-2</v>
      </c>
      <c r="AC327" s="113" cm="1">
        <f t="array" ref="AC327">IF(U327="",0,_xlfn.XLOOKUP(E327&amp;U327&amp;F327,tab_act&amp;tab_mod&amp;tab_act1,tab_mnp)*V327*T327/MGMT)</f>
        <v>0</v>
      </c>
      <c r="AD327" s="113" cm="1">
        <f t="array" ref="AD327">IF(U327="",0,_xlfn.XLOOKUP(E327&amp;U327&amp;F327,tab_act&amp;tab_mod&amp;tab_act1,tab_Psup)*V327*T327/MGMT)</f>
        <v>0</v>
      </c>
      <c r="AE327" s="113" cm="1">
        <f t="array" ref="AE327">IF(U327="",0,_xlfn.XLOOKUP(E327&amp;U327&amp;F327,tab_act&amp;tab_mod&amp;tab_act1,tab_csb1)*V327*T327/MGMT)</f>
        <v>0.2772</v>
      </c>
      <c r="AF327" s="113" cm="1">
        <f t="array" ref="AF327">IF(U327="",0,_xlfn.XLOOKUP(E327&amp;U327&amp;F327,tab_act&amp;tab_mod&amp;tab_act1,tab_csb2)*V327*T327/MGMT)</f>
        <v>0</v>
      </c>
      <c r="AG327" s="113" cm="1">
        <f t="array" ref="AG327">IF(U327="",0,_xlfn.XLOOKUP(E327&amp;U327&amp;F327,tab_act&amp;tab_mod&amp;tab_act1,tab_pdoz)*V327*T327/MGMT)</f>
        <v>0</v>
      </c>
      <c r="AH327" s="113" cm="1">
        <f t="array" ref="AH327">IF(U327="",0,_xlfn.XLOOKUP(E327&amp;U327&amp;F327,tab_act&amp;tab_mod&amp;tab_act1,tab_lns)*V327*T327/MGMT)</f>
        <v>0</v>
      </c>
      <c r="AI327" s="114">
        <f t="shared" si="27"/>
        <v>0.30492000000000002</v>
      </c>
      <c r="AJ327" s="115" cm="1">
        <f t="array" ref="AJ327">IF(U327="",0,_xlfn.XLOOKUP(E327&amp;U327&amp;F327,tab_act&amp;tab_mod&amp;tab_act1,tab_cash)*T327)</f>
        <v>0</v>
      </c>
      <c r="AK327" s="148" cm="1">
        <f t="array" ref="AK327">IF(B327="",0,IF(C327="",0,AJ327/_xlfn.XLOOKUP(B327&amp;C327,RMth&amp;RYr,RAr)))</f>
        <v>0</v>
      </c>
      <c r="AL327" s="90"/>
      <c r="AM327" s="90"/>
      <c r="AN327" s="141" t="s">
        <v>248</v>
      </c>
    </row>
    <row r="328" spans="2:40" x14ac:dyDescent="0.35">
      <c r="B328" s="50" t="s">
        <v>130</v>
      </c>
      <c r="C328" s="44">
        <v>2023</v>
      </c>
      <c r="D328" s="44" t="s">
        <v>100</v>
      </c>
      <c r="E328" s="15" t="s">
        <v>39</v>
      </c>
      <c r="F328" s="142" t="s">
        <v>117</v>
      </c>
      <c r="G328" s="15" t="s">
        <v>159</v>
      </c>
      <c r="H328" s="44"/>
      <c r="I328" s="15" t="s">
        <v>94</v>
      </c>
      <c r="J328" s="15" t="s">
        <v>94</v>
      </c>
      <c r="K328" s="15" t="s">
        <v>160</v>
      </c>
      <c r="L328" s="15" t="s">
        <v>95</v>
      </c>
      <c r="M328" s="15" t="s">
        <v>94</v>
      </c>
      <c r="N328" s="15" t="s">
        <v>67</v>
      </c>
      <c r="O328" s="15" t="s">
        <v>161</v>
      </c>
      <c r="P328" s="15" t="s">
        <v>169</v>
      </c>
      <c r="Q328" s="135"/>
      <c r="R328" s="42">
        <v>170.5</v>
      </c>
      <c r="S328" s="42">
        <f t="shared" si="25"/>
        <v>170.5</v>
      </c>
      <c r="T328" s="43">
        <f t="shared" si="26"/>
        <v>170.5</v>
      </c>
      <c r="U328" s="15" t="s">
        <v>41</v>
      </c>
      <c r="V328" s="150">
        <v>30</v>
      </c>
      <c r="W328" s="111" cm="1">
        <f t="array" ref="W328">IF(U328="",0,_xlfn.XLOOKUP(E328&amp;U328&amp;F328,tab_act&amp;tab_mod&amp;tab_act1,tab_riz)*V328*T328/MGMT)</f>
        <v>0</v>
      </c>
      <c r="X328" s="112" cm="1">
        <f t="array" ref="X328">IF(U328="",0,_xlfn.XLOOKUP(E328&amp;U328&amp;F328,tab_act&amp;tab_mod&amp;tab_act1,tab_mc)*V328*T328/MGMT)</f>
        <v>0</v>
      </c>
      <c r="Y328" s="112" cm="1">
        <f t="array" ref="Y328">IF(U328="",0,_xlfn.XLOOKUP(E328&amp;U328&amp;F328,tab_act&amp;tab_mod&amp;tab_act1,tab_sor)*V328*T328/MGMT)</f>
        <v>0</v>
      </c>
      <c r="Z328" s="112" cm="1">
        <f t="array" ref="Z328">IF(U328="",0,_xlfn.XLOOKUP(E328&amp;U328&amp;F328,tab_act&amp;tab_mod&amp;tab_act1,tab_mg)*V328*T328/MGMT)</f>
        <v>0</v>
      </c>
      <c r="AA328" s="113" cm="1">
        <f t="array" ref="AA328">IF(U328="",0,IF(U328="hybrid-Sch",_xlfn.XLOOKUP(E328&amp;U328&amp;F328,tab_act&amp;tab_mod&amp;tab_act1,tab_ls)*SchLS*T328/MGMT,_xlfn.XLOOKUP(E328&amp;U328&amp;F328,tab_act&amp;tab_mod&amp;tab_act1,tab_ls)*V328*T328/MGMT))</f>
        <v>0</v>
      </c>
      <c r="AB328" s="113" cm="1">
        <f t="array" ref="AB328">IF(U328="",0,_xlfn.XLOOKUP(E328&amp;U328&amp;F328,tab_act&amp;tab_mod&amp;tab_act1,tab_hu)*V328*T328/MGMT)</f>
        <v>0.1023</v>
      </c>
      <c r="AC328" s="113" cm="1">
        <f t="array" ref="AC328">IF(U328="",0,_xlfn.XLOOKUP(E328&amp;U328&amp;F328,tab_act&amp;tab_mod&amp;tab_act1,tab_mnp)*V328*T328/MGMT)</f>
        <v>0</v>
      </c>
      <c r="AD328" s="113" cm="1">
        <f t="array" ref="AD328">IF(U328="",0,_xlfn.XLOOKUP(E328&amp;U328&amp;F328,tab_act&amp;tab_mod&amp;tab_act1,tab_Psup)*V328*T328/MGMT)</f>
        <v>0</v>
      </c>
      <c r="AE328" s="113" cm="1">
        <f t="array" ref="AE328">IF(U328="",0,_xlfn.XLOOKUP(E328&amp;U328&amp;F328,tab_act&amp;tab_mod&amp;tab_act1,tab_csb1)*V328*T328/MGMT)</f>
        <v>1.0229999999999999</v>
      </c>
      <c r="AF328" s="113" cm="1">
        <f t="array" ref="AF328">IF(U328="",0,_xlfn.XLOOKUP(E328&amp;U328&amp;F328,tab_act&amp;tab_mod&amp;tab_act1,tab_csb2)*V328*T328/MGMT)</f>
        <v>0</v>
      </c>
      <c r="AG328" s="113" cm="1">
        <f t="array" ref="AG328">IF(U328="",0,_xlfn.XLOOKUP(E328&amp;U328&amp;F328,tab_act&amp;tab_mod&amp;tab_act1,tab_pdoz)*V328*T328/MGMT)</f>
        <v>0</v>
      </c>
      <c r="AH328" s="113" cm="1">
        <f t="array" ref="AH328">IF(U328="",0,_xlfn.XLOOKUP(E328&amp;U328&amp;F328,tab_act&amp;tab_mod&amp;tab_act1,tab_lns)*V328*T328/MGMT)</f>
        <v>0</v>
      </c>
      <c r="AI328" s="114">
        <f t="shared" si="27"/>
        <v>1.1253</v>
      </c>
      <c r="AJ328" s="115" cm="1">
        <f t="array" ref="AJ328">IF(U328="",0,_xlfn.XLOOKUP(E328&amp;U328&amp;F328,tab_act&amp;tab_mod&amp;tab_act1,tab_cash)*T328)</f>
        <v>0</v>
      </c>
      <c r="AK328" s="148" cm="1">
        <f t="array" ref="AK328">IF(B328="",0,IF(C328="",0,AJ328/_xlfn.XLOOKUP(B328&amp;C328,RMth&amp;RYr,RAr)))</f>
        <v>0</v>
      </c>
      <c r="AL328" s="90"/>
      <c r="AM328" s="90"/>
      <c r="AN328" s="141" t="s">
        <v>248</v>
      </c>
    </row>
    <row r="329" spans="2:40" x14ac:dyDescent="0.35">
      <c r="B329" s="50" t="s">
        <v>130</v>
      </c>
      <c r="C329" s="44">
        <v>2023</v>
      </c>
      <c r="D329" s="44" t="s">
        <v>100</v>
      </c>
      <c r="E329" s="15" t="s">
        <v>39</v>
      </c>
      <c r="F329" s="142" t="s">
        <v>117</v>
      </c>
      <c r="G329" s="15" t="s">
        <v>159</v>
      </c>
      <c r="H329" s="44"/>
      <c r="I329" s="15" t="s">
        <v>94</v>
      </c>
      <c r="J329" s="15" t="s">
        <v>94</v>
      </c>
      <c r="K329" s="15" t="s">
        <v>160</v>
      </c>
      <c r="L329" s="15" t="s">
        <v>95</v>
      </c>
      <c r="M329" s="15" t="s">
        <v>94</v>
      </c>
      <c r="N329" s="15" t="s">
        <v>67</v>
      </c>
      <c r="O329" s="15" t="s">
        <v>161</v>
      </c>
      <c r="P329" s="15" t="s">
        <v>170</v>
      </c>
      <c r="Q329" s="135"/>
      <c r="R329" s="42">
        <v>303.60000000000002</v>
      </c>
      <c r="S329" s="42">
        <f t="shared" si="25"/>
        <v>303.60000000000002</v>
      </c>
      <c r="T329" s="43">
        <f t="shared" si="26"/>
        <v>303.60000000000002</v>
      </c>
      <c r="U329" s="15" t="s">
        <v>41</v>
      </c>
      <c r="V329" s="150">
        <v>30</v>
      </c>
      <c r="W329" s="111" cm="1">
        <f t="array" ref="W329">IF(U329="",0,_xlfn.XLOOKUP(E329&amp;U329&amp;F329,tab_act&amp;tab_mod&amp;tab_act1,tab_riz)*V329*T329/MGMT)</f>
        <v>0</v>
      </c>
      <c r="X329" s="112" cm="1">
        <f t="array" ref="X329">IF(U329="",0,_xlfn.XLOOKUP(E329&amp;U329&amp;F329,tab_act&amp;tab_mod&amp;tab_act1,tab_mc)*V329*T329/MGMT)</f>
        <v>0</v>
      </c>
      <c r="Y329" s="112" cm="1">
        <f t="array" ref="Y329">IF(U329="",0,_xlfn.XLOOKUP(E329&amp;U329&amp;F329,tab_act&amp;tab_mod&amp;tab_act1,tab_sor)*V329*T329/MGMT)</f>
        <v>0</v>
      </c>
      <c r="Z329" s="112" cm="1">
        <f t="array" ref="Z329">IF(U329="",0,_xlfn.XLOOKUP(E329&amp;U329&amp;F329,tab_act&amp;tab_mod&amp;tab_act1,tab_mg)*V329*T329/MGMT)</f>
        <v>0</v>
      </c>
      <c r="AA329" s="113" cm="1">
        <f t="array" ref="AA329">IF(U329="",0,IF(U329="hybrid-Sch",_xlfn.XLOOKUP(E329&amp;U329&amp;F329,tab_act&amp;tab_mod&amp;tab_act1,tab_ls)*SchLS*T329/MGMT,_xlfn.XLOOKUP(E329&amp;U329&amp;F329,tab_act&amp;tab_mod&amp;tab_act1,tab_ls)*V329*T329/MGMT))</f>
        <v>0</v>
      </c>
      <c r="AB329" s="113" cm="1">
        <f t="array" ref="AB329">IF(U329="",0,_xlfn.XLOOKUP(E329&amp;U329&amp;F329,tab_act&amp;tab_mod&amp;tab_act1,tab_hu)*V329*T329/MGMT)</f>
        <v>0.18215999999999999</v>
      </c>
      <c r="AC329" s="113" cm="1">
        <f t="array" ref="AC329">IF(U329="",0,_xlfn.XLOOKUP(E329&amp;U329&amp;F329,tab_act&amp;tab_mod&amp;tab_act1,tab_mnp)*V329*T329/MGMT)</f>
        <v>0</v>
      </c>
      <c r="AD329" s="113" cm="1">
        <f t="array" ref="AD329">IF(U329="",0,_xlfn.XLOOKUP(E329&amp;U329&amp;F329,tab_act&amp;tab_mod&amp;tab_act1,tab_Psup)*V329*T329/MGMT)</f>
        <v>0</v>
      </c>
      <c r="AE329" s="113" cm="1">
        <f t="array" ref="AE329">IF(U329="",0,_xlfn.XLOOKUP(E329&amp;U329&amp;F329,tab_act&amp;tab_mod&amp;tab_act1,tab_csb1)*V329*T329/MGMT)</f>
        <v>1.8216000000000003</v>
      </c>
      <c r="AF329" s="113" cm="1">
        <f t="array" ref="AF329">IF(U329="",0,_xlfn.XLOOKUP(E329&amp;U329&amp;F329,tab_act&amp;tab_mod&amp;tab_act1,tab_csb2)*V329*T329/MGMT)</f>
        <v>0</v>
      </c>
      <c r="AG329" s="113" cm="1">
        <f t="array" ref="AG329">IF(U329="",0,_xlfn.XLOOKUP(E329&amp;U329&amp;F329,tab_act&amp;tab_mod&amp;tab_act1,tab_pdoz)*V329*T329/MGMT)</f>
        <v>0</v>
      </c>
      <c r="AH329" s="113" cm="1">
        <f t="array" ref="AH329">IF(U329="",0,_xlfn.XLOOKUP(E329&amp;U329&amp;F329,tab_act&amp;tab_mod&amp;tab_act1,tab_lns)*V329*T329/MGMT)</f>
        <v>0</v>
      </c>
      <c r="AI329" s="114">
        <f t="shared" si="27"/>
        <v>2.0037600000000002</v>
      </c>
      <c r="AJ329" s="115" cm="1">
        <f t="array" ref="AJ329">IF(U329="",0,_xlfn.XLOOKUP(E329&amp;U329&amp;F329,tab_act&amp;tab_mod&amp;tab_act1,tab_cash)*T329)</f>
        <v>0</v>
      </c>
      <c r="AK329" s="148" cm="1">
        <f t="array" ref="AK329">IF(B329="",0,IF(C329="",0,AJ329/_xlfn.XLOOKUP(B329&amp;C329,RMth&amp;RYr,RAr)))</f>
        <v>0</v>
      </c>
      <c r="AL329" s="90"/>
      <c r="AM329" s="90"/>
      <c r="AN329" s="141" t="s">
        <v>248</v>
      </c>
    </row>
    <row r="330" spans="2:40" x14ac:dyDescent="0.35">
      <c r="B330" s="50" t="s">
        <v>130</v>
      </c>
      <c r="C330" s="44">
        <v>2023</v>
      </c>
      <c r="D330" s="44" t="s">
        <v>100</v>
      </c>
      <c r="E330" s="15" t="s">
        <v>39</v>
      </c>
      <c r="F330" s="142" t="s">
        <v>117</v>
      </c>
      <c r="G330" s="15" t="s">
        <v>159</v>
      </c>
      <c r="H330" s="44"/>
      <c r="I330" s="15" t="s">
        <v>94</v>
      </c>
      <c r="J330" s="15" t="s">
        <v>94</v>
      </c>
      <c r="K330" s="15" t="s">
        <v>160</v>
      </c>
      <c r="L330" s="15" t="s">
        <v>95</v>
      </c>
      <c r="M330" s="15" t="s">
        <v>94</v>
      </c>
      <c r="N330" s="15" t="s">
        <v>67</v>
      </c>
      <c r="O330" s="15" t="s">
        <v>161</v>
      </c>
      <c r="P330" s="15" t="s">
        <v>171</v>
      </c>
      <c r="Q330" s="135"/>
      <c r="R330" s="42">
        <v>58.3</v>
      </c>
      <c r="S330" s="42">
        <f t="shared" si="25"/>
        <v>58.3</v>
      </c>
      <c r="T330" s="43">
        <f t="shared" si="26"/>
        <v>58.3</v>
      </c>
      <c r="U330" s="15" t="s">
        <v>41</v>
      </c>
      <c r="V330" s="150">
        <v>30</v>
      </c>
      <c r="W330" s="111" cm="1">
        <f t="array" ref="W330">IF(U330="",0,_xlfn.XLOOKUP(E330&amp;U330&amp;F330,tab_act&amp;tab_mod&amp;tab_act1,tab_riz)*V330*T330/MGMT)</f>
        <v>0</v>
      </c>
      <c r="X330" s="112" cm="1">
        <f t="array" ref="X330">IF(U330="",0,_xlfn.XLOOKUP(E330&amp;U330&amp;F330,tab_act&amp;tab_mod&amp;tab_act1,tab_mc)*V330*T330/MGMT)</f>
        <v>0</v>
      </c>
      <c r="Y330" s="112" cm="1">
        <f t="array" ref="Y330">IF(U330="",0,_xlfn.XLOOKUP(E330&amp;U330&amp;F330,tab_act&amp;tab_mod&amp;tab_act1,tab_sor)*V330*T330/MGMT)</f>
        <v>0</v>
      </c>
      <c r="Z330" s="112" cm="1">
        <f t="array" ref="Z330">IF(U330="",0,_xlfn.XLOOKUP(E330&amp;U330&amp;F330,tab_act&amp;tab_mod&amp;tab_act1,tab_mg)*V330*T330/MGMT)</f>
        <v>0</v>
      </c>
      <c r="AA330" s="113" cm="1">
        <f t="array" ref="AA330">IF(U330="",0,IF(U330="hybrid-Sch",_xlfn.XLOOKUP(E330&amp;U330&amp;F330,tab_act&amp;tab_mod&amp;tab_act1,tab_ls)*SchLS*T330/MGMT,_xlfn.XLOOKUP(E330&amp;U330&amp;F330,tab_act&amp;tab_mod&amp;tab_act1,tab_ls)*V330*T330/MGMT))</f>
        <v>0</v>
      </c>
      <c r="AB330" s="113" cm="1">
        <f t="array" ref="AB330">IF(U330="",0,_xlfn.XLOOKUP(E330&amp;U330&amp;F330,tab_act&amp;tab_mod&amp;tab_act1,tab_hu)*V330*T330/MGMT)</f>
        <v>3.4979999999999997E-2</v>
      </c>
      <c r="AC330" s="113" cm="1">
        <f t="array" ref="AC330">IF(U330="",0,_xlfn.XLOOKUP(E330&amp;U330&amp;F330,tab_act&amp;tab_mod&amp;tab_act1,tab_mnp)*V330*T330/MGMT)</f>
        <v>0</v>
      </c>
      <c r="AD330" s="113" cm="1">
        <f t="array" ref="AD330">IF(U330="",0,_xlfn.XLOOKUP(E330&amp;U330&amp;F330,tab_act&amp;tab_mod&amp;tab_act1,tab_Psup)*V330*T330/MGMT)</f>
        <v>0</v>
      </c>
      <c r="AE330" s="113" cm="1">
        <f t="array" ref="AE330">IF(U330="",0,_xlfn.XLOOKUP(E330&amp;U330&amp;F330,tab_act&amp;tab_mod&amp;tab_act1,tab_csb1)*V330*T330/MGMT)</f>
        <v>0.3498</v>
      </c>
      <c r="AF330" s="113" cm="1">
        <f t="array" ref="AF330">IF(U330="",0,_xlfn.XLOOKUP(E330&amp;U330&amp;F330,tab_act&amp;tab_mod&amp;tab_act1,tab_csb2)*V330*T330/MGMT)</f>
        <v>0</v>
      </c>
      <c r="AG330" s="113" cm="1">
        <f t="array" ref="AG330">IF(U330="",0,_xlfn.XLOOKUP(E330&amp;U330&amp;F330,tab_act&amp;tab_mod&amp;tab_act1,tab_pdoz)*V330*T330/MGMT)</f>
        <v>0</v>
      </c>
      <c r="AH330" s="113" cm="1">
        <f t="array" ref="AH330">IF(U330="",0,_xlfn.XLOOKUP(E330&amp;U330&amp;F330,tab_act&amp;tab_mod&amp;tab_act1,tab_lns)*V330*T330/MGMT)</f>
        <v>0</v>
      </c>
      <c r="AI330" s="114">
        <f t="shared" si="27"/>
        <v>0.38478000000000001</v>
      </c>
      <c r="AJ330" s="115" cm="1">
        <f t="array" ref="AJ330">IF(U330="",0,_xlfn.XLOOKUP(E330&amp;U330&amp;F330,tab_act&amp;tab_mod&amp;tab_act1,tab_cash)*T330)</f>
        <v>0</v>
      </c>
      <c r="AK330" s="148" cm="1">
        <f t="array" ref="AK330">IF(B330="",0,IF(C330="",0,AJ330/_xlfn.XLOOKUP(B330&amp;C330,RMth&amp;RYr,RAr)))</f>
        <v>0</v>
      </c>
      <c r="AL330" s="90"/>
      <c r="AM330" s="90"/>
      <c r="AN330" s="141" t="s">
        <v>248</v>
      </c>
    </row>
    <row r="331" spans="2:40" x14ac:dyDescent="0.35">
      <c r="B331" s="50" t="s">
        <v>130</v>
      </c>
      <c r="C331" s="44">
        <v>2023</v>
      </c>
      <c r="D331" s="44" t="s">
        <v>100</v>
      </c>
      <c r="E331" s="15" t="s">
        <v>39</v>
      </c>
      <c r="F331" s="142" t="s">
        <v>117</v>
      </c>
      <c r="G331" s="15" t="s">
        <v>159</v>
      </c>
      <c r="H331" s="44"/>
      <c r="I331" s="15" t="s">
        <v>94</v>
      </c>
      <c r="J331" s="15" t="s">
        <v>94</v>
      </c>
      <c r="K331" s="15" t="s">
        <v>160</v>
      </c>
      <c r="L331" s="15" t="s">
        <v>95</v>
      </c>
      <c r="M331" s="15" t="s">
        <v>94</v>
      </c>
      <c r="N331" s="15" t="s">
        <v>67</v>
      </c>
      <c r="O331" s="15" t="s">
        <v>161</v>
      </c>
      <c r="P331" s="15" t="s">
        <v>172</v>
      </c>
      <c r="Q331" s="135"/>
      <c r="R331" s="42">
        <v>198</v>
      </c>
      <c r="S331" s="42">
        <f t="shared" si="25"/>
        <v>198</v>
      </c>
      <c r="T331" s="43">
        <f t="shared" si="26"/>
        <v>198</v>
      </c>
      <c r="U331" s="15" t="s">
        <v>41</v>
      </c>
      <c r="V331" s="150">
        <v>30</v>
      </c>
      <c r="W331" s="111" cm="1">
        <f t="array" ref="W331">IF(U331="",0,_xlfn.XLOOKUP(E331&amp;U331&amp;F331,tab_act&amp;tab_mod&amp;tab_act1,tab_riz)*V331*T331/MGMT)</f>
        <v>0</v>
      </c>
      <c r="X331" s="112" cm="1">
        <f t="array" ref="X331">IF(U331="",0,_xlfn.XLOOKUP(E331&amp;U331&amp;F331,tab_act&amp;tab_mod&amp;tab_act1,tab_mc)*V331*T331/MGMT)</f>
        <v>0</v>
      </c>
      <c r="Y331" s="112" cm="1">
        <f t="array" ref="Y331">IF(U331="",0,_xlfn.XLOOKUP(E331&amp;U331&amp;F331,tab_act&amp;tab_mod&amp;tab_act1,tab_sor)*V331*T331/MGMT)</f>
        <v>0</v>
      </c>
      <c r="Z331" s="112" cm="1">
        <f t="array" ref="Z331">IF(U331="",0,_xlfn.XLOOKUP(E331&amp;U331&amp;F331,tab_act&amp;tab_mod&amp;tab_act1,tab_mg)*V331*T331/MGMT)</f>
        <v>0</v>
      </c>
      <c r="AA331" s="113" cm="1">
        <f t="array" ref="AA331">IF(U331="",0,IF(U331="hybrid-Sch",_xlfn.XLOOKUP(E331&amp;U331&amp;F331,tab_act&amp;tab_mod&amp;tab_act1,tab_ls)*SchLS*T331/MGMT,_xlfn.XLOOKUP(E331&amp;U331&amp;F331,tab_act&amp;tab_mod&amp;tab_act1,tab_ls)*V331*T331/MGMT))</f>
        <v>0</v>
      </c>
      <c r="AB331" s="113" cm="1">
        <f t="array" ref="AB331">IF(U331="",0,_xlfn.XLOOKUP(E331&amp;U331&amp;F331,tab_act&amp;tab_mod&amp;tab_act1,tab_hu)*V331*T331/MGMT)</f>
        <v>0.1188</v>
      </c>
      <c r="AC331" s="113" cm="1">
        <f t="array" ref="AC331">IF(U331="",0,_xlfn.XLOOKUP(E331&amp;U331&amp;F331,tab_act&amp;tab_mod&amp;tab_act1,tab_mnp)*V331*T331/MGMT)</f>
        <v>0</v>
      </c>
      <c r="AD331" s="113" cm="1">
        <f t="array" ref="AD331">IF(U331="",0,_xlfn.XLOOKUP(E331&amp;U331&amp;F331,tab_act&amp;tab_mod&amp;tab_act1,tab_Psup)*V331*T331/MGMT)</f>
        <v>0</v>
      </c>
      <c r="AE331" s="113" cm="1">
        <f t="array" ref="AE331">IF(U331="",0,_xlfn.XLOOKUP(E331&amp;U331&amp;F331,tab_act&amp;tab_mod&amp;tab_act1,tab_csb1)*V331*T331/MGMT)</f>
        <v>1.1879999999999999</v>
      </c>
      <c r="AF331" s="113" cm="1">
        <f t="array" ref="AF331">IF(U331="",0,_xlfn.XLOOKUP(E331&amp;U331&amp;F331,tab_act&amp;tab_mod&amp;tab_act1,tab_csb2)*V331*T331/MGMT)</f>
        <v>0</v>
      </c>
      <c r="AG331" s="113" cm="1">
        <f t="array" ref="AG331">IF(U331="",0,_xlfn.XLOOKUP(E331&amp;U331&amp;F331,tab_act&amp;tab_mod&amp;tab_act1,tab_pdoz)*V331*T331/MGMT)</f>
        <v>0</v>
      </c>
      <c r="AH331" s="113" cm="1">
        <f t="array" ref="AH331">IF(U331="",0,_xlfn.XLOOKUP(E331&amp;U331&amp;F331,tab_act&amp;tab_mod&amp;tab_act1,tab_lns)*V331*T331/MGMT)</f>
        <v>0</v>
      </c>
      <c r="AI331" s="114">
        <f t="shared" si="27"/>
        <v>1.3068</v>
      </c>
      <c r="AJ331" s="115" cm="1">
        <f t="array" ref="AJ331">IF(U331="",0,_xlfn.XLOOKUP(E331&amp;U331&amp;F331,tab_act&amp;tab_mod&amp;tab_act1,tab_cash)*T331)</f>
        <v>0</v>
      </c>
      <c r="AK331" s="148" cm="1">
        <f t="array" ref="AK331">IF(B331="",0,IF(C331="",0,AJ331/_xlfn.XLOOKUP(B331&amp;C331,RMth&amp;RYr,RAr)))</f>
        <v>0</v>
      </c>
      <c r="AL331" s="90"/>
      <c r="AM331" s="90"/>
      <c r="AN331" s="141" t="s">
        <v>248</v>
      </c>
    </row>
    <row r="332" spans="2:40" x14ac:dyDescent="0.35">
      <c r="B332" s="50" t="s">
        <v>130</v>
      </c>
      <c r="C332" s="44">
        <v>2023</v>
      </c>
      <c r="D332" s="44" t="s">
        <v>100</v>
      </c>
      <c r="E332" s="15" t="s">
        <v>39</v>
      </c>
      <c r="F332" s="142" t="s">
        <v>117</v>
      </c>
      <c r="G332" s="15" t="s">
        <v>159</v>
      </c>
      <c r="H332" s="44"/>
      <c r="I332" s="15" t="s">
        <v>94</v>
      </c>
      <c r="J332" s="15" t="s">
        <v>94</v>
      </c>
      <c r="K332" s="15" t="s">
        <v>160</v>
      </c>
      <c r="L332" s="15" t="s">
        <v>95</v>
      </c>
      <c r="M332" s="15" t="s">
        <v>94</v>
      </c>
      <c r="N332" s="15" t="s">
        <v>67</v>
      </c>
      <c r="O332" s="15" t="s">
        <v>161</v>
      </c>
      <c r="P332" s="15" t="s">
        <v>173</v>
      </c>
      <c r="Q332" s="135"/>
      <c r="R332" s="42">
        <v>190.3</v>
      </c>
      <c r="S332" s="42">
        <f t="shared" si="25"/>
        <v>190.3</v>
      </c>
      <c r="T332" s="43">
        <f t="shared" si="26"/>
        <v>190.3</v>
      </c>
      <c r="U332" s="15" t="s">
        <v>41</v>
      </c>
      <c r="V332" s="150">
        <v>30</v>
      </c>
      <c r="W332" s="111" cm="1">
        <f t="array" ref="W332">IF(U332="",0,_xlfn.XLOOKUP(E332&amp;U332&amp;F332,tab_act&amp;tab_mod&amp;tab_act1,tab_riz)*V332*T332/MGMT)</f>
        <v>0</v>
      </c>
      <c r="X332" s="112" cm="1">
        <f t="array" ref="X332">IF(U332="",0,_xlfn.XLOOKUP(E332&amp;U332&amp;F332,tab_act&amp;tab_mod&amp;tab_act1,tab_mc)*V332*T332/MGMT)</f>
        <v>0</v>
      </c>
      <c r="Y332" s="112" cm="1">
        <f t="array" ref="Y332">IF(U332="",0,_xlfn.XLOOKUP(E332&amp;U332&amp;F332,tab_act&amp;tab_mod&amp;tab_act1,tab_sor)*V332*T332/MGMT)</f>
        <v>0</v>
      </c>
      <c r="Z332" s="112" cm="1">
        <f t="array" ref="Z332">IF(U332="",0,_xlfn.XLOOKUP(E332&amp;U332&amp;F332,tab_act&amp;tab_mod&amp;tab_act1,tab_mg)*V332*T332/MGMT)</f>
        <v>0</v>
      </c>
      <c r="AA332" s="113" cm="1">
        <f t="array" ref="AA332">IF(U332="",0,IF(U332="hybrid-Sch",_xlfn.XLOOKUP(E332&amp;U332&amp;F332,tab_act&amp;tab_mod&amp;tab_act1,tab_ls)*SchLS*T332/MGMT,_xlfn.XLOOKUP(E332&amp;U332&amp;F332,tab_act&amp;tab_mod&amp;tab_act1,tab_ls)*V332*T332/MGMT))</f>
        <v>0</v>
      </c>
      <c r="AB332" s="113" cm="1">
        <f t="array" ref="AB332">IF(U332="",0,_xlfn.XLOOKUP(E332&amp;U332&amp;F332,tab_act&amp;tab_mod&amp;tab_act1,tab_hu)*V332*T332/MGMT)</f>
        <v>0.11418</v>
      </c>
      <c r="AC332" s="113" cm="1">
        <f t="array" ref="AC332">IF(U332="",0,_xlfn.XLOOKUP(E332&amp;U332&amp;F332,tab_act&amp;tab_mod&amp;tab_act1,tab_mnp)*V332*T332/MGMT)</f>
        <v>0</v>
      </c>
      <c r="AD332" s="113" cm="1">
        <f t="array" ref="AD332">IF(U332="",0,_xlfn.XLOOKUP(E332&amp;U332&amp;F332,tab_act&amp;tab_mod&amp;tab_act1,tab_Psup)*V332*T332/MGMT)</f>
        <v>0</v>
      </c>
      <c r="AE332" s="113" cm="1">
        <f t="array" ref="AE332">IF(U332="",0,_xlfn.XLOOKUP(E332&amp;U332&amp;F332,tab_act&amp;tab_mod&amp;tab_act1,tab_csb1)*V332*T332/MGMT)</f>
        <v>1.1417999999999999</v>
      </c>
      <c r="AF332" s="113" cm="1">
        <f t="array" ref="AF332">IF(U332="",0,_xlfn.XLOOKUP(E332&amp;U332&amp;F332,tab_act&amp;tab_mod&amp;tab_act1,tab_csb2)*V332*T332/MGMT)</f>
        <v>0</v>
      </c>
      <c r="AG332" s="113" cm="1">
        <f t="array" ref="AG332">IF(U332="",0,_xlfn.XLOOKUP(E332&amp;U332&amp;F332,tab_act&amp;tab_mod&amp;tab_act1,tab_pdoz)*V332*T332/MGMT)</f>
        <v>0</v>
      </c>
      <c r="AH332" s="113" cm="1">
        <f t="array" ref="AH332">IF(U332="",0,_xlfn.XLOOKUP(E332&amp;U332&amp;F332,tab_act&amp;tab_mod&amp;tab_act1,tab_lns)*V332*T332/MGMT)</f>
        <v>0</v>
      </c>
      <c r="AI332" s="114">
        <f t="shared" si="27"/>
        <v>1.2559799999999999</v>
      </c>
      <c r="AJ332" s="115" cm="1">
        <f t="array" ref="AJ332">IF(U332="",0,_xlfn.XLOOKUP(E332&amp;U332&amp;F332,tab_act&amp;tab_mod&amp;tab_act1,tab_cash)*T332)</f>
        <v>0</v>
      </c>
      <c r="AK332" s="148" cm="1">
        <f t="array" ref="AK332">IF(B332="",0,IF(C332="",0,AJ332/_xlfn.XLOOKUP(B332&amp;C332,RMth&amp;RYr,RAr)))</f>
        <v>0</v>
      </c>
      <c r="AL332" s="90"/>
      <c r="AM332" s="90"/>
      <c r="AN332" s="141" t="s">
        <v>248</v>
      </c>
    </row>
    <row r="333" spans="2:40" x14ac:dyDescent="0.35">
      <c r="B333" s="50" t="s">
        <v>130</v>
      </c>
      <c r="C333" s="44">
        <v>2023</v>
      </c>
      <c r="D333" s="44" t="s">
        <v>100</v>
      </c>
      <c r="E333" s="15" t="s">
        <v>39</v>
      </c>
      <c r="F333" s="142" t="s">
        <v>117</v>
      </c>
      <c r="G333" s="15" t="s">
        <v>159</v>
      </c>
      <c r="H333" s="44"/>
      <c r="I333" s="15" t="s">
        <v>94</v>
      </c>
      <c r="J333" s="15" t="s">
        <v>94</v>
      </c>
      <c r="K333" s="15" t="s">
        <v>160</v>
      </c>
      <c r="L333" s="15" t="s">
        <v>95</v>
      </c>
      <c r="M333" s="15" t="s">
        <v>94</v>
      </c>
      <c r="N333" s="15" t="s">
        <v>67</v>
      </c>
      <c r="O333" s="15" t="s">
        <v>161</v>
      </c>
      <c r="P333" s="15" t="s">
        <v>174</v>
      </c>
      <c r="Q333" s="135"/>
      <c r="R333" s="42">
        <v>152.9</v>
      </c>
      <c r="S333" s="42">
        <f t="shared" si="25"/>
        <v>152.9</v>
      </c>
      <c r="T333" s="43">
        <f t="shared" si="26"/>
        <v>152.9</v>
      </c>
      <c r="U333" s="15" t="s">
        <v>41</v>
      </c>
      <c r="V333" s="150">
        <v>30</v>
      </c>
      <c r="W333" s="111" cm="1">
        <f t="array" ref="W333">IF(U333="",0,_xlfn.XLOOKUP(E333&amp;U333&amp;F333,tab_act&amp;tab_mod&amp;tab_act1,tab_riz)*V333*T333/MGMT)</f>
        <v>0</v>
      </c>
      <c r="X333" s="112" cm="1">
        <f t="array" ref="X333">IF(U333="",0,_xlfn.XLOOKUP(E333&amp;U333&amp;F333,tab_act&amp;tab_mod&amp;tab_act1,tab_mc)*V333*T333/MGMT)</f>
        <v>0</v>
      </c>
      <c r="Y333" s="112" cm="1">
        <f t="array" ref="Y333">IF(U333="",0,_xlfn.XLOOKUP(E333&amp;U333&amp;F333,tab_act&amp;tab_mod&amp;tab_act1,tab_sor)*V333*T333/MGMT)</f>
        <v>0</v>
      </c>
      <c r="Z333" s="112" cm="1">
        <f t="array" ref="Z333">IF(U333="",0,_xlfn.XLOOKUP(E333&amp;U333&amp;F333,tab_act&amp;tab_mod&amp;tab_act1,tab_mg)*V333*T333/MGMT)</f>
        <v>0</v>
      </c>
      <c r="AA333" s="113" cm="1">
        <f t="array" ref="AA333">IF(U333="",0,IF(U333="hybrid-Sch",_xlfn.XLOOKUP(E333&amp;U333&amp;F333,tab_act&amp;tab_mod&amp;tab_act1,tab_ls)*SchLS*T333/MGMT,_xlfn.XLOOKUP(E333&amp;U333&amp;F333,tab_act&amp;tab_mod&amp;tab_act1,tab_ls)*V333*T333/MGMT))</f>
        <v>0</v>
      </c>
      <c r="AB333" s="113" cm="1">
        <f t="array" ref="AB333">IF(U333="",0,_xlfn.XLOOKUP(E333&amp;U333&amp;F333,tab_act&amp;tab_mod&amp;tab_act1,tab_hu)*V333*T333/MGMT)</f>
        <v>9.1740000000000002E-2</v>
      </c>
      <c r="AC333" s="113" cm="1">
        <f t="array" ref="AC333">IF(U333="",0,_xlfn.XLOOKUP(E333&amp;U333&amp;F333,tab_act&amp;tab_mod&amp;tab_act1,tab_mnp)*V333*T333/MGMT)</f>
        <v>0</v>
      </c>
      <c r="AD333" s="113" cm="1">
        <f t="array" ref="AD333">IF(U333="",0,_xlfn.XLOOKUP(E333&amp;U333&amp;F333,tab_act&amp;tab_mod&amp;tab_act1,tab_Psup)*V333*T333/MGMT)</f>
        <v>0</v>
      </c>
      <c r="AE333" s="113" cm="1">
        <f t="array" ref="AE333">IF(U333="",0,_xlfn.XLOOKUP(E333&amp;U333&amp;F333,tab_act&amp;tab_mod&amp;tab_act1,tab_csb1)*V333*T333/MGMT)</f>
        <v>0.91739999999999999</v>
      </c>
      <c r="AF333" s="113" cm="1">
        <f t="array" ref="AF333">IF(U333="",0,_xlfn.XLOOKUP(E333&amp;U333&amp;F333,tab_act&amp;tab_mod&amp;tab_act1,tab_csb2)*V333*T333/MGMT)</f>
        <v>0</v>
      </c>
      <c r="AG333" s="113" cm="1">
        <f t="array" ref="AG333">IF(U333="",0,_xlfn.XLOOKUP(E333&amp;U333&amp;F333,tab_act&amp;tab_mod&amp;tab_act1,tab_pdoz)*V333*T333/MGMT)</f>
        <v>0</v>
      </c>
      <c r="AH333" s="113" cm="1">
        <f t="array" ref="AH333">IF(U333="",0,_xlfn.XLOOKUP(E333&amp;U333&amp;F333,tab_act&amp;tab_mod&amp;tab_act1,tab_lns)*V333*T333/MGMT)</f>
        <v>0</v>
      </c>
      <c r="AI333" s="114">
        <f t="shared" si="27"/>
        <v>1.0091399999999999</v>
      </c>
      <c r="AJ333" s="115" cm="1">
        <f t="array" ref="AJ333">IF(U333="",0,_xlfn.XLOOKUP(E333&amp;U333&amp;F333,tab_act&amp;tab_mod&amp;tab_act1,tab_cash)*T333)</f>
        <v>0</v>
      </c>
      <c r="AK333" s="148" cm="1">
        <f t="array" ref="AK333">IF(B333="",0,IF(C333="",0,AJ333/_xlfn.XLOOKUP(B333&amp;C333,RMth&amp;RYr,RAr)))</f>
        <v>0</v>
      </c>
      <c r="AL333" s="90"/>
      <c r="AM333" s="90"/>
      <c r="AN333" s="141" t="s">
        <v>248</v>
      </c>
    </row>
    <row r="334" spans="2:40" x14ac:dyDescent="0.35">
      <c r="B334" s="50" t="s">
        <v>130</v>
      </c>
      <c r="C334" s="44">
        <v>2023</v>
      </c>
      <c r="D334" s="44" t="s">
        <v>100</v>
      </c>
      <c r="E334" s="15" t="s">
        <v>39</v>
      </c>
      <c r="F334" s="142" t="s">
        <v>117</v>
      </c>
      <c r="G334" s="15" t="s">
        <v>159</v>
      </c>
      <c r="H334" s="44"/>
      <c r="I334" s="15" t="s">
        <v>94</v>
      </c>
      <c r="J334" s="15" t="s">
        <v>94</v>
      </c>
      <c r="K334" s="15" t="s">
        <v>160</v>
      </c>
      <c r="L334" s="15" t="s">
        <v>95</v>
      </c>
      <c r="M334" s="15" t="s">
        <v>94</v>
      </c>
      <c r="N334" s="15" t="s">
        <v>67</v>
      </c>
      <c r="O334" s="15" t="s">
        <v>161</v>
      </c>
      <c r="P334" s="15" t="s">
        <v>175</v>
      </c>
      <c r="Q334" s="135"/>
      <c r="R334" s="42">
        <v>187</v>
      </c>
      <c r="S334" s="42">
        <f t="shared" si="25"/>
        <v>187</v>
      </c>
      <c r="T334" s="43">
        <f t="shared" si="26"/>
        <v>187</v>
      </c>
      <c r="U334" s="15" t="s">
        <v>41</v>
      </c>
      <c r="V334" s="150">
        <v>30</v>
      </c>
      <c r="W334" s="111" cm="1">
        <f t="array" ref="W334">IF(U334="",0,_xlfn.XLOOKUP(E334&amp;U334&amp;F334,tab_act&amp;tab_mod&amp;tab_act1,tab_riz)*V334*T334/MGMT)</f>
        <v>0</v>
      </c>
      <c r="X334" s="112" cm="1">
        <f t="array" ref="X334">IF(U334="",0,_xlfn.XLOOKUP(E334&amp;U334&amp;F334,tab_act&amp;tab_mod&amp;tab_act1,tab_mc)*V334*T334/MGMT)</f>
        <v>0</v>
      </c>
      <c r="Y334" s="112" cm="1">
        <f t="array" ref="Y334">IF(U334="",0,_xlfn.XLOOKUP(E334&amp;U334&amp;F334,tab_act&amp;tab_mod&amp;tab_act1,tab_sor)*V334*T334/MGMT)</f>
        <v>0</v>
      </c>
      <c r="Z334" s="112" cm="1">
        <f t="array" ref="Z334">IF(U334="",0,_xlfn.XLOOKUP(E334&amp;U334&amp;F334,tab_act&amp;tab_mod&amp;tab_act1,tab_mg)*V334*T334/MGMT)</f>
        <v>0</v>
      </c>
      <c r="AA334" s="113" cm="1">
        <f t="array" ref="AA334">IF(U334="",0,IF(U334="hybrid-Sch",_xlfn.XLOOKUP(E334&amp;U334&amp;F334,tab_act&amp;tab_mod&amp;tab_act1,tab_ls)*SchLS*T334/MGMT,_xlfn.XLOOKUP(E334&amp;U334&amp;F334,tab_act&amp;tab_mod&amp;tab_act1,tab_ls)*V334*T334/MGMT))</f>
        <v>0</v>
      </c>
      <c r="AB334" s="113" cm="1">
        <f t="array" ref="AB334">IF(U334="",0,_xlfn.XLOOKUP(E334&amp;U334&amp;F334,tab_act&amp;tab_mod&amp;tab_act1,tab_hu)*V334*T334/MGMT)</f>
        <v>0.11219999999999999</v>
      </c>
      <c r="AC334" s="113" cm="1">
        <f t="array" ref="AC334">IF(U334="",0,_xlfn.XLOOKUP(E334&amp;U334&amp;F334,tab_act&amp;tab_mod&amp;tab_act1,tab_mnp)*V334*T334/MGMT)</f>
        <v>0</v>
      </c>
      <c r="AD334" s="113" cm="1">
        <f t="array" ref="AD334">IF(U334="",0,_xlfn.XLOOKUP(E334&amp;U334&amp;F334,tab_act&amp;tab_mod&amp;tab_act1,tab_Psup)*V334*T334/MGMT)</f>
        <v>0</v>
      </c>
      <c r="AE334" s="113" cm="1">
        <f t="array" ref="AE334">IF(U334="",0,_xlfn.XLOOKUP(E334&amp;U334&amp;F334,tab_act&amp;tab_mod&amp;tab_act1,tab_csb1)*V334*T334/MGMT)</f>
        <v>1.1220000000000001</v>
      </c>
      <c r="AF334" s="113" cm="1">
        <f t="array" ref="AF334">IF(U334="",0,_xlfn.XLOOKUP(E334&amp;U334&amp;F334,tab_act&amp;tab_mod&amp;tab_act1,tab_csb2)*V334*T334/MGMT)</f>
        <v>0</v>
      </c>
      <c r="AG334" s="113" cm="1">
        <f t="array" ref="AG334">IF(U334="",0,_xlfn.XLOOKUP(E334&amp;U334&amp;F334,tab_act&amp;tab_mod&amp;tab_act1,tab_pdoz)*V334*T334/MGMT)</f>
        <v>0</v>
      </c>
      <c r="AH334" s="113" cm="1">
        <f t="array" ref="AH334">IF(U334="",0,_xlfn.XLOOKUP(E334&amp;U334&amp;F334,tab_act&amp;tab_mod&amp;tab_act1,tab_lns)*V334*T334/MGMT)</f>
        <v>0</v>
      </c>
      <c r="AI334" s="114">
        <f t="shared" si="27"/>
        <v>1.2342000000000002</v>
      </c>
      <c r="AJ334" s="115" cm="1">
        <f t="array" ref="AJ334">IF(U334="",0,_xlfn.XLOOKUP(E334&amp;U334&amp;F334,tab_act&amp;tab_mod&amp;tab_act1,tab_cash)*T334)</f>
        <v>0</v>
      </c>
      <c r="AK334" s="148" cm="1">
        <f t="array" ref="AK334">IF(B334="",0,IF(C334="",0,AJ334/_xlfn.XLOOKUP(B334&amp;C334,RMth&amp;RYr,RAr)))</f>
        <v>0</v>
      </c>
      <c r="AL334" s="90"/>
      <c r="AM334" s="90"/>
      <c r="AN334" s="141" t="s">
        <v>248</v>
      </c>
    </row>
    <row r="335" spans="2:40" x14ac:dyDescent="0.35">
      <c r="B335" s="50" t="s">
        <v>130</v>
      </c>
      <c r="C335" s="44">
        <v>2023</v>
      </c>
      <c r="D335" s="44" t="s">
        <v>100</v>
      </c>
      <c r="E335" s="15" t="s">
        <v>39</v>
      </c>
      <c r="F335" s="142" t="s">
        <v>117</v>
      </c>
      <c r="G335" s="15" t="s">
        <v>159</v>
      </c>
      <c r="H335" s="44"/>
      <c r="I335" s="15" t="s">
        <v>94</v>
      </c>
      <c r="J335" s="15" t="s">
        <v>94</v>
      </c>
      <c r="K335" s="15" t="s">
        <v>160</v>
      </c>
      <c r="L335" s="15" t="s">
        <v>95</v>
      </c>
      <c r="M335" s="15" t="s">
        <v>94</v>
      </c>
      <c r="N335" s="15" t="s">
        <v>67</v>
      </c>
      <c r="O335" s="15" t="s">
        <v>161</v>
      </c>
      <c r="P335" s="15" t="s">
        <v>176</v>
      </c>
      <c r="Q335" s="135"/>
      <c r="R335" s="42">
        <v>60.5</v>
      </c>
      <c r="S335" s="42">
        <f t="shared" si="25"/>
        <v>60.5</v>
      </c>
      <c r="T335" s="43">
        <f t="shared" si="26"/>
        <v>60.5</v>
      </c>
      <c r="U335" s="15" t="s">
        <v>41</v>
      </c>
      <c r="V335" s="150">
        <v>30</v>
      </c>
      <c r="W335" s="111" cm="1">
        <f t="array" ref="W335">IF(U335="",0,_xlfn.XLOOKUP(E335&amp;U335&amp;F335,tab_act&amp;tab_mod&amp;tab_act1,tab_riz)*V335*T335/MGMT)</f>
        <v>0</v>
      </c>
      <c r="X335" s="112" cm="1">
        <f t="array" ref="X335">IF(U335="",0,_xlfn.XLOOKUP(E335&amp;U335&amp;F335,tab_act&amp;tab_mod&amp;tab_act1,tab_mc)*V335*T335/MGMT)</f>
        <v>0</v>
      </c>
      <c r="Y335" s="112" cm="1">
        <f t="array" ref="Y335">IF(U335="",0,_xlfn.XLOOKUP(E335&amp;U335&amp;F335,tab_act&amp;tab_mod&amp;tab_act1,tab_sor)*V335*T335/MGMT)</f>
        <v>0</v>
      </c>
      <c r="Z335" s="112" cm="1">
        <f t="array" ref="Z335">IF(U335="",0,_xlfn.XLOOKUP(E335&amp;U335&amp;F335,tab_act&amp;tab_mod&amp;tab_act1,tab_mg)*V335*T335/MGMT)</f>
        <v>0</v>
      </c>
      <c r="AA335" s="113" cm="1">
        <f t="array" ref="AA335">IF(U335="",0,IF(U335="hybrid-Sch",_xlfn.XLOOKUP(E335&amp;U335&amp;F335,tab_act&amp;tab_mod&amp;tab_act1,tab_ls)*SchLS*T335/MGMT,_xlfn.XLOOKUP(E335&amp;U335&amp;F335,tab_act&amp;tab_mod&amp;tab_act1,tab_ls)*V335*T335/MGMT))</f>
        <v>0</v>
      </c>
      <c r="AB335" s="113" cm="1">
        <f t="array" ref="AB335">IF(U335="",0,_xlfn.XLOOKUP(E335&amp;U335&amp;F335,tab_act&amp;tab_mod&amp;tab_act1,tab_hu)*V335*T335/MGMT)</f>
        <v>3.6299999999999999E-2</v>
      </c>
      <c r="AC335" s="113" cm="1">
        <f t="array" ref="AC335">IF(U335="",0,_xlfn.XLOOKUP(E335&amp;U335&amp;F335,tab_act&amp;tab_mod&amp;tab_act1,tab_mnp)*V335*T335/MGMT)</f>
        <v>0</v>
      </c>
      <c r="AD335" s="113" cm="1">
        <f t="array" ref="AD335">IF(U335="",0,_xlfn.XLOOKUP(E335&amp;U335&amp;F335,tab_act&amp;tab_mod&amp;tab_act1,tab_Psup)*V335*T335/MGMT)</f>
        <v>0</v>
      </c>
      <c r="AE335" s="113" cm="1">
        <f t="array" ref="AE335">IF(U335="",0,_xlfn.XLOOKUP(E335&amp;U335&amp;F335,tab_act&amp;tab_mod&amp;tab_act1,tab_csb1)*V335*T335/MGMT)</f>
        <v>0.36299999999999999</v>
      </c>
      <c r="AF335" s="113" cm="1">
        <f t="array" ref="AF335">IF(U335="",0,_xlfn.XLOOKUP(E335&amp;U335&amp;F335,tab_act&amp;tab_mod&amp;tab_act1,tab_csb2)*V335*T335/MGMT)</f>
        <v>0</v>
      </c>
      <c r="AG335" s="113" cm="1">
        <f t="array" ref="AG335">IF(U335="",0,_xlfn.XLOOKUP(E335&amp;U335&amp;F335,tab_act&amp;tab_mod&amp;tab_act1,tab_pdoz)*V335*T335/MGMT)</f>
        <v>0</v>
      </c>
      <c r="AH335" s="113" cm="1">
        <f t="array" ref="AH335">IF(U335="",0,_xlfn.XLOOKUP(E335&amp;U335&amp;F335,tab_act&amp;tab_mod&amp;tab_act1,tab_lns)*V335*T335/MGMT)</f>
        <v>0</v>
      </c>
      <c r="AI335" s="114">
        <f t="shared" si="27"/>
        <v>0.39929999999999999</v>
      </c>
      <c r="AJ335" s="115" cm="1">
        <f t="array" ref="AJ335">IF(U335="",0,_xlfn.XLOOKUP(E335&amp;U335&amp;F335,tab_act&amp;tab_mod&amp;tab_act1,tab_cash)*T335)</f>
        <v>0</v>
      </c>
      <c r="AK335" s="148" cm="1">
        <f t="array" ref="AK335">IF(B335="",0,IF(C335="",0,AJ335/_xlfn.XLOOKUP(B335&amp;C335,RMth&amp;RYr,RAr)))</f>
        <v>0</v>
      </c>
      <c r="AL335" s="90"/>
      <c r="AM335" s="90"/>
      <c r="AN335" s="141" t="s">
        <v>248</v>
      </c>
    </row>
    <row r="336" spans="2:40" x14ac:dyDescent="0.35">
      <c r="B336" s="50" t="s">
        <v>130</v>
      </c>
      <c r="C336" s="44">
        <v>2023</v>
      </c>
      <c r="D336" s="44" t="s">
        <v>100</v>
      </c>
      <c r="E336" s="15" t="s">
        <v>39</v>
      </c>
      <c r="F336" s="142" t="s">
        <v>117</v>
      </c>
      <c r="G336" s="15" t="s">
        <v>159</v>
      </c>
      <c r="H336" s="44"/>
      <c r="I336" s="15" t="s">
        <v>94</v>
      </c>
      <c r="J336" s="15" t="s">
        <v>94</v>
      </c>
      <c r="K336" s="15" t="s">
        <v>160</v>
      </c>
      <c r="L336" s="15" t="s">
        <v>95</v>
      </c>
      <c r="M336" s="15" t="s">
        <v>94</v>
      </c>
      <c r="N336" s="15" t="s">
        <v>67</v>
      </c>
      <c r="O336" s="15" t="s">
        <v>161</v>
      </c>
      <c r="P336" s="15" t="s">
        <v>177</v>
      </c>
      <c r="Q336" s="135"/>
      <c r="R336" s="42">
        <v>133.1</v>
      </c>
      <c r="S336" s="42">
        <f t="shared" si="25"/>
        <v>133.1</v>
      </c>
      <c r="T336" s="43">
        <f t="shared" si="26"/>
        <v>133.1</v>
      </c>
      <c r="U336" s="15" t="s">
        <v>41</v>
      </c>
      <c r="V336" s="150">
        <v>30</v>
      </c>
      <c r="W336" s="111" cm="1">
        <f t="array" ref="W336">IF(U336="",0,_xlfn.XLOOKUP(E336&amp;U336&amp;F336,tab_act&amp;tab_mod&amp;tab_act1,tab_riz)*V336*T336/MGMT)</f>
        <v>0</v>
      </c>
      <c r="X336" s="112" cm="1">
        <f t="array" ref="X336">IF(U336="",0,_xlfn.XLOOKUP(E336&amp;U336&amp;F336,tab_act&amp;tab_mod&amp;tab_act1,tab_mc)*V336*T336/MGMT)</f>
        <v>0</v>
      </c>
      <c r="Y336" s="112" cm="1">
        <f t="array" ref="Y336">IF(U336="",0,_xlfn.XLOOKUP(E336&amp;U336&amp;F336,tab_act&amp;tab_mod&amp;tab_act1,tab_sor)*V336*T336/MGMT)</f>
        <v>0</v>
      </c>
      <c r="Z336" s="112" cm="1">
        <f t="array" ref="Z336">IF(U336="",0,_xlfn.XLOOKUP(E336&amp;U336&amp;F336,tab_act&amp;tab_mod&amp;tab_act1,tab_mg)*V336*T336/MGMT)</f>
        <v>0</v>
      </c>
      <c r="AA336" s="113" cm="1">
        <f t="array" ref="AA336">IF(U336="",0,IF(U336="hybrid-Sch",_xlfn.XLOOKUP(E336&amp;U336&amp;F336,tab_act&amp;tab_mod&amp;tab_act1,tab_ls)*SchLS*T336/MGMT,_xlfn.XLOOKUP(E336&amp;U336&amp;F336,tab_act&amp;tab_mod&amp;tab_act1,tab_ls)*V336*T336/MGMT))</f>
        <v>0</v>
      </c>
      <c r="AB336" s="113" cm="1">
        <f t="array" ref="AB336">IF(U336="",0,_xlfn.XLOOKUP(E336&amp;U336&amp;F336,tab_act&amp;tab_mod&amp;tab_act1,tab_hu)*V336*T336/MGMT)</f>
        <v>7.986E-2</v>
      </c>
      <c r="AC336" s="113" cm="1">
        <f t="array" ref="AC336">IF(U336="",0,_xlfn.XLOOKUP(E336&amp;U336&amp;F336,tab_act&amp;tab_mod&amp;tab_act1,tab_mnp)*V336*T336/MGMT)</f>
        <v>0</v>
      </c>
      <c r="AD336" s="113" cm="1">
        <f t="array" ref="AD336">IF(U336="",0,_xlfn.XLOOKUP(E336&amp;U336&amp;F336,tab_act&amp;tab_mod&amp;tab_act1,tab_Psup)*V336*T336/MGMT)</f>
        <v>0</v>
      </c>
      <c r="AE336" s="113" cm="1">
        <f t="array" ref="AE336">IF(U336="",0,_xlfn.XLOOKUP(E336&amp;U336&amp;F336,tab_act&amp;tab_mod&amp;tab_act1,tab_csb1)*V336*T336/MGMT)</f>
        <v>0.79859999999999998</v>
      </c>
      <c r="AF336" s="113" cm="1">
        <f t="array" ref="AF336">IF(U336="",0,_xlfn.XLOOKUP(E336&amp;U336&amp;F336,tab_act&amp;tab_mod&amp;tab_act1,tab_csb2)*V336*T336/MGMT)</f>
        <v>0</v>
      </c>
      <c r="AG336" s="113" cm="1">
        <f t="array" ref="AG336">IF(U336="",0,_xlfn.XLOOKUP(E336&amp;U336&amp;F336,tab_act&amp;tab_mod&amp;tab_act1,tab_pdoz)*V336*T336/MGMT)</f>
        <v>0</v>
      </c>
      <c r="AH336" s="113" cm="1">
        <f t="array" ref="AH336">IF(U336="",0,_xlfn.XLOOKUP(E336&amp;U336&amp;F336,tab_act&amp;tab_mod&amp;tab_act1,tab_lns)*V336*T336/MGMT)</f>
        <v>0</v>
      </c>
      <c r="AI336" s="114">
        <f t="shared" si="27"/>
        <v>0.87846000000000002</v>
      </c>
      <c r="AJ336" s="115" cm="1">
        <f t="array" ref="AJ336">IF(U336="",0,_xlfn.XLOOKUP(E336&amp;U336&amp;F336,tab_act&amp;tab_mod&amp;tab_act1,tab_cash)*T336)</f>
        <v>0</v>
      </c>
      <c r="AK336" s="148" cm="1">
        <f t="array" ref="AK336">IF(B336="",0,IF(C336="",0,AJ336/_xlfn.XLOOKUP(B336&amp;C336,RMth&amp;RYr,RAr)))</f>
        <v>0</v>
      </c>
      <c r="AL336" s="90"/>
      <c r="AM336" s="90"/>
      <c r="AN336" s="141" t="s">
        <v>248</v>
      </c>
    </row>
    <row r="337" spans="2:40" x14ac:dyDescent="0.35">
      <c r="B337" s="50" t="s">
        <v>130</v>
      </c>
      <c r="C337" s="44">
        <v>2023</v>
      </c>
      <c r="D337" s="44" t="s">
        <v>100</v>
      </c>
      <c r="E337" s="15" t="s">
        <v>39</v>
      </c>
      <c r="F337" s="142" t="s">
        <v>117</v>
      </c>
      <c r="G337" s="15" t="s">
        <v>159</v>
      </c>
      <c r="H337" s="44"/>
      <c r="I337" s="15" t="s">
        <v>94</v>
      </c>
      <c r="J337" s="15" t="s">
        <v>94</v>
      </c>
      <c r="K337" s="15" t="s">
        <v>160</v>
      </c>
      <c r="L337" s="15" t="s">
        <v>95</v>
      </c>
      <c r="M337" s="15" t="s">
        <v>94</v>
      </c>
      <c r="N337" s="15" t="s">
        <v>67</v>
      </c>
      <c r="O337" s="15" t="s">
        <v>161</v>
      </c>
      <c r="P337" s="15" t="s">
        <v>178</v>
      </c>
      <c r="Q337" s="135"/>
      <c r="R337" s="42">
        <v>225.5</v>
      </c>
      <c r="S337" s="42">
        <f t="shared" si="25"/>
        <v>225.5</v>
      </c>
      <c r="T337" s="43">
        <f t="shared" si="26"/>
        <v>225.5</v>
      </c>
      <c r="U337" s="15" t="s">
        <v>41</v>
      </c>
      <c r="V337" s="150">
        <v>30</v>
      </c>
      <c r="W337" s="111" cm="1">
        <f t="array" ref="W337">IF(U337="",0,_xlfn.XLOOKUP(E337&amp;U337&amp;F337,tab_act&amp;tab_mod&amp;tab_act1,tab_riz)*V337*T337/MGMT)</f>
        <v>0</v>
      </c>
      <c r="X337" s="112" cm="1">
        <f t="array" ref="X337">IF(U337="",0,_xlfn.XLOOKUP(E337&amp;U337&amp;F337,tab_act&amp;tab_mod&amp;tab_act1,tab_mc)*V337*T337/MGMT)</f>
        <v>0</v>
      </c>
      <c r="Y337" s="112" cm="1">
        <f t="array" ref="Y337">IF(U337="",0,_xlfn.XLOOKUP(E337&amp;U337&amp;F337,tab_act&amp;tab_mod&amp;tab_act1,tab_sor)*V337*T337/MGMT)</f>
        <v>0</v>
      </c>
      <c r="Z337" s="112" cm="1">
        <f t="array" ref="Z337">IF(U337="",0,_xlfn.XLOOKUP(E337&amp;U337&amp;F337,tab_act&amp;tab_mod&amp;tab_act1,tab_mg)*V337*T337/MGMT)</f>
        <v>0</v>
      </c>
      <c r="AA337" s="113" cm="1">
        <f t="array" ref="AA337">IF(U337="",0,IF(U337="hybrid-Sch",_xlfn.XLOOKUP(E337&amp;U337&amp;F337,tab_act&amp;tab_mod&amp;tab_act1,tab_ls)*SchLS*T337/MGMT,_xlfn.XLOOKUP(E337&amp;U337&amp;F337,tab_act&amp;tab_mod&amp;tab_act1,tab_ls)*V337*T337/MGMT))</f>
        <v>0</v>
      </c>
      <c r="AB337" s="113" cm="1">
        <f t="array" ref="AB337">IF(U337="",0,_xlfn.XLOOKUP(E337&amp;U337&amp;F337,tab_act&amp;tab_mod&amp;tab_act1,tab_hu)*V337*T337/MGMT)</f>
        <v>0.1353</v>
      </c>
      <c r="AC337" s="113" cm="1">
        <f t="array" ref="AC337">IF(U337="",0,_xlfn.XLOOKUP(E337&amp;U337&amp;F337,tab_act&amp;tab_mod&amp;tab_act1,tab_mnp)*V337*T337/MGMT)</f>
        <v>0</v>
      </c>
      <c r="AD337" s="113" cm="1">
        <f t="array" ref="AD337">IF(U337="",0,_xlfn.XLOOKUP(E337&amp;U337&amp;F337,tab_act&amp;tab_mod&amp;tab_act1,tab_Psup)*V337*T337/MGMT)</f>
        <v>0</v>
      </c>
      <c r="AE337" s="113" cm="1">
        <f t="array" ref="AE337">IF(U337="",0,_xlfn.XLOOKUP(E337&amp;U337&amp;F337,tab_act&amp;tab_mod&amp;tab_act1,tab_csb1)*V337*T337/MGMT)</f>
        <v>1.353</v>
      </c>
      <c r="AF337" s="113" cm="1">
        <f t="array" ref="AF337">IF(U337="",0,_xlfn.XLOOKUP(E337&amp;U337&amp;F337,tab_act&amp;tab_mod&amp;tab_act1,tab_csb2)*V337*T337/MGMT)</f>
        <v>0</v>
      </c>
      <c r="AG337" s="113" cm="1">
        <f t="array" ref="AG337">IF(U337="",0,_xlfn.XLOOKUP(E337&amp;U337&amp;F337,tab_act&amp;tab_mod&amp;tab_act1,tab_pdoz)*V337*T337/MGMT)</f>
        <v>0</v>
      </c>
      <c r="AH337" s="113" cm="1">
        <f t="array" ref="AH337">IF(U337="",0,_xlfn.XLOOKUP(E337&amp;U337&amp;F337,tab_act&amp;tab_mod&amp;tab_act1,tab_lns)*V337*T337/MGMT)</f>
        <v>0</v>
      </c>
      <c r="AI337" s="114">
        <f t="shared" si="27"/>
        <v>1.4883</v>
      </c>
      <c r="AJ337" s="115" cm="1">
        <f t="array" ref="AJ337">IF(U337="",0,_xlfn.XLOOKUP(E337&amp;U337&amp;F337,tab_act&amp;tab_mod&amp;tab_act1,tab_cash)*T337)</f>
        <v>0</v>
      </c>
      <c r="AK337" s="148" cm="1">
        <f t="array" ref="AK337">IF(B337="",0,IF(C337="",0,AJ337/_xlfn.XLOOKUP(B337&amp;C337,RMth&amp;RYr,RAr)))</f>
        <v>0</v>
      </c>
      <c r="AL337" s="90"/>
      <c r="AM337" s="90"/>
      <c r="AN337" s="141" t="s">
        <v>248</v>
      </c>
    </row>
    <row r="338" spans="2:40" x14ac:dyDescent="0.35">
      <c r="B338" s="50" t="s">
        <v>130</v>
      </c>
      <c r="C338" s="44">
        <v>2023</v>
      </c>
      <c r="D338" s="44" t="s">
        <v>100</v>
      </c>
      <c r="E338" s="15" t="s">
        <v>39</v>
      </c>
      <c r="F338" s="142" t="s">
        <v>117</v>
      </c>
      <c r="G338" s="15" t="s">
        <v>159</v>
      </c>
      <c r="H338" s="44"/>
      <c r="I338" s="15" t="s">
        <v>94</v>
      </c>
      <c r="J338" s="15" t="s">
        <v>94</v>
      </c>
      <c r="K338" s="15" t="s">
        <v>160</v>
      </c>
      <c r="L338" s="15" t="s">
        <v>95</v>
      </c>
      <c r="M338" s="15" t="s">
        <v>94</v>
      </c>
      <c r="N338" s="15" t="s">
        <v>67</v>
      </c>
      <c r="O338" s="15" t="s">
        <v>161</v>
      </c>
      <c r="P338" s="15" t="s">
        <v>179</v>
      </c>
      <c r="Q338" s="135"/>
      <c r="R338" s="42">
        <v>93.5</v>
      </c>
      <c r="S338" s="42">
        <f t="shared" si="25"/>
        <v>93.5</v>
      </c>
      <c r="T338" s="43">
        <f t="shared" si="26"/>
        <v>93.5</v>
      </c>
      <c r="U338" s="15" t="s">
        <v>41</v>
      </c>
      <c r="V338" s="150">
        <v>30</v>
      </c>
      <c r="W338" s="111" cm="1">
        <f t="array" ref="W338">IF(U338="",0,_xlfn.XLOOKUP(E338&amp;U338&amp;F338,tab_act&amp;tab_mod&amp;tab_act1,tab_riz)*V338*T338/MGMT)</f>
        <v>0</v>
      </c>
      <c r="X338" s="112" cm="1">
        <f t="array" ref="X338">IF(U338="",0,_xlfn.XLOOKUP(E338&amp;U338&amp;F338,tab_act&amp;tab_mod&amp;tab_act1,tab_mc)*V338*T338/MGMT)</f>
        <v>0</v>
      </c>
      <c r="Y338" s="112" cm="1">
        <f t="array" ref="Y338">IF(U338="",0,_xlfn.XLOOKUP(E338&amp;U338&amp;F338,tab_act&amp;tab_mod&amp;tab_act1,tab_sor)*V338*T338/MGMT)</f>
        <v>0</v>
      </c>
      <c r="Z338" s="112" cm="1">
        <f t="array" ref="Z338">IF(U338="",0,_xlfn.XLOOKUP(E338&amp;U338&amp;F338,tab_act&amp;tab_mod&amp;tab_act1,tab_mg)*V338*T338/MGMT)</f>
        <v>0</v>
      </c>
      <c r="AA338" s="113" cm="1">
        <f t="array" ref="AA338">IF(U338="",0,IF(U338="hybrid-Sch",_xlfn.XLOOKUP(E338&amp;U338&amp;F338,tab_act&amp;tab_mod&amp;tab_act1,tab_ls)*SchLS*T338/MGMT,_xlfn.XLOOKUP(E338&amp;U338&amp;F338,tab_act&amp;tab_mod&amp;tab_act1,tab_ls)*V338*T338/MGMT))</f>
        <v>0</v>
      </c>
      <c r="AB338" s="113" cm="1">
        <f t="array" ref="AB338">IF(U338="",0,_xlfn.XLOOKUP(E338&amp;U338&amp;F338,tab_act&amp;tab_mod&amp;tab_act1,tab_hu)*V338*T338/MGMT)</f>
        <v>5.6099999999999997E-2</v>
      </c>
      <c r="AC338" s="113" cm="1">
        <f t="array" ref="AC338">IF(U338="",0,_xlfn.XLOOKUP(E338&amp;U338&amp;F338,tab_act&amp;tab_mod&amp;tab_act1,tab_mnp)*V338*T338/MGMT)</f>
        <v>0</v>
      </c>
      <c r="AD338" s="113" cm="1">
        <f t="array" ref="AD338">IF(U338="",0,_xlfn.XLOOKUP(E338&amp;U338&amp;F338,tab_act&amp;tab_mod&amp;tab_act1,tab_Psup)*V338*T338/MGMT)</f>
        <v>0</v>
      </c>
      <c r="AE338" s="113" cm="1">
        <f t="array" ref="AE338">IF(U338="",0,_xlfn.XLOOKUP(E338&amp;U338&amp;F338,tab_act&amp;tab_mod&amp;tab_act1,tab_csb1)*V338*T338/MGMT)</f>
        <v>0.56100000000000005</v>
      </c>
      <c r="AF338" s="113" cm="1">
        <f t="array" ref="AF338">IF(U338="",0,_xlfn.XLOOKUP(E338&amp;U338&amp;F338,tab_act&amp;tab_mod&amp;tab_act1,tab_csb2)*V338*T338/MGMT)</f>
        <v>0</v>
      </c>
      <c r="AG338" s="113" cm="1">
        <f t="array" ref="AG338">IF(U338="",0,_xlfn.XLOOKUP(E338&amp;U338&amp;F338,tab_act&amp;tab_mod&amp;tab_act1,tab_pdoz)*V338*T338/MGMT)</f>
        <v>0</v>
      </c>
      <c r="AH338" s="113" cm="1">
        <f t="array" ref="AH338">IF(U338="",0,_xlfn.XLOOKUP(E338&amp;U338&amp;F338,tab_act&amp;tab_mod&amp;tab_act1,tab_lns)*V338*T338/MGMT)</f>
        <v>0</v>
      </c>
      <c r="AI338" s="114">
        <f t="shared" si="27"/>
        <v>0.61710000000000009</v>
      </c>
      <c r="AJ338" s="115" cm="1">
        <f t="array" ref="AJ338">IF(U338="",0,_xlfn.XLOOKUP(E338&amp;U338&amp;F338,tab_act&amp;tab_mod&amp;tab_act1,tab_cash)*T338)</f>
        <v>0</v>
      </c>
      <c r="AK338" s="148" cm="1">
        <f t="array" ref="AK338">IF(B338="",0,IF(C338="",0,AJ338/_xlfn.XLOOKUP(B338&amp;C338,RMth&amp;RYr,RAr)))</f>
        <v>0</v>
      </c>
      <c r="AL338" s="90"/>
      <c r="AM338" s="90"/>
      <c r="AN338" s="141" t="s">
        <v>248</v>
      </c>
    </row>
    <row r="339" spans="2:40" x14ac:dyDescent="0.35">
      <c r="B339" s="50" t="s">
        <v>130</v>
      </c>
      <c r="C339" s="44">
        <v>2023</v>
      </c>
      <c r="D339" s="44" t="s">
        <v>100</v>
      </c>
      <c r="E339" s="15" t="s">
        <v>39</v>
      </c>
      <c r="F339" s="142" t="s">
        <v>117</v>
      </c>
      <c r="G339" s="15" t="s">
        <v>159</v>
      </c>
      <c r="H339" s="44"/>
      <c r="I339" s="15" t="s">
        <v>94</v>
      </c>
      <c r="J339" s="15" t="s">
        <v>94</v>
      </c>
      <c r="K339" s="15" t="s">
        <v>160</v>
      </c>
      <c r="L339" s="15" t="s">
        <v>95</v>
      </c>
      <c r="M339" s="15" t="s">
        <v>94</v>
      </c>
      <c r="N339" s="15" t="s">
        <v>67</v>
      </c>
      <c r="O339" s="15" t="s">
        <v>161</v>
      </c>
      <c r="P339" s="15" t="s">
        <v>180</v>
      </c>
      <c r="Q339" s="135"/>
      <c r="R339" s="42">
        <v>198</v>
      </c>
      <c r="S339" s="42">
        <f t="shared" si="25"/>
        <v>198</v>
      </c>
      <c r="T339" s="43">
        <f t="shared" si="26"/>
        <v>198</v>
      </c>
      <c r="U339" s="15" t="s">
        <v>41</v>
      </c>
      <c r="V339" s="150">
        <v>30</v>
      </c>
      <c r="W339" s="111" cm="1">
        <f t="array" ref="W339">IF(U339="",0,_xlfn.XLOOKUP(E339&amp;U339&amp;F339,tab_act&amp;tab_mod&amp;tab_act1,tab_riz)*V339*T339/MGMT)</f>
        <v>0</v>
      </c>
      <c r="X339" s="112" cm="1">
        <f t="array" ref="X339">IF(U339="",0,_xlfn.XLOOKUP(E339&amp;U339&amp;F339,tab_act&amp;tab_mod&amp;tab_act1,tab_mc)*V339*T339/MGMT)</f>
        <v>0</v>
      </c>
      <c r="Y339" s="112" cm="1">
        <f t="array" ref="Y339">IF(U339="",0,_xlfn.XLOOKUP(E339&amp;U339&amp;F339,tab_act&amp;tab_mod&amp;tab_act1,tab_sor)*V339*T339/MGMT)</f>
        <v>0</v>
      </c>
      <c r="Z339" s="112" cm="1">
        <f t="array" ref="Z339">IF(U339="",0,_xlfn.XLOOKUP(E339&amp;U339&amp;F339,tab_act&amp;tab_mod&amp;tab_act1,tab_mg)*V339*T339/MGMT)</f>
        <v>0</v>
      </c>
      <c r="AA339" s="113" cm="1">
        <f t="array" ref="AA339">IF(U339="",0,IF(U339="hybrid-Sch",_xlfn.XLOOKUP(E339&amp;U339&amp;F339,tab_act&amp;tab_mod&amp;tab_act1,tab_ls)*SchLS*T339/MGMT,_xlfn.XLOOKUP(E339&amp;U339&amp;F339,tab_act&amp;tab_mod&amp;tab_act1,tab_ls)*V339*T339/MGMT))</f>
        <v>0</v>
      </c>
      <c r="AB339" s="113" cm="1">
        <f t="array" ref="AB339">IF(U339="",0,_xlfn.XLOOKUP(E339&amp;U339&amp;F339,tab_act&amp;tab_mod&amp;tab_act1,tab_hu)*V339*T339/MGMT)</f>
        <v>0.1188</v>
      </c>
      <c r="AC339" s="113" cm="1">
        <f t="array" ref="AC339">IF(U339="",0,_xlfn.XLOOKUP(E339&amp;U339&amp;F339,tab_act&amp;tab_mod&amp;tab_act1,tab_mnp)*V339*T339/MGMT)</f>
        <v>0</v>
      </c>
      <c r="AD339" s="113" cm="1">
        <f t="array" ref="AD339">IF(U339="",0,_xlfn.XLOOKUP(E339&amp;U339&amp;F339,tab_act&amp;tab_mod&amp;tab_act1,tab_Psup)*V339*T339/MGMT)</f>
        <v>0</v>
      </c>
      <c r="AE339" s="113" cm="1">
        <f t="array" ref="AE339">IF(U339="",0,_xlfn.XLOOKUP(E339&amp;U339&amp;F339,tab_act&amp;tab_mod&amp;tab_act1,tab_csb1)*V339*T339/MGMT)</f>
        <v>1.1879999999999999</v>
      </c>
      <c r="AF339" s="113" cm="1">
        <f t="array" ref="AF339">IF(U339="",0,_xlfn.XLOOKUP(E339&amp;U339&amp;F339,tab_act&amp;tab_mod&amp;tab_act1,tab_csb2)*V339*T339/MGMT)</f>
        <v>0</v>
      </c>
      <c r="AG339" s="113" cm="1">
        <f t="array" ref="AG339">IF(U339="",0,_xlfn.XLOOKUP(E339&amp;U339&amp;F339,tab_act&amp;tab_mod&amp;tab_act1,tab_pdoz)*V339*T339/MGMT)</f>
        <v>0</v>
      </c>
      <c r="AH339" s="113" cm="1">
        <f t="array" ref="AH339">IF(U339="",0,_xlfn.XLOOKUP(E339&amp;U339&amp;F339,tab_act&amp;tab_mod&amp;tab_act1,tab_lns)*V339*T339/MGMT)</f>
        <v>0</v>
      </c>
      <c r="AI339" s="114">
        <f t="shared" si="27"/>
        <v>1.3068</v>
      </c>
      <c r="AJ339" s="115" cm="1">
        <f t="array" ref="AJ339">IF(U339="",0,_xlfn.XLOOKUP(E339&amp;U339&amp;F339,tab_act&amp;tab_mod&amp;tab_act1,tab_cash)*T339)</f>
        <v>0</v>
      </c>
      <c r="AK339" s="148" cm="1">
        <f t="array" ref="AK339">IF(B339="",0,IF(C339="",0,AJ339/_xlfn.XLOOKUP(B339&amp;C339,RMth&amp;RYr,RAr)))</f>
        <v>0</v>
      </c>
      <c r="AL339" s="90"/>
      <c r="AM339" s="90"/>
      <c r="AN339" s="141" t="s">
        <v>248</v>
      </c>
    </row>
    <row r="340" spans="2:40" x14ac:dyDescent="0.35">
      <c r="B340" s="50" t="s">
        <v>130</v>
      </c>
      <c r="C340" s="44">
        <v>2023</v>
      </c>
      <c r="D340" s="44" t="s">
        <v>100</v>
      </c>
      <c r="E340" s="15" t="s">
        <v>39</v>
      </c>
      <c r="F340" s="142" t="s">
        <v>117</v>
      </c>
      <c r="G340" s="15" t="s">
        <v>159</v>
      </c>
      <c r="H340" s="44"/>
      <c r="I340" s="15" t="s">
        <v>94</v>
      </c>
      <c r="J340" s="15" t="s">
        <v>94</v>
      </c>
      <c r="K340" s="15" t="s">
        <v>160</v>
      </c>
      <c r="L340" s="15" t="s">
        <v>95</v>
      </c>
      <c r="M340" s="15" t="s">
        <v>94</v>
      </c>
      <c r="N340" s="15" t="s">
        <v>67</v>
      </c>
      <c r="O340" s="15" t="s">
        <v>161</v>
      </c>
      <c r="P340" s="15" t="s">
        <v>181</v>
      </c>
      <c r="Q340" s="135"/>
      <c r="R340" s="42">
        <v>84.7</v>
      </c>
      <c r="S340" s="42">
        <f t="shared" si="25"/>
        <v>84.7</v>
      </c>
      <c r="T340" s="43">
        <f t="shared" si="26"/>
        <v>84.7</v>
      </c>
      <c r="U340" s="15" t="s">
        <v>41</v>
      </c>
      <c r="V340" s="150">
        <v>30</v>
      </c>
      <c r="W340" s="111" cm="1">
        <f t="array" ref="W340">IF(U340="",0,_xlfn.XLOOKUP(E340&amp;U340&amp;F340,tab_act&amp;tab_mod&amp;tab_act1,tab_riz)*V340*T340/MGMT)</f>
        <v>0</v>
      </c>
      <c r="X340" s="112" cm="1">
        <f t="array" ref="X340">IF(U340="",0,_xlfn.XLOOKUP(E340&amp;U340&amp;F340,tab_act&amp;tab_mod&amp;tab_act1,tab_mc)*V340*T340/MGMT)</f>
        <v>0</v>
      </c>
      <c r="Y340" s="112" cm="1">
        <f t="array" ref="Y340">IF(U340="",0,_xlfn.XLOOKUP(E340&amp;U340&amp;F340,tab_act&amp;tab_mod&amp;tab_act1,tab_sor)*V340*T340/MGMT)</f>
        <v>0</v>
      </c>
      <c r="Z340" s="112" cm="1">
        <f t="array" ref="Z340">IF(U340="",0,_xlfn.XLOOKUP(E340&amp;U340&amp;F340,tab_act&amp;tab_mod&amp;tab_act1,tab_mg)*V340*T340/MGMT)</f>
        <v>0</v>
      </c>
      <c r="AA340" s="113" cm="1">
        <f t="array" ref="AA340">IF(U340="",0,IF(U340="hybrid-Sch",_xlfn.XLOOKUP(E340&amp;U340&amp;F340,tab_act&amp;tab_mod&amp;tab_act1,tab_ls)*SchLS*T340/MGMT,_xlfn.XLOOKUP(E340&amp;U340&amp;F340,tab_act&amp;tab_mod&amp;tab_act1,tab_ls)*V340*T340/MGMT))</f>
        <v>0</v>
      </c>
      <c r="AB340" s="113" cm="1">
        <f t="array" ref="AB340">IF(U340="",0,_xlfn.XLOOKUP(E340&amp;U340&amp;F340,tab_act&amp;tab_mod&amp;tab_act1,tab_hu)*V340*T340/MGMT)</f>
        <v>5.0819999999999997E-2</v>
      </c>
      <c r="AC340" s="113" cm="1">
        <f t="array" ref="AC340">IF(U340="",0,_xlfn.XLOOKUP(E340&amp;U340&amp;F340,tab_act&amp;tab_mod&amp;tab_act1,tab_mnp)*V340*T340/MGMT)</f>
        <v>0</v>
      </c>
      <c r="AD340" s="113" cm="1">
        <f t="array" ref="AD340">IF(U340="",0,_xlfn.XLOOKUP(E340&amp;U340&amp;F340,tab_act&amp;tab_mod&amp;tab_act1,tab_Psup)*V340*T340/MGMT)</f>
        <v>0</v>
      </c>
      <c r="AE340" s="113" cm="1">
        <f t="array" ref="AE340">IF(U340="",0,_xlfn.XLOOKUP(E340&amp;U340&amp;F340,tab_act&amp;tab_mod&amp;tab_act1,tab_csb1)*V340*T340/MGMT)</f>
        <v>0.50819999999999999</v>
      </c>
      <c r="AF340" s="113" cm="1">
        <f t="array" ref="AF340">IF(U340="",0,_xlfn.XLOOKUP(E340&amp;U340&amp;F340,tab_act&amp;tab_mod&amp;tab_act1,tab_csb2)*V340*T340/MGMT)</f>
        <v>0</v>
      </c>
      <c r="AG340" s="113" cm="1">
        <f t="array" ref="AG340">IF(U340="",0,_xlfn.XLOOKUP(E340&amp;U340&amp;F340,tab_act&amp;tab_mod&amp;tab_act1,tab_pdoz)*V340*T340/MGMT)</f>
        <v>0</v>
      </c>
      <c r="AH340" s="113" cm="1">
        <f t="array" ref="AH340">IF(U340="",0,_xlfn.XLOOKUP(E340&amp;U340&amp;F340,tab_act&amp;tab_mod&amp;tab_act1,tab_lns)*V340*T340/MGMT)</f>
        <v>0</v>
      </c>
      <c r="AI340" s="114">
        <f t="shared" si="27"/>
        <v>0.55901999999999996</v>
      </c>
      <c r="AJ340" s="115" cm="1">
        <f t="array" ref="AJ340">IF(U340="",0,_xlfn.XLOOKUP(E340&amp;U340&amp;F340,tab_act&amp;tab_mod&amp;tab_act1,tab_cash)*T340)</f>
        <v>0</v>
      </c>
      <c r="AK340" s="148" cm="1">
        <f t="array" ref="AK340">IF(B340="",0,IF(C340="",0,AJ340/_xlfn.XLOOKUP(B340&amp;C340,RMth&amp;RYr,RAr)))</f>
        <v>0</v>
      </c>
      <c r="AL340" s="90"/>
      <c r="AM340" s="90"/>
      <c r="AN340" s="141" t="s">
        <v>248</v>
      </c>
    </row>
    <row r="341" spans="2:40" x14ac:dyDescent="0.35">
      <c r="B341" s="50" t="s">
        <v>130</v>
      </c>
      <c r="C341" s="44">
        <v>2023</v>
      </c>
      <c r="D341" s="44" t="s">
        <v>100</v>
      </c>
      <c r="E341" s="15" t="s">
        <v>39</v>
      </c>
      <c r="F341" s="142" t="s">
        <v>117</v>
      </c>
      <c r="G341" s="15" t="s">
        <v>159</v>
      </c>
      <c r="H341" s="44"/>
      <c r="I341" s="15" t="s">
        <v>94</v>
      </c>
      <c r="J341" s="15" t="s">
        <v>94</v>
      </c>
      <c r="K341" s="15" t="s">
        <v>160</v>
      </c>
      <c r="L341" s="15" t="s">
        <v>95</v>
      </c>
      <c r="M341" s="15" t="s">
        <v>94</v>
      </c>
      <c r="N341" s="15" t="s">
        <v>67</v>
      </c>
      <c r="O341" s="15" t="s">
        <v>182</v>
      </c>
      <c r="P341" s="15" t="s">
        <v>183</v>
      </c>
      <c r="Q341" s="135"/>
      <c r="R341" s="42">
        <v>140.80000000000001</v>
      </c>
      <c r="S341" s="42">
        <f t="shared" si="25"/>
        <v>140.80000000000001</v>
      </c>
      <c r="T341" s="43">
        <f t="shared" si="26"/>
        <v>140.80000000000001</v>
      </c>
      <c r="U341" s="15" t="s">
        <v>41</v>
      </c>
      <c r="V341" s="150">
        <v>30</v>
      </c>
      <c r="W341" s="111" cm="1">
        <f t="array" ref="W341">IF(U341="",0,_xlfn.XLOOKUP(E341&amp;U341&amp;F341,tab_act&amp;tab_mod&amp;tab_act1,tab_riz)*V341*T341/MGMT)</f>
        <v>0</v>
      </c>
      <c r="X341" s="112" cm="1">
        <f t="array" ref="X341">IF(U341="",0,_xlfn.XLOOKUP(E341&amp;U341&amp;F341,tab_act&amp;tab_mod&amp;tab_act1,tab_mc)*V341*T341/MGMT)</f>
        <v>0</v>
      </c>
      <c r="Y341" s="112" cm="1">
        <f t="array" ref="Y341">IF(U341="",0,_xlfn.XLOOKUP(E341&amp;U341&amp;F341,tab_act&amp;tab_mod&amp;tab_act1,tab_sor)*V341*T341/MGMT)</f>
        <v>0</v>
      </c>
      <c r="Z341" s="112" cm="1">
        <f t="array" ref="Z341">IF(U341="",0,_xlfn.XLOOKUP(E341&amp;U341&amp;F341,tab_act&amp;tab_mod&amp;tab_act1,tab_mg)*V341*T341/MGMT)</f>
        <v>0</v>
      </c>
      <c r="AA341" s="113" cm="1">
        <f t="array" ref="AA341">IF(U341="",0,IF(U341="hybrid-Sch",_xlfn.XLOOKUP(E341&amp;U341&amp;F341,tab_act&amp;tab_mod&amp;tab_act1,tab_ls)*SchLS*T341/MGMT,_xlfn.XLOOKUP(E341&amp;U341&amp;F341,tab_act&amp;tab_mod&amp;tab_act1,tab_ls)*V341*T341/MGMT))</f>
        <v>0</v>
      </c>
      <c r="AB341" s="113" cm="1">
        <f t="array" ref="AB341">IF(U341="",0,_xlfn.XLOOKUP(E341&amp;U341&amp;F341,tab_act&amp;tab_mod&amp;tab_act1,tab_hu)*V341*T341/MGMT)</f>
        <v>8.448E-2</v>
      </c>
      <c r="AC341" s="113" cm="1">
        <f t="array" ref="AC341">IF(U341="",0,_xlfn.XLOOKUP(E341&amp;U341&amp;F341,tab_act&amp;tab_mod&amp;tab_act1,tab_mnp)*V341*T341/MGMT)</f>
        <v>0</v>
      </c>
      <c r="AD341" s="113" cm="1">
        <f t="array" ref="AD341">IF(U341="",0,_xlfn.XLOOKUP(E341&amp;U341&amp;F341,tab_act&amp;tab_mod&amp;tab_act1,tab_Psup)*V341*T341/MGMT)</f>
        <v>0</v>
      </c>
      <c r="AE341" s="113" cm="1">
        <f t="array" ref="AE341">IF(U341="",0,_xlfn.XLOOKUP(E341&amp;U341&amp;F341,tab_act&amp;tab_mod&amp;tab_act1,tab_csb1)*V341*T341/MGMT)</f>
        <v>0.84480000000000011</v>
      </c>
      <c r="AF341" s="113" cm="1">
        <f t="array" ref="AF341">IF(U341="",0,_xlfn.XLOOKUP(E341&amp;U341&amp;F341,tab_act&amp;tab_mod&amp;tab_act1,tab_csb2)*V341*T341/MGMT)</f>
        <v>0</v>
      </c>
      <c r="AG341" s="113" cm="1">
        <f t="array" ref="AG341">IF(U341="",0,_xlfn.XLOOKUP(E341&amp;U341&amp;F341,tab_act&amp;tab_mod&amp;tab_act1,tab_pdoz)*V341*T341/MGMT)</f>
        <v>0</v>
      </c>
      <c r="AH341" s="113" cm="1">
        <f t="array" ref="AH341">IF(U341="",0,_xlfn.XLOOKUP(E341&amp;U341&amp;F341,tab_act&amp;tab_mod&amp;tab_act1,tab_lns)*V341*T341/MGMT)</f>
        <v>0</v>
      </c>
      <c r="AI341" s="114">
        <f t="shared" si="27"/>
        <v>0.92928000000000011</v>
      </c>
      <c r="AJ341" s="115" cm="1">
        <f t="array" ref="AJ341">IF(U341="",0,_xlfn.XLOOKUP(E341&amp;U341&amp;F341,tab_act&amp;tab_mod&amp;tab_act1,tab_cash)*T341)</f>
        <v>0</v>
      </c>
      <c r="AK341" s="148" cm="1">
        <f t="array" ref="AK341">IF(B341="",0,IF(C341="",0,AJ341/_xlfn.XLOOKUP(B341&amp;C341,RMth&amp;RYr,RAr)))</f>
        <v>0</v>
      </c>
      <c r="AL341" s="90"/>
      <c r="AM341" s="90"/>
      <c r="AN341" s="141" t="s">
        <v>248</v>
      </c>
    </row>
    <row r="342" spans="2:40" x14ac:dyDescent="0.35">
      <c r="B342" s="50" t="s">
        <v>130</v>
      </c>
      <c r="C342" s="44">
        <v>2023</v>
      </c>
      <c r="D342" s="44" t="s">
        <v>100</v>
      </c>
      <c r="E342" s="15" t="s">
        <v>39</v>
      </c>
      <c r="F342" s="142" t="s">
        <v>117</v>
      </c>
      <c r="G342" s="15" t="s">
        <v>159</v>
      </c>
      <c r="H342" s="44"/>
      <c r="I342" s="15" t="s">
        <v>94</v>
      </c>
      <c r="J342" s="15" t="s">
        <v>94</v>
      </c>
      <c r="K342" s="15" t="s">
        <v>160</v>
      </c>
      <c r="L342" s="15" t="s">
        <v>95</v>
      </c>
      <c r="M342" s="15" t="s">
        <v>94</v>
      </c>
      <c r="N342" s="15" t="s">
        <v>67</v>
      </c>
      <c r="O342" s="15" t="s">
        <v>182</v>
      </c>
      <c r="P342" s="15" t="s">
        <v>184</v>
      </c>
      <c r="Q342" s="135"/>
      <c r="R342" s="42">
        <v>243.1</v>
      </c>
      <c r="S342" s="42">
        <f t="shared" si="25"/>
        <v>243.1</v>
      </c>
      <c r="T342" s="43">
        <f t="shared" si="26"/>
        <v>243.1</v>
      </c>
      <c r="U342" s="15" t="s">
        <v>41</v>
      </c>
      <c r="V342" s="150">
        <v>30</v>
      </c>
      <c r="W342" s="111" cm="1">
        <f t="array" ref="W342">IF(U342="",0,_xlfn.XLOOKUP(E342&amp;U342&amp;F342,tab_act&amp;tab_mod&amp;tab_act1,tab_riz)*V342*T342/MGMT)</f>
        <v>0</v>
      </c>
      <c r="X342" s="112" cm="1">
        <f t="array" ref="X342">IF(U342="",0,_xlfn.XLOOKUP(E342&amp;U342&amp;F342,tab_act&amp;tab_mod&amp;tab_act1,tab_mc)*V342*T342/MGMT)</f>
        <v>0</v>
      </c>
      <c r="Y342" s="112" cm="1">
        <f t="array" ref="Y342">IF(U342="",0,_xlfn.XLOOKUP(E342&amp;U342&amp;F342,tab_act&amp;tab_mod&amp;tab_act1,tab_sor)*V342*T342/MGMT)</f>
        <v>0</v>
      </c>
      <c r="Z342" s="112" cm="1">
        <f t="array" ref="Z342">IF(U342="",0,_xlfn.XLOOKUP(E342&amp;U342&amp;F342,tab_act&amp;tab_mod&amp;tab_act1,tab_mg)*V342*T342/MGMT)</f>
        <v>0</v>
      </c>
      <c r="AA342" s="113" cm="1">
        <f t="array" ref="AA342">IF(U342="",0,IF(U342="hybrid-Sch",_xlfn.XLOOKUP(E342&amp;U342&amp;F342,tab_act&amp;tab_mod&amp;tab_act1,tab_ls)*SchLS*T342/MGMT,_xlfn.XLOOKUP(E342&amp;U342&amp;F342,tab_act&amp;tab_mod&amp;tab_act1,tab_ls)*V342*T342/MGMT))</f>
        <v>0</v>
      </c>
      <c r="AB342" s="113" cm="1">
        <f t="array" ref="AB342">IF(U342="",0,_xlfn.XLOOKUP(E342&amp;U342&amp;F342,tab_act&amp;tab_mod&amp;tab_act1,tab_hu)*V342*T342/MGMT)</f>
        <v>0.14585999999999999</v>
      </c>
      <c r="AC342" s="113" cm="1">
        <f t="array" ref="AC342">IF(U342="",0,_xlfn.XLOOKUP(E342&amp;U342&amp;F342,tab_act&amp;tab_mod&amp;tab_act1,tab_mnp)*V342*T342/MGMT)</f>
        <v>0</v>
      </c>
      <c r="AD342" s="113" cm="1">
        <f t="array" ref="AD342">IF(U342="",0,_xlfn.XLOOKUP(E342&amp;U342&amp;F342,tab_act&amp;tab_mod&amp;tab_act1,tab_Psup)*V342*T342/MGMT)</f>
        <v>0</v>
      </c>
      <c r="AE342" s="113" cm="1">
        <f t="array" ref="AE342">IF(U342="",0,_xlfn.XLOOKUP(E342&amp;U342&amp;F342,tab_act&amp;tab_mod&amp;tab_act1,tab_csb1)*V342*T342/MGMT)</f>
        <v>1.4585999999999999</v>
      </c>
      <c r="AF342" s="113" cm="1">
        <f t="array" ref="AF342">IF(U342="",0,_xlfn.XLOOKUP(E342&amp;U342&amp;F342,tab_act&amp;tab_mod&amp;tab_act1,tab_csb2)*V342*T342/MGMT)</f>
        <v>0</v>
      </c>
      <c r="AG342" s="113" cm="1">
        <f t="array" ref="AG342">IF(U342="",0,_xlfn.XLOOKUP(E342&amp;U342&amp;F342,tab_act&amp;tab_mod&amp;tab_act1,tab_pdoz)*V342*T342/MGMT)</f>
        <v>0</v>
      </c>
      <c r="AH342" s="113" cm="1">
        <f t="array" ref="AH342">IF(U342="",0,_xlfn.XLOOKUP(E342&amp;U342&amp;F342,tab_act&amp;tab_mod&amp;tab_act1,tab_lns)*V342*T342/MGMT)</f>
        <v>0</v>
      </c>
      <c r="AI342" s="114">
        <f t="shared" si="27"/>
        <v>1.60446</v>
      </c>
      <c r="AJ342" s="115" cm="1">
        <f t="array" ref="AJ342">IF(U342="",0,_xlfn.XLOOKUP(E342&amp;U342&amp;F342,tab_act&amp;tab_mod&amp;tab_act1,tab_cash)*T342)</f>
        <v>0</v>
      </c>
      <c r="AK342" s="148" cm="1">
        <f t="array" ref="AK342">IF(B342="",0,IF(C342="",0,AJ342/_xlfn.XLOOKUP(B342&amp;C342,RMth&amp;RYr,RAr)))</f>
        <v>0</v>
      </c>
      <c r="AL342" s="90"/>
      <c r="AM342" s="90"/>
      <c r="AN342" s="141" t="s">
        <v>248</v>
      </c>
    </row>
    <row r="343" spans="2:40" x14ac:dyDescent="0.35">
      <c r="B343" s="50" t="s">
        <v>130</v>
      </c>
      <c r="C343" s="44">
        <v>2023</v>
      </c>
      <c r="D343" s="44" t="s">
        <v>100</v>
      </c>
      <c r="E343" s="15" t="s">
        <v>39</v>
      </c>
      <c r="F343" s="142" t="s">
        <v>117</v>
      </c>
      <c r="G343" s="15" t="s">
        <v>159</v>
      </c>
      <c r="H343" s="44"/>
      <c r="I343" s="15" t="s">
        <v>94</v>
      </c>
      <c r="J343" s="15" t="s">
        <v>94</v>
      </c>
      <c r="K343" s="15" t="s">
        <v>160</v>
      </c>
      <c r="L343" s="15" t="s">
        <v>95</v>
      </c>
      <c r="M343" s="15" t="s">
        <v>94</v>
      </c>
      <c r="N343" s="15" t="s">
        <v>67</v>
      </c>
      <c r="O343" s="15" t="s">
        <v>182</v>
      </c>
      <c r="P343" s="15" t="s">
        <v>185</v>
      </c>
      <c r="Q343" s="135"/>
      <c r="R343" s="42">
        <v>282.7</v>
      </c>
      <c r="S343" s="42">
        <f t="shared" si="25"/>
        <v>282.7</v>
      </c>
      <c r="T343" s="43">
        <f t="shared" si="26"/>
        <v>282.7</v>
      </c>
      <c r="U343" s="15" t="s">
        <v>41</v>
      </c>
      <c r="V343" s="150">
        <v>30</v>
      </c>
      <c r="W343" s="111" cm="1">
        <f t="array" ref="W343">IF(U343="",0,_xlfn.XLOOKUP(E343&amp;U343&amp;F343,tab_act&amp;tab_mod&amp;tab_act1,tab_riz)*V343*T343/MGMT)</f>
        <v>0</v>
      </c>
      <c r="X343" s="112" cm="1">
        <f t="array" ref="X343">IF(U343="",0,_xlfn.XLOOKUP(E343&amp;U343&amp;F343,tab_act&amp;tab_mod&amp;tab_act1,tab_mc)*V343*T343/MGMT)</f>
        <v>0</v>
      </c>
      <c r="Y343" s="112" cm="1">
        <f t="array" ref="Y343">IF(U343="",0,_xlfn.XLOOKUP(E343&amp;U343&amp;F343,tab_act&amp;tab_mod&amp;tab_act1,tab_sor)*V343*T343/MGMT)</f>
        <v>0</v>
      </c>
      <c r="Z343" s="112" cm="1">
        <f t="array" ref="Z343">IF(U343="",0,_xlfn.XLOOKUP(E343&amp;U343&amp;F343,tab_act&amp;tab_mod&amp;tab_act1,tab_mg)*V343*T343/MGMT)</f>
        <v>0</v>
      </c>
      <c r="AA343" s="113" cm="1">
        <f t="array" ref="AA343">IF(U343="",0,IF(U343="hybrid-Sch",_xlfn.XLOOKUP(E343&amp;U343&amp;F343,tab_act&amp;tab_mod&amp;tab_act1,tab_ls)*SchLS*T343/MGMT,_xlfn.XLOOKUP(E343&amp;U343&amp;F343,tab_act&amp;tab_mod&amp;tab_act1,tab_ls)*V343*T343/MGMT))</f>
        <v>0</v>
      </c>
      <c r="AB343" s="113" cm="1">
        <f t="array" ref="AB343">IF(U343="",0,_xlfn.XLOOKUP(E343&amp;U343&amp;F343,tab_act&amp;tab_mod&amp;tab_act1,tab_hu)*V343*T343/MGMT)</f>
        <v>0.16961999999999999</v>
      </c>
      <c r="AC343" s="113" cm="1">
        <f t="array" ref="AC343">IF(U343="",0,_xlfn.XLOOKUP(E343&amp;U343&amp;F343,tab_act&amp;tab_mod&amp;tab_act1,tab_mnp)*V343*T343/MGMT)</f>
        <v>0</v>
      </c>
      <c r="AD343" s="113" cm="1">
        <f t="array" ref="AD343">IF(U343="",0,_xlfn.XLOOKUP(E343&amp;U343&amp;F343,tab_act&amp;tab_mod&amp;tab_act1,tab_Psup)*V343*T343/MGMT)</f>
        <v>0</v>
      </c>
      <c r="AE343" s="113" cm="1">
        <f t="array" ref="AE343">IF(U343="",0,_xlfn.XLOOKUP(E343&amp;U343&amp;F343,tab_act&amp;tab_mod&amp;tab_act1,tab_csb1)*V343*T343/MGMT)</f>
        <v>1.6961999999999999</v>
      </c>
      <c r="AF343" s="113" cm="1">
        <f t="array" ref="AF343">IF(U343="",0,_xlfn.XLOOKUP(E343&amp;U343&amp;F343,tab_act&amp;tab_mod&amp;tab_act1,tab_csb2)*V343*T343/MGMT)</f>
        <v>0</v>
      </c>
      <c r="AG343" s="113" cm="1">
        <f t="array" ref="AG343">IF(U343="",0,_xlfn.XLOOKUP(E343&amp;U343&amp;F343,tab_act&amp;tab_mod&amp;tab_act1,tab_pdoz)*V343*T343/MGMT)</f>
        <v>0</v>
      </c>
      <c r="AH343" s="113" cm="1">
        <f t="array" ref="AH343">IF(U343="",0,_xlfn.XLOOKUP(E343&amp;U343&amp;F343,tab_act&amp;tab_mod&amp;tab_act1,tab_lns)*V343*T343/MGMT)</f>
        <v>0</v>
      </c>
      <c r="AI343" s="114">
        <f t="shared" si="27"/>
        <v>1.8658199999999998</v>
      </c>
      <c r="AJ343" s="115" cm="1">
        <f t="array" ref="AJ343">IF(U343="",0,_xlfn.XLOOKUP(E343&amp;U343&amp;F343,tab_act&amp;tab_mod&amp;tab_act1,tab_cash)*T343)</f>
        <v>0</v>
      </c>
      <c r="AK343" s="148" cm="1">
        <f t="array" ref="AK343">IF(B343="",0,IF(C343="",0,AJ343/_xlfn.XLOOKUP(B343&amp;C343,RMth&amp;RYr,RAr)))</f>
        <v>0</v>
      </c>
      <c r="AL343" s="90"/>
      <c r="AM343" s="90"/>
      <c r="AN343" s="141" t="s">
        <v>248</v>
      </c>
    </row>
    <row r="344" spans="2:40" x14ac:dyDescent="0.35">
      <c r="B344" s="50" t="s">
        <v>130</v>
      </c>
      <c r="C344" s="44">
        <v>2023</v>
      </c>
      <c r="D344" s="44" t="s">
        <v>100</v>
      </c>
      <c r="E344" s="15" t="s">
        <v>39</v>
      </c>
      <c r="F344" s="142" t="s">
        <v>117</v>
      </c>
      <c r="G344" s="15" t="s">
        <v>159</v>
      </c>
      <c r="H344" s="44"/>
      <c r="I344" s="15" t="s">
        <v>94</v>
      </c>
      <c r="J344" s="15" t="s">
        <v>94</v>
      </c>
      <c r="K344" s="15" t="s">
        <v>160</v>
      </c>
      <c r="L344" s="15" t="s">
        <v>95</v>
      </c>
      <c r="M344" s="15" t="s">
        <v>94</v>
      </c>
      <c r="N344" s="15" t="s">
        <v>67</v>
      </c>
      <c r="O344" s="15" t="s">
        <v>182</v>
      </c>
      <c r="P344" s="15" t="s">
        <v>186</v>
      </c>
      <c r="Q344" s="135"/>
      <c r="R344" s="42">
        <v>258.5</v>
      </c>
      <c r="S344" s="42">
        <f t="shared" si="25"/>
        <v>258.5</v>
      </c>
      <c r="T344" s="43">
        <f t="shared" si="26"/>
        <v>258.5</v>
      </c>
      <c r="U344" s="15" t="s">
        <v>41</v>
      </c>
      <c r="V344" s="150">
        <v>30</v>
      </c>
      <c r="W344" s="111" cm="1">
        <f t="array" ref="W344">IF(U344="",0,_xlfn.XLOOKUP(E344&amp;U344&amp;F344,tab_act&amp;tab_mod&amp;tab_act1,tab_riz)*V344*T344/MGMT)</f>
        <v>0</v>
      </c>
      <c r="X344" s="112" cm="1">
        <f t="array" ref="X344">IF(U344="",0,_xlfn.XLOOKUP(E344&amp;U344&amp;F344,tab_act&amp;tab_mod&amp;tab_act1,tab_mc)*V344*T344/MGMT)</f>
        <v>0</v>
      </c>
      <c r="Y344" s="112" cm="1">
        <f t="array" ref="Y344">IF(U344="",0,_xlfn.XLOOKUP(E344&amp;U344&amp;F344,tab_act&amp;tab_mod&amp;tab_act1,tab_sor)*V344*T344/MGMT)</f>
        <v>0</v>
      </c>
      <c r="Z344" s="112" cm="1">
        <f t="array" ref="Z344">IF(U344="",0,_xlfn.XLOOKUP(E344&amp;U344&amp;F344,tab_act&amp;tab_mod&amp;tab_act1,tab_mg)*V344*T344/MGMT)</f>
        <v>0</v>
      </c>
      <c r="AA344" s="113" cm="1">
        <f t="array" ref="AA344">IF(U344="",0,IF(U344="hybrid-Sch",_xlfn.XLOOKUP(E344&amp;U344&amp;F344,tab_act&amp;tab_mod&amp;tab_act1,tab_ls)*SchLS*T344/MGMT,_xlfn.XLOOKUP(E344&amp;U344&amp;F344,tab_act&amp;tab_mod&amp;tab_act1,tab_ls)*V344*T344/MGMT))</f>
        <v>0</v>
      </c>
      <c r="AB344" s="113" cm="1">
        <f t="array" ref="AB344">IF(U344="",0,_xlfn.XLOOKUP(E344&amp;U344&amp;F344,tab_act&amp;tab_mod&amp;tab_act1,tab_hu)*V344*T344/MGMT)</f>
        <v>0.15509999999999999</v>
      </c>
      <c r="AC344" s="113" cm="1">
        <f t="array" ref="AC344">IF(U344="",0,_xlfn.XLOOKUP(E344&amp;U344&amp;F344,tab_act&amp;tab_mod&amp;tab_act1,tab_mnp)*V344*T344/MGMT)</f>
        <v>0</v>
      </c>
      <c r="AD344" s="113" cm="1">
        <f t="array" ref="AD344">IF(U344="",0,_xlfn.XLOOKUP(E344&amp;U344&amp;F344,tab_act&amp;tab_mod&amp;tab_act1,tab_Psup)*V344*T344/MGMT)</f>
        <v>0</v>
      </c>
      <c r="AE344" s="113" cm="1">
        <f t="array" ref="AE344">IF(U344="",0,_xlfn.XLOOKUP(E344&amp;U344&amp;F344,tab_act&amp;tab_mod&amp;tab_act1,tab_csb1)*V344*T344/MGMT)</f>
        <v>1.5509999999999999</v>
      </c>
      <c r="AF344" s="113" cm="1">
        <f t="array" ref="AF344">IF(U344="",0,_xlfn.XLOOKUP(E344&amp;U344&amp;F344,tab_act&amp;tab_mod&amp;tab_act1,tab_csb2)*V344*T344/MGMT)</f>
        <v>0</v>
      </c>
      <c r="AG344" s="113" cm="1">
        <f t="array" ref="AG344">IF(U344="",0,_xlfn.XLOOKUP(E344&amp;U344&amp;F344,tab_act&amp;tab_mod&amp;tab_act1,tab_pdoz)*V344*T344/MGMT)</f>
        <v>0</v>
      </c>
      <c r="AH344" s="113" cm="1">
        <f t="array" ref="AH344">IF(U344="",0,_xlfn.XLOOKUP(E344&amp;U344&amp;F344,tab_act&amp;tab_mod&amp;tab_act1,tab_lns)*V344*T344/MGMT)</f>
        <v>0</v>
      </c>
      <c r="AI344" s="114">
        <f t="shared" si="27"/>
        <v>1.7060999999999999</v>
      </c>
      <c r="AJ344" s="115" cm="1">
        <f t="array" ref="AJ344">IF(U344="",0,_xlfn.XLOOKUP(E344&amp;U344&amp;F344,tab_act&amp;tab_mod&amp;tab_act1,tab_cash)*T344)</f>
        <v>0</v>
      </c>
      <c r="AK344" s="148" cm="1">
        <f t="array" ref="AK344">IF(B344="",0,IF(C344="",0,AJ344/_xlfn.XLOOKUP(B344&amp;C344,RMth&amp;RYr,RAr)))</f>
        <v>0</v>
      </c>
      <c r="AL344" s="90"/>
      <c r="AM344" s="90"/>
      <c r="AN344" s="141" t="s">
        <v>248</v>
      </c>
    </row>
    <row r="345" spans="2:40" x14ac:dyDescent="0.35">
      <c r="B345" s="50" t="s">
        <v>130</v>
      </c>
      <c r="C345" s="44">
        <v>2023</v>
      </c>
      <c r="D345" s="44" t="s">
        <v>100</v>
      </c>
      <c r="E345" s="15" t="s">
        <v>39</v>
      </c>
      <c r="F345" s="142" t="s">
        <v>117</v>
      </c>
      <c r="G345" s="15" t="s">
        <v>159</v>
      </c>
      <c r="H345" s="44"/>
      <c r="I345" s="15" t="s">
        <v>94</v>
      </c>
      <c r="J345" s="15" t="s">
        <v>94</v>
      </c>
      <c r="K345" s="15" t="s">
        <v>160</v>
      </c>
      <c r="L345" s="15" t="s">
        <v>95</v>
      </c>
      <c r="M345" s="15" t="s">
        <v>94</v>
      </c>
      <c r="N345" s="15" t="s">
        <v>67</v>
      </c>
      <c r="O345" s="15" t="s">
        <v>182</v>
      </c>
      <c r="P345" s="15" t="s">
        <v>187</v>
      </c>
      <c r="Q345" s="135"/>
      <c r="R345" s="42">
        <v>233.2</v>
      </c>
      <c r="S345" s="42">
        <f t="shared" si="25"/>
        <v>233.2</v>
      </c>
      <c r="T345" s="43">
        <f t="shared" si="26"/>
        <v>233.2</v>
      </c>
      <c r="U345" s="15" t="s">
        <v>41</v>
      </c>
      <c r="V345" s="150">
        <v>30</v>
      </c>
      <c r="W345" s="111" cm="1">
        <f t="array" ref="W345">IF(U345="",0,_xlfn.XLOOKUP(E345&amp;U345&amp;F345,tab_act&amp;tab_mod&amp;tab_act1,tab_riz)*V345*T345/MGMT)</f>
        <v>0</v>
      </c>
      <c r="X345" s="112" cm="1">
        <f t="array" ref="X345">IF(U345="",0,_xlfn.XLOOKUP(E345&amp;U345&amp;F345,tab_act&amp;tab_mod&amp;tab_act1,tab_mc)*V345*T345/MGMT)</f>
        <v>0</v>
      </c>
      <c r="Y345" s="112" cm="1">
        <f t="array" ref="Y345">IF(U345="",0,_xlfn.XLOOKUP(E345&amp;U345&amp;F345,tab_act&amp;tab_mod&amp;tab_act1,tab_sor)*V345*T345/MGMT)</f>
        <v>0</v>
      </c>
      <c r="Z345" s="112" cm="1">
        <f t="array" ref="Z345">IF(U345="",0,_xlfn.XLOOKUP(E345&amp;U345&amp;F345,tab_act&amp;tab_mod&amp;tab_act1,tab_mg)*V345*T345/MGMT)</f>
        <v>0</v>
      </c>
      <c r="AA345" s="113" cm="1">
        <f t="array" ref="AA345">IF(U345="",0,IF(U345="hybrid-Sch",_xlfn.XLOOKUP(E345&amp;U345&amp;F345,tab_act&amp;tab_mod&amp;tab_act1,tab_ls)*SchLS*T345/MGMT,_xlfn.XLOOKUP(E345&amp;U345&amp;F345,tab_act&amp;tab_mod&amp;tab_act1,tab_ls)*V345*T345/MGMT))</f>
        <v>0</v>
      </c>
      <c r="AB345" s="113" cm="1">
        <f t="array" ref="AB345">IF(U345="",0,_xlfn.XLOOKUP(E345&amp;U345&amp;F345,tab_act&amp;tab_mod&amp;tab_act1,tab_hu)*V345*T345/MGMT)</f>
        <v>0.13991999999999999</v>
      </c>
      <c r="AC345" s="113" cm="1">
        <f t="array" ref="AC345">IF(U345="",0,_xlfn.XLOOKUP(E345&amp;U345&amp;F345,tab_act&amp;tab_mod&amp;tab_act1,tab_mnp)*V345*T345/MGMT)</f>
        <v>0</v>
      </c>
      <c r="AD345" s="113" cm="1">
        <f t="array" ref="AD345">IF(U345="",0,_xlfn.XLOOKUP(E345&amp;U345&amp;F345,tab_act&amp;tab_mod&amp;tab_act1,tab_Psup)*V345*T345/MGMT)</f>
        <v>0</v>
      </c>
      <c r="AE345" s="113" cm="1">
        <f t="array" ref="AE345">IF(U345="",0,_xlfn.XLOOKUP(E345&amp;U345&amp;F345,tab_act&amp;tab_mod&amp;tab_act1,tab_csb1)*V345*T345/MGMT)</f>
        <v>1.3992</v>
      </c>
      <c r="AF345" s="113" cm="1">
        <f t="array" ref="AF345">IF(U345="",0,_xlfn.XLOOKUP(E345&amp;U345&amp;F345,tab_act&amp;tab_mod&amp;tab_act1,tab_csb2)*V345*T345/MGMT)</f>
        <v>0</v>
      </c>
      <c r="AG345" s="113" cm="1">
        <f t="array" ref="AG345">IF(U345="",0,_xlfn.XLOOKUP(E345&amp;U345&amp;F345,tab_act&amp;tab_mod&amp;tab_act1,tab_pdoz)*V345*T345/MGMT)</f>
        <v>0</v>
      </c>
      <c r="AH345" s="113" cm="1">
        <f t="array" ref="AH345">IF(U345="",0,_xlfn.XLOOKUP(E345&amp;U345&amp;F345,tab_act&amp;tab_mod&amp;tab_act1,tab_lns)*V345*T345/MGMT)</f>
        <v>0</v>
      </c>
      <c r="AI345" s="114">
        <f t="shared" si="27"/>
        <v>1.53912</v>
      </c>
      <c r="AJ345" s="115" cm="1">
        <f t="array" ref="AJ345">IF(U345="",0,_xlfn.XLOOKUP(E345&amp;U345&amp;F345,tab_act&amp;tab_mod&amp;tab_act1,tab_cash)*T345)</f>
        <v>0</v>
      </c>
      <c r="AK345" s="148" cm="1">
        <f t="array" ref="AK345">IF(B345="",0,IF(C345="",0,AJ345/_xlfn.XLOOKUP(B345&amp;C345,RMth&amp;RYr,RAr)))</f>
        <v>0</v>
      </c>
      <c r="AL345" s="90"/>
      <c r="AM345" s="90"/>
      <c r="AN345" s="141" t="s">
        <v>248</v>
      </c>
    </row>
    <row r="346" spans="2:40" x14ac:dyDescent="0.35">
      <c r="B346" s="50" t="s">
        <v>130</v>
      </c>
      <c r="C346" s="44">
        <v>2023</v>
      </c>
      <c r="D346" s="44" t="s">
        <v>100</v>
      </c>
      <c r="E346" s="15" t="s">
        <v>39</v>
      </c>
      <c r="F346" s="142" t="s">
        <v>117</v>
      </c>
      <c r="G346" s="15" t="s">
        <v>159</v>
      </c>
      <c r="H346" s="44"/>
      <c r="I346" s="15" t="s">
        <v>94</v>
      </c>
      <c r="J346" s="15" t="s">
        <v>94</v>
      </c>
      <c r="K346" s="15" t="s">
        <v>160</v>
      </c>
      <c r="L346" s="15" t="s">
        <v>95</v>
      </c>
      <c r="M346" s="15" t="s">
        <v>94</v>
      </c>
      <c r="N346" s="15" t="s">
        <v>67</v>
      </c>
      <c r="O346" s="15" t="s">
        <v>182</v>
      </c>
      <c r="P346" s="15" t="s">
        <v>188</v>
      </c>
      <c r="Q346" s="135"/>
      <c r="R346" s="42">
        <v>147.4</v>
      </c>
      <c r="S346" s="42">
        <f t="shared" si="25"/>
        <v>147.4</v>
      </c>
      <c r="T346" s="43">
        <f t="shared" si="26"/>
        <v>147.4</v>
      </c>
      <c r="U346" s="15" t="s">
        <v>41</v>
      </c>
      <c r="V346" s="150">
        <v>30</v>
      </c>
      <c r="W346" s="111" cm="1">
        <f t="array" ref="W346">IF(U346="",0,_xlfn.XLOOKUP(E346&amp;U346&amp;F346,tab_act&amp;tab_mod&amp;tab_act1,tab_riz)*V346*T346/MGMT)</f>
        <v>0</v>
      </c>
      <c r="X346" s="112" cm="1">
        <f t="array" ref="X346">IF(U346="",0,_xlfn.XLOOKUP(E346&amp;U346&amp;F346,tab_act&amp;tab_mod&amp;tab_act1,tab_mc)*V346*T346/MGMT)</f>
        <v>0</v>
      </c>
      <c r="Y346" s="112" cm="1">
        <f t="array" ref="Y346">IF(U346="",0,_xlfn.XLOOKUP(E346&amp;U346&amp;F346,tab_act&amp;tab_mod&amp;tab_act1,tab_sor)*V346*T346/MGMT)</f>
        <v>0</v>
      </c>
      <c r="Z346" s="112" cm="1">
        <f t="array" ref="Z346">IF(U346="",0,_xlfn.XLOOKUP(E346&amp;U346&amp;F346,tab_act&amp;tab_mod&amp;tab_act1,tab_mg)*V346*T346/MGMT)</f>
        <v>0</v>
      </c>
      <c r="AA346" s="113" cm="1">
        <f t="array" ref="AA346">IF(U346="",0,IF(U346="hybrid-Sch",_xlfn.XLOOKUP(E346&amp;U346&amp;F346,tab_act&amp;tab_mod&amp;tab_act1,tab_ls)*SchLS*T346/MGMT,_xlfn.XLOOKUP(E346&amp;U346&amp;F346,tab_act&amp;tab_mod&amp;tab_act1,tab_ls)*V346*T346/MGMT))</f>
        <v>0</v>
      </c>
      <c r="AB346" s="113" cm="1">
        <f t="array" ref="AB346">IF(U346="",0,_xlfn.XLOOKUP(E346&amp;U346&amp;F346,tab_act&amp;tab_mod&amp;tab_act1,tab_hu)*V346*T346/MGMT)</f>
        <v>8.8440000000000005E-2</v>
      </c>
      <c r="AC346" s="113" cm="1">
        <f t="array" ref="AC346">IF(U346="",0,_xlfn.XLOOKUP(E346&amp;U346&amp;F346,tab_act&amp;tab_mod&amp;tab_act1,tab_mnp)*V346*T346/MGMT)</f>
        <v>0</v>
      </c>
      <c r="AD346" s="113" cm="1">
        <f t="array" ref="AD346">IF(U346="",0,_xlfn.XLOOKUP(E346&amp;U346&amp;F346,tab_act&amp;tab_mod&amp;tab_act1,tab_Psup)*V346*T346/MGMT)</f>
        <v>0</v>
      </c>
      <c r="AE346" s="113" cm="1">
        <f t="array" ref="AE346">IF(U346="",0,_xlfn.XLOOKUP(E346&amp;U346&amp;F346,tab_act&amp;tab_mod&amp;tab_act1,tab_csb1)*V346*T346/MGMT)</f>
        <v>0.88439999999999996</v>
      </c>
      <c r="AF346" s="113" cm="1">
        <f t="array" ref="AF346">IF(U346="",0,_xlfn.XLOOKUP(E346&amp;U346&amp;F346,tab_act&amp;tab_mod&amp;tab_act1,tab_csb2)*V346*T346/MGMT)</f>
        <v>0</v>
      </c>
      <c r="AG346" s="113" cm="1">
        <f t="array" ref="AG346">IF(U346="",0,_xlfn.XLOOKUP(E346&amp;U346&amp;F346,tab_act&amp;tab_mod&amp;tab_act1,tab_pdoz)*V346*T346/MGMT)</f>
        <v>0</v>
      </c>
      <c r="AH346" s="113" cm="1">
        <f t="array" ref="AH346">IF(U346="",0,_xlfn.XLOOKUP(E346&amp;U346&amp;F346,tab_act&amp;tab_mod&amp;tab_act1,tab_lns)*V346*T346/MGMT)</f>
        <v>0</v>
      </c>
      <c r="AI346" s="114">
        <f t="shared" si="27"/>
        <v>0.97283999999999993</v>
      </c>
      <c r="AJ346" s="115" cm="1">
        <f t="array" ref="AJ346">IF(U346="",0,_xlfn.XLOOKUP(E346&amp;U346&amp;F346,tab_act&amp;tab_mod&amp;tab_act1,tab_cash)*T346)</f>
        <v>0</v>
      </c>
      <c r="AK346" s="148" cm="1">
        <f t="array" ref="AK346">IF(B346="",0,IF(C346="",0,AJ346/_xlfn.XLOOKUP(B346&amp;C346,RMth&amp;RYr,RAr)))</f>
        <v>0</v>
      </c>
      <c r="AL346" s="90"/>
      <c r="AM346" s="90"/>
      <c r="AN346" s="141" t="s">
        <v>248</v>
      </c>
    </row>
    <row r="347" spans="2:40" x14ac:dyDescent="0.35">
      <c r="B347" s="50" t="s">
        <v>130</v>
      </c>
      <c r="C347" s="44">
        <v>2023</v>
      </c>
      <c r="D347" s="44" t="s">
        <v>100</v>
      </c>
      <c r="E347" s="15" t="s">
        <v>39</v>
      </c>
      <c r="F347" s="142" t="s">
        <v>117</v>
      </c>
      <c r="G347" s="15" t="s">
        <v>159</v>
      </c>
      <c r="H347" s="44"/>
      <c r="I347" s="15" t="s">
        <v>94</v>
      </c>
      <c r="J347" s="15" t="s">
        <v>94</v>
      </c>
      <c r="K347" s="15" t="s">
        <v>160</v>
      </c>
      <c r="L347" s="15" t="s">
        <v>95</v>
      </c>
      <c r="M347" s="15" t="s">
        <v>94</v>
      </c>
      <c r="N347" s="15" t="s">
        <v>67</v>
      </c>
      <c r="O347" s="15" t="s">
        <v>182</v>
      </c>
      <c r="P347" s="15" t="s">
        <v>189</v>
      </c>
      <c r="Q347" s="135"/>
      <c r="R347" s="42">
        <v>201.3</v>
      </c>
      <c r="S347" s="42">
        <f t="shared" si="25"/>
        <v>201.3</v>
      </c>
      <c r="T347" s="43">
        <f t="shared" si="26"/>
        <v>201.3</v>
      </c>
      <c r="U347" s="15" t="s">
        <v>41</v>
      </c>
      <c r="V347" s="150">
        <v>30</v>
      </c>
      <c r="W347" s="111" cm="1">
        <f t="array" ref="W347">IF(U347="",0,_xlfn.XLOOKUP(E347&amp;U347&amp;F347,tab_act&amp;tab_mod&amp;tab_act1,tab_riz)*V347*T347/MGMT)</f>
        <v>0</v>
      </c>
      <c r="X347" s="112" cm="1">
        <f t="array" ref="X347">IF(U347="",0,_xlfn.XLOOKUP(E347&amp;U347&amp;F347,tab_act&amp;tab_mod&amp;tab_act1,tab_mc)*V347*T347/MGMT)</f>
        <v>0</v>
      </c>
      <c r="Y347" s="112" cm="1">
        <f t="array" ref="Y347">IF(U347="",0,_xlfn.XLOOKUP(E347&amp;U347&amp;F347,tab_act&amp;tab_mod&amp;tab_act1,tab_sor)*V347*T347/MGMT)</f>
        <v>0</v>
      </c>
      <c r="Z347" s="112" cm="1">
        <f t="array" ref="Z347">IF(U347="",0,_xlfn.XLOOKUP(E347&amp;U347&amp;F347,tab_act&amp;tab_mod&amp;tab_act1,tab_mg)*V347*T347/MGMT)</f>
        <v>0</v>
      </c>
      <c r="AA347" s="113" cm="1">
        <f t="array" ref="AA347">IF(U347="",0,IF(U347="hybrid-Sch",_xlfn.XLOOKUP(E347&amp;U347&amp;F347,tab_act&amp;tab_mod&amp;tab_act1,tab_ls)*SchLS*T347/MGMT,_xlfn.XLOOKUP(E347&amp;U347&amp;F347,tab_act&amp;tab_mod&amp;tab_act1,tab_ls)*V347*T347/MGMT))</f>
        <v>0</v>
      </c>
      <c r="AB347" s="113" cm="1">
        <f t="array" ref="AB347">IF(U347="",0,_xlfn.XLOOKUP(E347&amp;U347&amp;F347,tab_act&amp;tab_mod&amp;tab_act1,tab_hu)*V347*T347/MGMT)</f>
        <v>0.12078</v>
      </c>
      <c r="AC347" s="113" cm="1">
        <f t="array" ref="AC347">IF(U347="",0,_xlfn.XLOOKUP(E347&amp;U347&amp;F347,tab_act&amp;tab_mod&amp;tab_act1,tab_mnp)*V347*T347/MGMT)</f>
        <v>0</v>
      </c>
      <c r="AD347" s="113" cm="1">
        <f t="array" ref="AD347">IF(U347="",0,_xlfn.XLOOKUP(E347&amp;U347&amp;F347,tab_act&amp;tab_mod&amp;tab_act1,tab_Psup)*V347*T347/MGMT)</f>
        <v>0</v>
      </c>
      <c r="AE347" s="113" cm="1">
        <f t="array" ref="AE347">IF(U347="",0,_xlfn.XLOOKUP(E347&amp;U347&amp;F347,tab_act&amp;tab_mod&amp;tab_act1,tab_csb1)*V347*T347/MGMT)</f>
        <v>1.2078</v>
      </c>
      <c r="AF347" s="113" cm="1">
        <f t="array" ref="AF347">IF(U347="",0,_xlfn.XLOOKUP(E347&amp;U347&amp;F347,tab_act&amp;tab_mod&amp;tab_act1,tab_csb2)*V347*T347/MGMT)</f>
        <v>0</v>
      </c>
      <c r="AG347" s="113" cm="1">
        <f t="array" ref="AG347">IF(U347="",0,_xlfn.XLOOKUP(E347&amp;U347&amp;F347,tab_act&amp;tab_mod&amp;tab_act1,tab_pdoz)*V347*T347/MGMT)</f>
        <v>0</v>
      </c>
      <c r="AH347" s="113" cm="1">
        <f t="array" ref="AH347">IF(U347="",0,_xlfn.XLOOKUP(E347&amp;U347&amp;F347,tab_act&amp;tab_mod&amp;tab_act1,tab_lns)*V347*T347/MGMT)</f>
        <v>0</v>
      </c>
      <c r="AI347" s="114">
        <f t="shared" si="27"/>
        <v>1.3285800000000001</v>
      </c>
      <c r="AJ347" s="115" cm="1">
        <f t="array" ref="AJ347">IF(U347="",0,_xlfn.XLOOKUP(E347&amp;U347&amp;F347,tab_act&amp;tab_mod&amp;tab_act1,tab_cash)*T347)</f>
        <v>0</v>
      </c>
      <c r="AK347" s="148" cm="1">
        <f t="array" ref="AK347">IF(B347="",0,IF(C347="",0,AJ347/_xlfn.XLOOKUP(B347&amp;C347,RMth&amp;RYr,RAr)))</f>
        <v>0</v>
      </c>
      <c r="AL347" s="90"/>
      <c r="AM347" s="90"/>
      <c r="AN347" s="141" t="s">
        <v>248</v>
      </c>
    </row>
    <row r="348" spans="2:40" x14ac:dyDescent="0.35">
      <c r="B348" s="50" t="s">
        <v>130</v>
      </c>
      <c r="C348" s="44">
        <v>2023</v>
      </c>
      <c r="D348" s="44" t="s">
        <v>100</v>
      </c>
      <c r="E348" s="15" t="s">
        <v>39</v>
      </c>
      <c r="F348" s="142" t="s">
        <v>117</v>
      </c>
      <c r="G348" s="15" t="s">
        <v>159</v>
      </c>
      <c r="H348" s="44"/>
      <c r="I348" s="15" t="s">
        <v>94</v>
      </c>
      <c r="J348" s="15" t="s">
        <v>94</v>
      </c>
      <c r="K348" s="15" t="s">
        <v>160</v>
      </c>
      <c r="L348" s="15" t="s">
        <v>95</v>
      </c>
      <c r="M348" s="15" t="s">
        <v>94</v>
      </c>
      <c r="N348" s="15" t="s">
        <v>67</v>
      </c>
      <c r="O348" s="15" t="s">
        <v>182</v>
      </c>
      <c r="P348" s="15" t="s">
        <v>190</v>
      </c>
      <c r="Q348" s="135"/>
      <c r="R348" s="42">
        <v>115.5</v>
      </c>
      <c r="S348" s="42">
        <f t="shared" si="25"/>
        <v>115.5</v>
      </c>
      <c r="T348" s="43">
        <f t="shared" si="26"/>
        <v>115.5</v>
      </c>
      <c r="U348" s="15" t="s">
        <v>41</v>
      </c>
      <c r="V348" s="150">
        <v>30</v>
      </c>
      <c r="W348" s="111" cm="1">
        <f t="array" ref="W348">IF(U348="",0,_xlfn.XLOOKUP(E348&amp;U348&amp;F348,tab_act&amp;tab_mod&amp;tab_act1,tab_riz)*V348*T348/MGMT)</f>
        <v>0</v>
      </c>
      <c r="X348" s="112" cm="1">
        <f t="array" ref="X348">IF(U348="",0,_xlfn.XLOOKUP(E348&amp;U348&amp;F348,tab_act&amp;tab_mod&amp;tab_act1,tab_mc)*V348*T348/MGMT)</f>
        <v>0</v>
      </c>
      <c r="Y348" s="112" cm="1">
        <f t="array" ref="Y348">IF(U348="",0,_xlfn.XLOOKUP(E348&amp;U348&amp;F348,tab_act&amp;tab_mod&amp;tab_act1,tab_sor)*V348*T348/MGMT)</f>
        <v>0</v>
      </c>
      <c r="Z348" s="112" cm="1">
        <f t="array" ref="Z348">IF(U348="",0,_xlfn.XLOOKUP(E348&amp;U348&amp;F348,tab_act&amp;tab_mod&amp;tab_act1,tab_mg)*V348*T348/MGMT)</f>
        <v>0</v>
      </c>
      <c r="AA348" s="113" cm="1">
        <f t="array" ref="AA348">IF(U348="",0,IF(U348="hybrid-Sch",_xlfn.XLOOKUP(E348&amp;U348&amp;F348,tab_act&amp;tab_mod&amp;tab_act1,tab_ls)*SchLS*T348/MGMT,_xlfn.XLOOKUP(E348&amp;U348&amp;F348,tab_act&amp;tab_mod&amp;tab_act1,tab_ls)*V348*T348/MGMT))</f>
        <v>0</v>
      </c>
      <c r="AB348" s="113" cm="1">
        <f t="array" ref="AB348">IF(U348="",0,_xlfn.XLOOKUP(E348&amp;U348&amp;F348,tab_act&amp;tab_mod&amp;tab_act1,tab_hu)*V348*T348/MGMT)</f>
        <v>6.93E-2</v>
      </c>
      <c r="AC348" s="113" cm="1">
        <f t="array" ref="AC348">IF(U348="",0,_xlfn.XLOOKUP(E348&amp;U348&amp;F348,tab_act&amp;tab_mod&amp;tab_act1,tab_mnp)*V348*T348/MGMT)</f>
        <v>0</v>
      </c>
      <c r="AD348" s="113" cm="1">
        <f t="array" ref="AD348">IF(U348="",0,_xlfn.XLOOKUP(E348&amp;U348&amp;F348,tab_act&amp;tab_mod&amp;tab_act1,tab_Psup)*V348*T348/MGMT)</f>
        <v>0</v>
      </c>
      <c r="AE348" s="113" cm="1">
        <f t="array" ref="AE348">IF(U348="",0,_xlfn.XLOOKUP(E348&amp;U348&amp;F348,tab_act&amp;tab_mod&amp;tab_act1,tab_csb1)*V348*T348/MGMT)</f>
        <v>0.69299999999999995</v>
      </c>
      <c r="AF348" s="113" cm="1">
        <f t="array" ref="AF348">IF(U348="",0,_xlfn.XLOOKUP(E348&amp;U348&amp;F348,tab_act&amp;tab_mod&amp;tab_act1,tab_csb2)*V348*T348/MGMT)</f>
        <v>0</v>
      </c>
      <c r="AG348" s="113" cm="1">
        <f t="array" ref="AG348">IF(U348="",0,_xlfn.XLOOKUP(E348&amp;U348&amp;F348,tab_act&amp;tab_mod&amp;tab_act1,tab_pdoz)*V348*T348/MGMT)</f>
        <v>0</v>
      </c>
      <c r="AH348" s="113" cm="1">
        <f t="array" ref="AH348">IF(U348="",0,_xlfn.XLOOKUP(E348&amp;U348&amp;F348,tab_act&amp;tab_mod&amp;tab_act1,tab_lns)*V348*T348/MGMT)</f>
        <v>0</v>
      </c>
      <c r="AI348" s="114">
        <f t="shared" si="27"/>
        <v>0.76229999999999998</v>
      </c>
      <c r="AJ348" s="115" cm="1">
        <f t="array" ref="AJ348">IF(U348="",0,_xlfn.XLOOKUP(E348&amp;U348&amp;F348,tab_act&amp;tab_mod&amp;tab_act1,tab_cash)*T348)</f>
        <v>0</v>
      </c>
      <c r="AK348" s="148" cm="1">
        <f t="array" ref="AK348">IF(B348="",0,IF(C348="",0,AJ348/_xlfn.XLOOKUP(B348&amp;C348,RMth&amp;RYr,RAr)))</f>
        <v>0</v>
      </c>
      <c r="AL348" s="90"/>
      <c r="AM348" s="90"/>
      <c r="AN348" s="141" t="s">
        <v>248</v>
      </c>
    </row>
    <row r="349" spans="2:40" x14ac:dyDescent="0.35">
      <c r="B349" s="50" t="s">
        <v>130</v>
      </c>
      <c r="C349" s="44">
        <v>2023</v>
      </c>
      <c r="D349" s="44" t="s">
        <v>100</v>
      </c>
      <c r="E349" s="15" t="s">
        <v>39</v>
      </c>
      <c r="F349" s="142" t="s">
        <v>117</v>
      </c>
      <c r="G349" s="15" t="s">
        <v>159</v>
      </c>
      <c r="H349" s="44"/>
      <c r="I349" s="15" t="s">
        <v>94</v>
      </c>
      <c r="J349" s="15" t="s">
        <v>94</v>
      </c>
      <c r="K349" s="15" t="s">
        <v>160</v>
      </c>
      <c r="L349" s="15" t="s">
        <v>95</v>
      </c>
      <c r="M349" s="15" t="s">
        <v>94</v>
      </c>
      <c r="N349" s="15" t="s">
        <v>67</v>
      </c>
      <c r="O349" s="15" t="s">
        <v>182</v>
      </c>
      <c r="P349" s="15" t="s">
        <v>191</v>
      </c>
      <c r="Q349" s="135"/>
      <c r="R349" s="42">
        <v>166.1</v>
      </c>
      <c r="S349" s="42">
        <f t="shared" si="25"/>
        <v>166.1</v>
      </c>
      <c r="T349" s="43">
        <f t="shared" si="26"/>
        <v>166.1</v>
      </c>
      <c r="U349" s="15" t="s">
        <v>41</v>
      </c>
      <c r="V349" s="150">
        <v>30</v>
      </c>
      <c r="W349" s="111" cm="1">
        <f t="array" ref="W349">IF(U349="",0,_xlfn.XLOOKUP(E349&amp;U349&amp;F349,tab_act&amp;tab_mod&amp;tab_act1,tab_riz)*V349*T349/MGMT)</f>
        <v>0</v>
      </c>
      <c r="X349" s="112" cm="1">
        <f t="array" ref="X349">IF(U349="",0,_xlfn.XLOOKUP(E349&amp;U349&amp;F349,tab_act&amp;tab_mod&amp;tab_act1,tab_mc)*V349*T349/MGMT)</f>
        <v>0</v>
      </c>
      <c r="Y349" s="112" cm="1">
        <f t="array" ref="Y349">IF(U349="",0,_xlfn.XLOOKUP(E349&amp;U349&amp;F349,tab_act&amp;tab_mod&amp;tab_act1,tab_sor)*V349*T349/MGMT)</f>
        <v>0</v>
      </c>
      <c r="Z349" s="112" cm="1">
        <f t="array" ref="Z349">IF(U349="",0,_xlfn.XLOOKUP(E349&amp;U349&amp;F349,tab_act&amp;tab_mod&amp;tab_act1,tab_mg)*V349*T349/MGMT)</f>
        <v>0</v>
      </c>
      <c r="AA349" s="113" cm="1">
        <f t="array" ref="AA349">IF(U349="",0,IF(U349="hybrid-Sch",_xlfn.XLOOKUP(E349&amp;U349&amp;F349,tab_act&amp;tab_mod&amp;tab_act1,tab_ls)*SchLS*T349/MGMT,_xlfn.XLOOKUP(E349&amp;U349&amp;F349,tab_act&amp;tab_mod&amp;tab_act1,tab_ls)*V349*T349/MGMT))</f>
        <v>0</v>
      </c>
      <c r="AB349" s="113" cm="1">
        <f t="array" ref="AB349">IF(U349="",0,_xlfn.XLOOKUP(E349&amp;U349&amp;F349,tab_act&amp;tab_mod&amp;tab_act1,tab_hu)*V349*T349/MGMT)</f>
        <v>9.9659999999999999E-2</v>
      </c>
      <c r="AC349" s="113" cm="1">
        <f t="array" ref="AC349">IF(U349="",0,_xlfn.XLOOKUP(E349&amp;U349&amp;F349,tab_act&amp;tab_mod&amp;tab_act1,tab_mnp)*V349*T349/MGMT)</f>
        <v>0</v>
      </c>
      <c r="AD349" s="113" cm="1">
        <f t="array" ref="AD349">IF(U349="",0,_xlfn.XLOOKUP(E349&amp;U349&amp;F349,tab_act&amp;tab_mod&amp;tab_act1,tab_Psup)*V349*T349/MGMT)</f>
        <v>0</v>
      </c>
      <c r="AE349" s="113" cm="1">
        <f t="array" ref="AE349">IF(U349="",0,_xlfn.XLOOKUP(E349&amp;U349&amp;F349,tab_act&amp;tab_mod&amp;tab_act1,tab_csb1)*V349*T349/MGMT)</f>
        <v>0.99660000000000004</v>
      </c>
      <c r="AF349" s="113" cm="1">
        <f t="array" ref="AF349">IF(U349="",0,_xlfn.XLOOKUP(E349&amp;U349&amp;F349,tab_act&amp;tab_mod&amp;tab_act1,tab_csb2)*V349*T349/MGMT)</f>
        <v>0</v>
      </c>
      <c r="AG349" s="113" cm="1">
        <f t="array" ref="AG349">IF(U349="",0,_xlfn.XLOOKUP(E349&amp;U349&amp;F349,tab_act&amp;tab_mod&amp;tab_act1,tab_pdoz)*V349*T349/MGMT)</f>
        <v>0</v>
      </c>
      <c r="AH349" s="113" cm="1">
        <f t="array" ref="AH349">IF(U349="",0,_xlfn.XLOOKUP(E349&amp;U349&amp;F349,tab_act&amp;tab_mod&amp;tab_act1,tab_lns)*V349*T349/MGMT)</f>
        <v>0</v>
      </c>
      <c r="AI349" s="114">
        <f t="shared" si="27"/>
        <v>1.09626</v>
      </c>
      <c r="AJ349" s="115" cm="1">
        <f t="array" ref="AJ349">IF(U349="",0,_xlfn.XLOOKUP(E349&amp;U349&amp;F349,tab_act&amp;tab_mod&amp;tab_act1,tab_cash)*T349)</f>
        <v>0</v>
      </c>
      <c r="AK349" s="148" cm="1">
        <f t="array" ref="AK349">IF(B349="",0,IF(C349="",0,AJ349/_xlfn.XLOOKUP(B349&amp;C349,RMth&amp;RYr,RAr)))</f>
        <v>0</v>
      </c>
      <c r="AL349" s="90"/>
      <c r="AM349" s="90"/>
      <c r="AN349" s="141" t="s">
        <v>248</v>
      </c>
    </row>
    <row r="350" spans="2:40" x14ac:dyDescent="0.35">
      <c r="B350" s="50" t="s">
        <v>130</v>
      </c>
      <c r="C350" s="44">
        <v>2023</v>
      </c>
      <c r="D350" s="44" t="s">
        <v>100</v>
      </c>
      <c r="E350" s="15" t="s">
        <v>39</v>
      </c>
      <c r="F350" s="142" t="s">
        <v>117</v>
      </c>
      <c r="G350" s="15" t="s">
        <v>159</v>
      </c>
      <c r="H350" s="44"/>
      <c r="I350" s="15" t="s">
        <v>94</v>
      </c>
      <c r="J350" s="15" t="s">
        <v>94</v>
      </c>
      <c r="K350" s="15" t="s">
        <v>160</v>
      </c>
      <c r="L350" s="15" t="s">
        <v>95</v>
      </c>
      <c r="M350" s="15" t="s">
        <v>94</v>
      </c>
      <c r="N350" s="15" t="s">
        <v>67</v>
      </c>
      <c r="O350" s="15" t="s">
        <v>182</v>
      </c>
      <c r="P350" s="15" t="s">
        <v>192</v>
      </c>
      <c r="Q350" s="135"/>
      <c r="R350" s="42">
        <v>152.9</v>
      </c>
      <c r="S350" s="42">
        <f t="shared" si="25"/>
        <v>152.9</v>
      </c>
      <c r="T350" s="43">
        <f t="shared" si="26"/>
        <v>152.9</v>
      </c>
      <c r="U350" s="15" t="s">
        <v>41</v>
      </c>
      <c r="V350" s="150">
        <v>30</v>
      </c>
      <c r="W350" s="111" cm="1">
        <f t="array" ref="W350">IF(U350="",0,_xlfn.XLOOKUP(E350&amp;U350&amp;F350,tab_act&amp;tab_mod&amp;tab_act1,tab_riz)*V350*T350/MGMT)</f>
        <v>0</v>
      </c>
      <c r="X350" s="112" cm="1">
        <f t="array" ref="X350">IF(U350="",0,_xlfn.XLOOKUP(E350&amp;U350&amp;F350,tab_act&amp;tab_mod&amp;tab_act1,tab_mc)*V350*T350/MGMT)</f>
        <v>0</v>
      </c>
      <c r="Y350" s="112" cm="1">
        <f t="array" ref="Y350">IF(U350="",0,_xlfn.XLOOKUP(E350&amp;U350&amp;F350,tab_act&amp;tab_mod&amp;tab_act1,tab_sor)*V350*T350/MGMT)</f>
        <v>0</v>
      </c>
      <c r="Z350" s="112" cm="1">
        <f t="array" ref="Z350">IF(U350="",0,_xlfn.XLOOKUP(E350&amp;U350&amp;F350,tab_act&amp;tab_mod&amp;tab_act1,tab_mg)*V350*T350/MGMT)</f>
        <v>0</v>
      </c>
      <c r="AA350" s="113" cm="1">
        <f t="array" ref="AA350">IF(U350="",0,IF(U350="hybrid-Sch",_xlfn.XLOOKUP(E350&amp;U350&amp;F350,tab_act&amp;tab_mod&amp;tab_act1,tab_ls)*SchLS*T350/MGMT,_xlfn.XLOOKUP(E350&amp;U350&amp;F350,tab_act&amp;tab_mod&amp;tab_act1,tab_ls)*V350*T350/MGMT))</f>
        <v>0</v>
      </c>
      <c r="AB350" s="113" cm="1">
        <f t="array" ref="AB350">IF(U350="",0,_xlfn.XLOOKUP(E350&amp;U350&amp;F350,tab_act&amp;tab_mod&amp;tab_act1,tab_hu)*V350*T350/MGMT)</f>
        <v>9.1740000000000002E-2</v>
      </c>
      <c r="AC350" s="113" cm="1">
        <f t="array" ref="AC350">IF(U350="",0,_xlfn.XLOOKUP(E350&amp;U350&amp;F350,tab_act&amp;tab_mod&amp;tab_act1,tab_mnp)*V350*T350/MGMT)</f>
        <v>0</v>
      </c>
      <c r="AD350" s="113" cm="1">
        <f t="array" ref="AD350">IF(U350="",0,_xlfn.XLOOKUP(E350&amp;U350&amp;F350,tab_act&amp;tab_mod&amp;tab_act1,tab_Psup)*V350*T350/MGMT)</f>
        <v>0</v>
      </c>
      <c r="AE350" s="113" cm="1">
        <f t="array" ref="AE350">IF(U350="",0,_xlfn.XLOOKUP(E350&amp;U350&amp;F350,tab_act&amp;tab_mod&amp;tab_act1,tab_csb1)*V350*T350/MGMT)</f>
        <v>0.91739999999999999</v>
      </c>
      <c r="AF350" s="113" cm="1">
        <f t="array" ref="AF350">IF(U350="",0,_xlfn.XLOOKUP(E350&amp;U350&amp;F350,tab_act&amp;tab_mod&amp;tab_act1,tab_csb2)*V350*T350/MGMT)</f>
        <v>0</v>
      </c>
      <c r="AG350" s="113" cm="1">
        <f t="array" ref="AG350">IF(U350="",0,_xlfn.XLOOKUP(E350&amp;U350&amp;F350,tab_act&amp;tab_mod&amp;tab_act1,tab_pdoz)*V350*T350/MGMT)</f>
        <v>0</v>
      </c>
      <c r="AH350" s="113" cm="1">
        <f t="array" ref="AH350">IF(U350="",0,_xlfn.XLOOKUP(E350&amp;U350&amp;F350,tab_act&amp;tab_mod&amp;tab_act1,tab_lns)*V350*T350/MGMT)</f>
        <v>0</v>
      </c>
      <c r="AI350" s="114">
        <f t="shared" si="27"/>
        <v>1.0091399999999999</v>
      </c>
      <c r="AJ350" s="115" cm="1">
        <f t="array" ref="AJ350">IF(U350="",0,_xlfn.XLOOKUP(E350&amp;U350&amp;F350,tab_act&amp;tab_mod&amp;tab_act1,tab_cash)*T350)</f>
        <v>0</v>
      </c>
      <c r="AK350" s="148" cm="1">
        <f t="array" ref="AK350">IF(B350="",0,IF(C350="",0,AJ350/_xlfn.XLOOKUP(B350&amp;C350,RMth&amp;RYr,RAr)))</f>
        <v>0</v>
      </c>
      <c r="AL350" s="90"/>
      <c r="AM350" s="90"/>
      <c r="AN350" s="141" t="s">
        <v>248</v>
      </c>
    </row>
    <row r="351" spans="2:40" x14ac:dyDescent="0.35">
      <c r="B351" s="50" t="s">
        <v>130</v>
      </c>
      <c r="C351" s="44">
        <v>2023</v>
      </c>
      <c r="D351" s="44" t="s">
        <v>100</v>
      </c>
      <c r="E351" s="15" t="s">
        <v>39</v>
      </c>
      <c r="F351" s="142" t="s">
        <v>117</v>
      </c>
      <c r="G351" s="15" t="s">
        <v>159</v>
      </c>
      <c r="H351" s="44"/>
      <c r="I351" s="15" t="s">
        <v>94</v>
      </c>
      <c r="J351" s="15" t="s">
        <v>94</v>
      </c>
      <c r="K351" s="15" t="s">
        <v>160</v>
      </c>
      <c r="L351" s="15" t="s">
        <v>95</v>
      </c>
      <c r="M351" s="15" t="s">
        <v>94</v>
      </c>
      <c r="N351" s="15" t="s">
        <v>67</v>
      </c>
      <c r="O351" s="15" t="s">
        <v>182</v>
      </c>
      <c r="P351" s="15" t="s">
        <v>193</v>
      </c>
      <c r="Q351" s="135"/>
      <c r="R351" s="42">
        <v>271.7</v>
      </c>
      <c r="S351" s="42">
        <f t="shared" si="25"/>
        <v>271.7</v>
      </c>
      <c r="T351" s="43">
        <f t="shared" si="26"/>
        <v>271.7</v>
      </c>
      <c r="U351" s="15" t="s">
        <v>41</v>
      </c>
      <c r="V351" s="150">
        <v>30</v>
      </c>
      <c r="W351" s="111" cm="1">
        <f t="array" ref="W351">IF(U351="",0,_xlfn.XLOOKUP(E351&amp;U351&amp;F351,tab_act&amp;tab_mod&amp;tab_act1,tab_riz)*V351*T351/MGMT)</f>
        <v>0</v>
      </c>
      <c r="X351" s="112" cm="1">
        <f t="array" ref="X351">IF(U351="",0,_xlfn.XLOOKUP(E351&amp;U351&amp;F351,tab_act&amp;tab_mod&amp;tab_act1,tab_mc)*V351*T351/MGMT)</f>
        <v>0</v>
      </c>
      <c r="Y351" s="112" cm="1">
        <f t="array" ref="Y351">IF(U351="",0,_xlfn.XLOOKUP(E351&amp;U351&amp;F351,tab_act&amp;tab_mod&amp;tab_act1,tab_sor)*V351*T351/MGMT)</f>
        <v>0</v>
      </c>
      <c r="Z351" s="112" cm="1">
        <f t="array" ref="Z351">IF(U351="",0,_xlfn.XLOOKUP(E351&amp;U351&amp;F351,tab_act&amp;tab_mod&amp;tab_act1,tab_mg)*V351*T351/MGMT)</f>
        <v>0</v>
      </c>
      <c r="AA351" s="113" cm="1">
        <f t="array" ref="AA351">IF(U351="",0,IF(U351="hybrid-Sch",_xlfn.XLOOKUP(E351&amp;U351&amp;F351,tab_act&amp;tab_mod&amp;tab_act1,tab_ls)*SchLS*T351/MGMT,_xlfn.XLOOKUP(E351&amp;U351&amp;F351,tab_act&amp;tab_mod&amp;tab_act1,tab_ls)*V351*T351/MGMT))</f>
        <v>0</v>
      </c>
      <c r="AB351" s="113" cm="1">
        <f t="array" ref="AB351">IF(U351="",0,_xlfn.XLOOKUP(E351&amp;U351&amp;F351,tab_act&amp;tab_mod&amp;tab_act1,tab_hu)*V351*T351/MGMT)</f>
        <v>0.16302</v>
      </c>
      <c r="AC351" s="113" cm="1">
        <f t="array" ref="AC351">IF(U351="",0,_xlfn.XLOOKUP(E351&amp;U351&amp;F351,tab_act&amp;tab_mod&amp;tab_act1,tab_mnp)*V351*T351/MGMT)</f>
        <v>0</v>
      </c>
      <c r="AD351" s="113" cm="1">
        <f t="array" ref="AD351">IF(U351="",0,_xlfn.XLOOKUP(E351&amp;U351&amp;F351,tab_act&amp;tab_mod&amp;tab_act1,tab_Psup)*V351*T351/MGMT)</f>
        <v>0</v>
      </c>
      <c r="AE351" s="113" cm="1">
        <f t="array" ref="AE351">IF(U351="",0,_xlfn.XLOOKUP(E351&amp;U351&amp;F351,tab_act&amp;tab_mod&amp;tab_act1,tab_csb1)*V351*T351/MGMT)</f>
        <v>1.6302000000000001</v>
      </c>
      <c r="AF351" s="113" cm="1">
        <f t="array" ref="AF351">IF(U351="",0,_xlfn.XLOOKUP(E351&amp;U351&amp;F351,tab_act&amp;tab_mod&amp;tab_act1,tab_csb2)*V351*T351/MGMT)</f>
        <v>0</v>
      </c>
      <c r="AG351" s="113" cm="1">
        <f t="array" ref="AG351">IF(U351="",0,_xlfn.XLOOKUP(E351&amp;U351&amp;F351,tab_act&amp;tab_mod&amp;tab_act1,tab_pdoz)*V351*T351/MGMT)</f>
        <v>0</v>
      </c>
      <c r="AH351" s="113" cm="1">
        <f t="array" ref="AH351">IF(U351="",0,_xlfn.XLOOKUP(E351&amp;U351&amp;F351,tab_act&amp;tab_mod&amp;tab_act1,tab_lns)*V351*T351/MGMT)</f>
        <v>0</v>
      </c>
      <c r="AI351" s="114">
        <f t="shared" si="27"/>
        <v>1.79322</v>
      </c>
      <c r="AJ351" s="115" cm="1">
        <f t="array" ref="AJ351">IF(U351="",0,_xlfn.XLOOKUP(E351&amp;U351&amp;F351,tab_act&amp;tab_mod&amp;tab_act1,tab_cash)*T351)</f>
        <v>0</v>
      </c>
      <c r="AK351" s="148" cm="1">
        <f t="array" ref="AK351">IF(B351="",0,IF(C351="",0,AJ351/_xlfn.XLOOKUP(B351&amp;C351,RMth&amp;RYr,RAr)))</f>
        <v>0</v>
      </c>
      <c r="AL351" s="90"/>
      <c r="AM351" s="90"/>
      <c r="AN351" s="141" t="s">
        <v>248</v>
      </c>
    </row>
    <row r="352" spans="2:40" x14ac:dyDescent="0.35">
      <c r="B352" s="50" t="s">
        <v>130</v>
      </c>
      <c r="C352" s="44">
        <v>2023</v>
      </c>
      <c r="D352" s="44" t="s">
        <v>100</v>
      </c>
      <c r="E352" s="15" t="s">
        <v>39</v>
      </c>
      <c r="F352" s="142" t="s">
        <v>117</v>
      </c>
      <c r="G352" s="15" t="s">
        <v>159</v>
      </c>
      <c r="H352" s="44"/>
      <c r="I352" s="15" t="s">
        <v>94</v>
      </c>
      <c r="J352" s="15" t="s">
        <v>94</v>
      </c>
      <c r="K352" s="15" t="s">
        <v>160</v>
      </c>
      <c r="L352" s="15" t="s">
        <v>95</v>
      </c>
      <c r="M352" s="15" t="s">
        <v>94</v>
      </c>
      <c r="N352" s="15" t="s">
        <v>67</v>
      </c>
      <c r="O352" s="15" t="s">
        <v>182</v>
      </c>
      <c r="P352" s="15" t="s">
        <v>194</v>
      </c>
      <c r="Q352" s="135"/>
      <c r="R352" s="42">
        <v>239.8</v>
      </c>
      <c r="S352" s="42">
        <f t="shared" ref="S352:S383" si="28">SUM(Q352:R352)</f>
        <v>239.8</v>
      </c>
      <c r="T352" s="43">
        <f t="shared" ref="T352:T383" si="29">IF(E352="Sch",S352,IF(E352="nutrition",S352,S352/5))</f>
        <v>239.8</v>
      </c>
      <c r="U352" s="15" t="s">
        <v>41</v>
      </c>
      <c r="V352" s="150">
        <v>30</v>
      </c>
      <c r="W352" s="111" cm="1">
        <f t="array" ref="W352">IF(U352="",0,_xlfn.XLOOKUP(E352&amp;U352&amp;F352,tab_act&amp;tab_mod&amp;tab_act1,tab_riz)*V352*T352/MGMT)</f>
        <v>0</v>
      </c>
      <c r="X352" s="112" cm="1">
        <f t="array" ref="X352">IF(U352="",0,_xlfn.XLOOKUP(E352&amp;U352&amp;F352,tab_act&amp;tab_mod&amp;tab_act1,tab_mc)*V352*T352/MGMT)</f>
        <v>0</v>
      </c>
      <c r="Y352" s="112" cm="1">
        <f t="array" ref="Y352">IF(U352="",0,_xlfn.XLOOKUP(E352&amp;U352&amp;F352,tab_act&amp;tab_mod&amp;tab_act1,tab_sor)*V352*T352/MGMT)</f>
        <v>0</v>
      </c>
      <c r="Z352" s="112" cm="1">
        <f t="array" ref="Z352">IF(U352="",0,_xlfn.XLOOKUP(E352&amp;U352&amp;F352,tab_act&amp;tab_mod&amp;tab_act1,tab_mg)*V352*T352/MGMT)</f>
        <v>0</v>
      </c>
      <c r="AA352" s="113" cm="1">
        <f t="array" ref="AA352">IF(U352="",0,IF(U352="hybrid-Sch",_xlfn.XLOOKUP(E352&amp;U352&amp;F352,tab_act&amp;tab_mod&amp;tab_act1,tab_ls)*SchLS*T352/MGMT,_xlfn.XLOOKUP(E352&amp;U352&amp;F352,tab_act&amp;tab_mod&amp;tab_act1,tab_ls)*V352*T352/MGMT))</f>
        <v>0</v>
      </c>
      <c r="AB352" s="113" cm="1">
        <f t="array" ref="AB352">IF(U352="",0,_xlfn.XLOOKUP(E352&amp;U352&amp;F352,tab_act&amp;tab_mod&amp;tab_act1,tab_hu)*V352*T352/MGMT)</f>
        <v>0.14388000000000001</v>
      </c>
      <c r="AC352" s="113" cm="1">
        <f t="array" ref="AC352">IF(U352="",0,_xlfn.XLOOKUP(E352&amp;U352&amp;F352,tab_act&amp;tab_mod&amp;tab_act1,tab_mnp)*V352*T352/MGMT)</f>
        <v>0</v>
      </c>
      <c r="AD352" s="113" cm="1">
        <f t="array" ref="AD352">IF(U352="",0,_xlfn.XLOOKUP(E352&amp;U352&amp;F352,tab_act&amp;tab_mod&amp;tab_act1,tab_Psup)*V352*T352/MGMT)</f>
        <v>0</v>
      </c>
      <c r="AE352" s="113" cm="1">
        <f t="array" ref="AE352">IF(U352="",0,_xlfn.XLOOKUP(E352&amp;U352&amp;F352,tab_act&amp;tab_mod&amp;tab_act1,tab_csb1)*V352*T352/MGMT)</f>
        <v>1.4388000000000001</v>
      </c>
      <c r="AF352" s="113" cm="1">
        <f t="array" ref="AF352">IF(U352="",0,_xlfn.XLOOKUP(E352&amp;U352&amp;F352,tab_act&amp;tab_mod&amp;tab_act1,tab_csb2)*V352*T352/MGMT)</f>
        <v>0</v>
      </c>
      <c r="AG352" s="113" cm="1">
        <f t="array" ref="AG352">IF(U352="",0,_xlfn.XLOOKUP(E352&amp;U352&amp;F352,tab_act&amp;tab_mod&amp;tab_act1,tab_pdoz)*V352*T352/MGMT)</f>
        <v>0</v>
      </c>
      <c r="AH352" s="113" cm="1">
        <f t="array" ref="AH352">IF(U352="",0,_xlfn.XLOOKUP(E352&amp;U352&amp;F352,tab_act&amp;tab_mod&amp;tab_act1,tab_lns)*V352*T352/MGMT)</f>
        <v>0</v>
      </c>
      <c r="AI352" s="114">
        <f t="shared" si="27"/>
        <v>1.5826800000000001</v>
      </c>
      <c r="AJ352" s="115" cm="1">
        <f t="array" ref="AJ352">IF(U352="",0,_xlfn.XLOOKUP(E352&amp;U352&amp;F352,tab_act&amp;tab_mod&amp;tab_act1,tab_cash)*T352)</f>
        <v>0</v>
      </c>
      <c r="AK352" s="148" cm="1">
        <f t="array" ref="AK352">IF(B352="",0,IF(C352="",0,AJ352/_xlfn.XLOOKUP(B352&amp;C352,RMth&amp;RYr,RAr)))</f>
        <v>0</v>
      </c>
      <c r="AL352" s="90"/>
      <c r="AM352" s="90"/>
      <c r="AN352" s="141" t="s">
        <v>248</v>
      </c>
    </row>
    <row r="353" spans="2:40" x14ac:dyDescent="0.35">
      <c r="B353" s="50" t="s">
        <v>130</v>
      </c>
      <c r="C353" s="44">
        <v>2023</v>
      </c>
      <c r="D353" s="44" t="s">
        <v>100</v>
      </c>
      <c r="E353" s="15" t="s">
        <v>39</v>
      </c>
      <c r="F353" s="142" t="s">
        <v>117</v>
      </c>
      <c r="G353" s="15" t="s">
        <v>159</v>
      </c>
      <c r="H353" s="44"/>
      <c r="I353" s="15" t="s">
        <v>94</v>
      </c>
      <c r="J353" s="15" t="s">
        <v>94</v>
      </c>
      <c r="K353" s="15" t="s">
        <v>160</v>
      </c>
      <c r="L353" s="15" t="s">
        <v>95</v>
      </c>
      <c r="M353" s="15" t="s">
        <v>94</v>
      </c>
      <c r="N353" s="15" t="s">
        <v>67</v>
      </c>
      <c r="O353" s="15" t="s">
        <v>182</v>
      </c>
      <c r="P353" s="15" t="s">
        <v>195</v>
      </c>
      <c r="Q353" s="135"/>
      <c r="R353" s="42">
        <v>155.1</v>
      </c>
      <c r="S353" s="42">
        <f t="shared" si="28"/>
        <v>155.1</v>
      </c>
      <c r="T353" s="43">
        <f t="shared" si="29"/>
        <v>155.1</v>
      </c>
      <c r="U353" s="15" t="s">
        <v>41</v>
      </c>
      <c r="V353" s="150">
        <v>30</v>
      </c>
      <c r="W353" s="111" cm="1">
        <f t="array" ref="W353">IF(U353="",0,_xlfn.XLOOKUP(E353&amp;U353&amp;F353,tab_act&amp;tab_mod&amp;tab_act1,tab_riz)*V353*T353/MGMT)</f>
        <v>0</v>
      </c>
      <c r="X353" s="112" cm="1">
        <f t="array" ref="X353">IF(U353="",0,_xlfn.XLOOKUP(E353&amp;U353&amp;F353,tab_act&amp;tab_mod&amp;tab_act1,tab_mc)*V353*T353/MGMT)</f>
        <v>0</v>
      </c>
      <c r="Y353" s="112" cm="1">
        <f t="array" ref="Y353">IF(U353="",0,_xlfn.XLOOKUP(E353&amp;U353&amp;F353,tab_act&amp;tab_mod&amp;tab_act1,tab_sor)*V353*T353/MGMT)</f>
        <v>0</v>
      </c>
      <c r="Z353" s="112" cm="1">
        <f t="array" ref="Z353">IF(U353="",0,_xlfn.XLOOKUP(E353&amp;U353&amp;F353,tab_act&amp;tab_mod&amp;tab_act1,tab_mg)*V353*T353/MGMT)</f>
        <v>0</v>
      </c>
      <c r="AA353" s="113" cm="1">
        <f t="array" ref="AA353">IF(U353="",0,IF(U353="hybrid-Sch",_xlfn.XLOOKUP(E353&amp;U353&amp;F353,tab_act&amp;tab_mod&amp;tab_act1,tab_ls)*SchLS*T353/MGMT,_xlfn.XLOOKUP(E353&amp;U353&amp;F353,tab_act&amp;tab_mod&amp;tab_act1,tab_ls)*V353*T353/MGMT))</f>
        <v>0</v>
      </c>
      <c r="AB353" s="113" cm="1">
        <f t="array" ref="AB353">IF(U353="",0,_xlfn.XLOOKUP(E353&amp;U353&amp;F353,tab_act&amp;tab_mod&amp;tab_act1,tab_hu)*V353*T353/MGMT)</f>
        <v>9.3060000000000004E-2</v>
      </c>
      <c r="AC353" s="113" cm="1">
        <f t="array" ref="AC353">IF(U353="",0,_xlfn.XLOOKUP(E353&amp;U353&amp;F353,tab_act&amp;tab_mod&amp;tab_act1,tab_mnp)*V353*T353/MGMT)</f>
        <v>0</v>
      </c>
      <c r="AD353" s="113" cm="1">
        <f t="array" ref="AD353">IF(U353="",0,_xlfn.XLOOKUP(E353&amp;U353&amp;F353,tab_act&amp;tab_mod&amp;tab_act1,tab_Psup)*V353*T353/MGMT)</f>
        <v>0</v>
      </c>
      <c r="AE353" s="113" cm="1">
        <f t="array" ref="AE353">IF(U353="",0,_xlfn.XLOOKUP(E353&amp;U353&amp;F353,tab_act&amp;tab_mod&amp;tab_act1,tab_csb1)*V353*T353/MGMT)</f>
        <v>0.93059999999999998</v>
      </c>
      <c r="AF353" s="113" cm="1">
        <f t="array" ref="AF353">IF(U353="",0,_xlfn.XLOOKUP(E353&amp;U353&amp;F353,tab_act&amp;tab_mod&amp;tab_act1,tab_csb2)*V353*T353/MGMT)</f>
        <v>0</v>
      </c>
      <c r="AG353" s="113" cm="1">
        <f t="array" ref="AG353">IF(U353="",0,_xlfn.XLOOKUP(E353&amp;U353&amp;F353,tab_act&amp;tab_mod&amp;tab_act1,tab_pdoz)*V353*T353/MGMT)</f>
        <v>0</v>
      </c>
      <c r="AH353" s="113" cm="1">
        <f t="array" ref="AH353">IF(U353="",0,_xlfn.XLOOKUP(E353&amp;U353&amp;F353,tab_act&amp;tab_mod&amp;tab_act1,tab_lns)*V353*T353/MGMT)</f>
        <v>0</v>
      </c>
      <c r="AI353" s="114">
        <f t="shared" si="27"/>
        <v>1.02366</v>
      </c>
      <c r="AJ353" s="115" cm="1">
        <f t="array" ref="AJ353">IF(U353="",0,_xlfn.XLOOKUP(E353&amp;U353&amp;F353,tab_act&amp;tab_mod&amp;tab_act1,tab_cash)*T353)</f>
        <v>0</v>
      </c>
      <c r="AK353" s="148" cm="1">
        <f t="array" ref="AK353">IF(B353="",0,IF(C353="",0,AJ353/_xlfn.XLOOKUP(B353&amp;C353,RMth&amp;RYr,RAr)))</f>
        <v>0</v>
      </c>
      <c r="AL353" s="90"/>
      <c r="AM353" s="90"/>
      <c r="AN353" s="141" t="s">
        <v>248</v>
      </c>
    </row>
    <row r="354" spans="2:40" x14ac:dyDescent="0.35">
      <c r="B354" s="50" t="s">
        <v>130</v>
      </c>
      <c r="C354" s="44">
        <v>2023</v>
      </c>
      <c r="D354" s="44" t="s">
        <v>100</v>
      </c>
      <c r="E354" s="15" t="s">
        <v>39</v>
      </c>
      <c r="F354" s="142" t="s">
        <v>117</v>
      </c>
      <c r="G354" s="15" t="s">
        <v>159</v>
      </c>
      <c r="H354" s="44"/>
      <c r="I354" s="15" t="s">
        <v>94</v>
      </c>
      <c r="J354" s="15" t="s">
        <v>94</v>
      </c>
      <c r="K354" s="15" t="s">
        <v>160</v>
      </c>
      <c r="L354" s="15" t="s">
        <v>95</v>
      </c>
      <c r="M354" s="15" t="s">
        <v>94</v>
      </c>
      <c r="N354" s="15" t="s">
        <v>67</v>
      </c>
      <c r="O354" s="15" t="s">
        <v>182</v>
      </c>
      <c r="P354" s="15" t="s">
        <v>196</v>
      </c>
      <c r="Q354" s="135"/>
      <c r="R354" s="42">
        <v>502.7</v>
      </c>
      <c r="S354" s="42">
        <f t="shared" si="28"/>
        <v>502.7</v>
      </c>
      <c r="T354" s="43">
        <f t="shared" si="29"/>
        <v>502.7</v>
      </c>
      <c r="U354" s="15" t="s">
        <v>41</v>
      </c>
      <c r="V354" s="150">
        <v>30</v>
      </c>
      <c r="W354" s="111" cm="1">
        <f t="array" ref="W354">IF(U354="",0,_xlfn.XLOOKUP(E354&amp;U354&amp;F354,tab_act&amp;tab_mod&amp;tab_act1,tab_riz)*V354*T354/MGMT)</f>
        <v>0</v>
      </c>
      <c r="X354" s="112" cm="1">
        <f t="array" ref="X354">IF(U354="",0,_xlfn.XLOOKUP(E354&amp;U354&amp;F354,tab_act&amp;tab_mod&amp;tab_act1,tab_mc)*V354*T354/MGMT)</f>
        <v>0</v>
      </c>
      <c r="Y354" s="112" cm="1">
        <f t="array" ref="Y354">IF(U354="",0,_xlfn.XLOOKUP(E354&amp;U354&amp;F354,tab_act&amp;tab_mod&amp;tab_act1,tab_sor)*V354*T354/MGMT)</f>
        <v>0</v>
      </c>
      <c r="Z354" s="112" cm="1">
        <f t="array" ref="Z354">IF(U354="",0,_xlfn.XLOOKUP(E354&amp;U354&amp;F354,tab_act&amp;tab_mod&amp;tab_act1,tab_mg)*V354*T354/MGMT)</f>
        <v>0</v>
      </c>
      <c r="AA354" s="113" cm="1">
        <f t="array" ref="AA354">IF(U354="",0,IF(U354="hybrid-Sch",_xlfn.XLOOKUP(E354&amp;U354&amp;F354,tab_act&amp;tab_mod&amp;tab_act1,tab_ls)*SchLS*T354/MGMT,_xlfn.XLOOKUP(E354&amp;U354&amp;F354,tab_act&amp;tab_mod&amp;tab_act1,tab_ls)*V354*T354/MGMT))</f>
        <v>0</v>
      </c>
      <c r="AB354" s="113" cm="1">
        <f t="array" ref="AB354">IF(U354="",0,_xlfn.XLOOKUP(E354&amp;U354&amp;F354,tab_act&amp;tab_mod&amp;tab_act1,tab_hu)*V354*T354/MGMT)</f>
        <v>0.30162</v>
      </c>
      <c r="AC354" s="113" cm="1">
        <f t="array" ref="AC354">IF(U354="",0,_xlfn.XLOOKUP(E354&amp;U354&amp;F354,tab_act&amp;tab_mod&amp;tab_act1,tab_mnp)*V354*T354/MGMT)</f>
        <v>0</v>
      </c>
      <c r="AD354" s="113" cm="1">
        <f t="array" ref="AD354">IF(U354="",0,_xlfn.XLOOKUP(E354&amp;U354&amp;F354,tab_act&amp;tab_mod&amp;tab_act1,tab_Psup)*V354*T354/MGMT)</f>
        <v>0</v>
      </c>
      <c r="AE354" s="113" cm="1">
        <f t="array" ref="AE354">IF(U354="",0,_xlfn.XLOOKUP(E354&amp;U354&amp;F354,tab_act&amp;tab_mod&amp;tab_act1,tab_csb1)*V354*T354/MGMT)</f>
        <v>3.0162</v>
      </c>
      <c r="AF354" s="113" cm="1">
        <f t="array" ref="AF354">IF(U354="",0,_xlfn.XLOOKUP(E354&amp;U354&amp;F354,tab_act&amp;tab_mod&amp;tab_act1,tab_csb2)*V354*T354/MGMT)</f>
        <v>0</v>
      </c>
      <c r="AG354" s="113" cm="1">
        <f t="array" ref="AG354">IF(U354="",0,_xlfn.XLOOKUP(E354&amp;U354&amp;F354,tab_act&amp;tab_mod&amp;tab_act1,tab_pdoz)*V354*T354/MGMT)</f>
        <v>0</v>
      </c>
      <c r="AH354" s="113" cm="1">
        <f t="array" ref="AH354">IF(U354="",0,_xlfn.XLOOKUP(E354&amp;U354&amp;F354,tab_act&amp;tab_mod&amp;tab_act1,tab_lns)*V354*T354/MGMT)</f>
        <v>0</v>
      </c>
      <c r="AI354" s="114">
        <f t="shared" si="27"/>
        <v>3.3178200000000002</v>
      </c>
      <c r="AJ354" s="115" cm="1">
        <f t="array" ref="AJ354">IF(U354="",0,_xlfn.XLOOKUP(E354&amp;U354&amp;F354,tab_act&amp;tab_mod&amp;tab_act1,tab_cash)*T354)</f>
        <v>0</v>
      </c>
      <c r="AK354" s="148" cm="1">
        <f t="array" ref="AK354">IF(B354="",0,IF(C354="",0,AJ354/_xlfn.XLOOKUP(B354&amp;C354,RMth&amp;RYr,RAr)))</f>
        <v>0</v>
      </c>
      <c r="AL354" s="90"/>
      <c r="AM354" s="90"/>
      <c r="AN354" s="141" t="s">
        <v>248</v>
      </c>
    </row>
    <row r="355" spans="2:40" x14ac:dyDescent="0.35">
      <c r="B355" s="50" t="s">
        <v>130</v>
      </c>
      <c r="C355" s="44">
        <v>2023</v>
      </c>
      <c r="D355" s="44" t="s">
        <v>100</v>
      </c>
      <c r="E355" s="15" t="s">
        <v>39</v>
      </c>
      <c r="F355" s="142" t="s">
        <v>117</v>
      </c>
      <c r="G355" s="15" t="s">
        <v>159</v>
      </c>
      <c r="H355" s="44"/>
      <c r="I355" s="15" t="s">
        <v>94</v>
      </c>
      <c r="J355" s="15" t="s">
        <v>94</v>
      </c>
      <c r="K355" s="15" t="s">
        <v>160</v>
      </c>
      <c r="L355" s="15" t="s">
        <v>95</v>
      </c>
      <c r="M355" s="15" t="s">
        <v>94</v>
      </c>
      <c r="N355" s="15" t="s">
        <v>67</v>
      </c>
      <c r="O355" s="15" t="s">
        <v>182</v>
      </c>
      <c r="P355" s="15" t="s">
        <v>197</v>
      </c>
      <c r="Q355" s="135"/>
      <c r="R355" s="42">
        <v>63.8</v>
      </c>
      <c r="S355" s="42">
        <f t="shared" si="28"/>
        <v>63.8</v>
      </c>
      <c r="T355" s="43">
        <f t="shared" si="29"/>
        <v>63.8</v>
      </c>
      <c r="U355" s="15" t="s">
        <v>41</v>
      </c>
      <c r="V355" s="150">
        <v>30</v>
      </c>
      <c r="W355" s="111" cm="1">
        <f t="array" ref="W355">IF(U355="",0,_xlfn.XLOOKUP(E355&amp;U355&amp;F355,tab_act&amp;tab_mod&amp;tab_act1,tab_riz)*V355*T355/MGMT)</f>
        <v>0</v>
      </c>
      <c r="X355" s="112" cm="1">
        <f t="array" ref="X355">IF(U355="",0,_xlfn.XLOOKUP(E355&amp;U355&amp;F355,tab_act&amp;tab_mod&amp;tab_act1,tab_mc)*V355*T355/MGMT)</f>
        <v>0</v>
      </c>
      <c r="Y355" s="112" cm="1">
        <f t="array" ref="Y355">IF(U355="",0,_xlfn.XLOOKUP(E355&amp;U355&amp;F355,tab_act&amp;tab_mod&amp;tab_act1,tab_sor)*V355*T355/MGMT)</f>
        <v>0</v>
      </c>
      <c r="Z355" s="112" cm="1">
        <f t="array" ref="Z355">IF(U355="",0,_xlfn.XLOOKUP(E355&amp;U355&amp;F355,tab_act&amp;tab_mod&amp;tab_act1,tab_mg)*V355*T355/MGMT)</f>
        <v>0</v>
      </c>
      <c r="AA355" s="113" cm="1">
        <f t="array" ref="AA355">IF(U355="",0,IF(U355="hybrid-Sch",_xlfn.XLOOKUP(E355&amp;U355&amp;F355,tab_act&amp;tab_mod&amp;tab_act1,tab_ls)*SchLS*T355/MGMT,_xlfn.XLOOKUP(E355&amp;U355&amp;F355,tab_act&amp;tab_mod&amp;tab_act1,tab_ls)*V355*T355/MGMT))</f>
        <v>0</v>
      </c>
      <c r="AB355" s="113" cm="1">
        <f t="array" ref="AB355">IF(U355="",0,_xlfn.XLOOKUP(E355&amp;U355&amp;F355,tab_act&amp;tab_mod&amp;tab_act1,tab_hu)*V355*T355/MGMT)</f>
        <v>3.8280000000000002E-2</v>
      </c>
      <c r="AC355" s="113" cm="1">
        <f t="array" ref="AC355">IF(U355="",0,_xlfn.XLOOKUP(E355&amp;U355&amp;F355,tab_act&amp;tab_mod&amp;tab_act1,tab_mnp)*V355*T355/MGMT)</f>
        <v>0</v>
      </c>
      <c r="AD355" s="113" cm="1">
        <f t="array" ref="AD355">IF(U355="",0,_xlfn.XLOOKUP(E355&amp;U355&amp;F355,tab_act&amp;tab_mod&amp;tab_act1,tab_Psup)*V355*T355/MGMT)</f>
        <v>0</v>
      </c>
      <c r="AE355" s="113" cm="1">
        <f t="array" ref="AE355">IF(U355="",0,_xlfn.XLOOKUP(E355&amp;U355&amp;F355,tab_act&amp;tab_mod&amp;tab_act1,tab_csb1)*V355*T355/MGMT)</f>
        <v>0.38279999999999997</v>
      </c>
      <c r="AF355" s="113" cm="1">
        <f t="array" ref="AF355">IF(U355="",0,_xlfn.XLOOKUP(E355&amp;U355&amp;F355,tab_act&amp;tab_mod&amp;tab_act1,tab_csb2)*V355*T355/MGMT)</f>
        <v>0</v>
      </c>
      <c r="AG355" s="113" cm="1">
        <f t="array" ref="AG355">IF(U355="",0,_xlfn.XLOOKUP(E355&amp;U355&amp;F355,tab_act&amp;tab_mod&amp;tab_act1,tab_pdoz)*V355*T355/MGMT)</f>
        <v>0</v>
      </c>
      <c r="AH355" s="113" cm="1">
        <f t="array" ref="AH355">IF(U355="",0,_xlfn.XLOOKUP(E355&amp;U355&amp;F355,tab_act&amp;tab_mod&amp;tab_act1,tab_lns)*V355*T355/MGMT)</f>
        <v>0</v>
      </c>
      <c r="AI355" s="114">
        <f t="shared" si="27"/>
        <v>0.42107999999999995</v>
      </c>
      <c r="AJ355" s="115" cm="1">
        <f t="array" ref="AJ355">IF(U355="",0,_xlfn.XLOOKUP(E355&amp;U355&amp;F355,tab_act&amp;tab_mod&amp;tab_act1,tab_cash)*T355)</f>
        <v>0</v>
      </c>
      <c r="AK355" s="148" cm="1">
        <f t="array" ref="AK355">IF(B355="",0,IF(C355="",0,AJ355/_xlfn.XLOOKUP(B355&amp;C355,RMth&amp;RYr,RAr)))</f>
        <v>0</v>
      </c>
      <c r="AL355" s="90"/>
      <c r="AM355" s="90"/>
      <c r="AN355" s="141" t="s">
        <v>248</v>
      </c>
    </row>
    <row r="356" spans="2:40" x14ac:dyDescent="0.35">
      <c r="B356" s="50" t="s">
        <v>130</v>
      </c>
      <c r="C356" s="44">
        <v>2023</v>
      </c>
      <c r="D356" s="44" t="s">
        <v>100</v>
      </c>
      <c r="E356" s="15" t="s">
        <v>39</v>
      </c>
      <c r="F356" s="142" t="s">
        <v>117</v>
      </c>
      <c r="G356" s="15" t="s">
        <v>159</v>
      </c>
      <c r="H356" s="44"/>
      <c r="I356" s="15" t="s">
        <v>94</v>
      </c>
      <c r="J356" s="15" t="s">
        <v>94</v>
      </c>
      <c r="K356" s="15" t="s">
        <v>160</v>
      </c>
      <c r="L356" s="15" t="s">
        <v>95</v>
      </c>
      <c r="M356" s="15" t="s">
        <v>94</v>
      </c>
      <c r="N356" s="15" t="s">
        <v>67</v>
      </c>
      <c r="O356" s="15" t="s">
        <v>182</v>
      </c>
      <c r="P356" s="15" t="s">
        <v>198</v>
      </c>
      <c r="Q356" s="135"/>
      <c r="R356" s="42">
        <v>35.200000000000003</v>
      </c>
      <c r="S356" s="42">
        <f t="shared" si="28"/>
        <v>35.200000000000003</v>
      </c>
      <c r="T356" s="43">
        <f t="shared" si="29"/>
        <v>35.200000000000003</v>
      </c>
      <c r="U356" s="15" t="s">
        <v>41</v>
      </c>
      <c r="V356" s="150">
        <v>30</v>
      </c>
      <c r="W356" s="111" cm="1">
        <f t="array" ref="W356">IF(U356="",0,_xlfn.XLOOKUP(E356&amp;U356&amp;F356,tab_act&amp;tab_mod&amp;tab_act1,tab_riz)*V356*T356/MGMT)</f>
        <v>0</v>
      </c>
      <c r="X356" s="112" cm="1">
        <f t="array" ref="X356">IF(U356="",0,_xlfn.XLOOKUP(E356&amp;U356&amp;F356,tab_act&amp;tab_mod&amp;tab_act1,tab_mc)*V356*T356/MGMT)</f>
        <v>0</v>
      </c>
      <c r="Y356" s="112" cm="1">
        <f t="array" ref="Y356">IF(U356="",0,_xlfn.XLOOKUP(E356&amp;U356&amp;F356,tab_act&amp;tab_mod&amp;tab_act1,tab_sor)*V356*T356/MGMT)</f>
        <v>0</v>
      </c>
      <c r="Z356" s="112" cm="1">
        <f t="array" ref="Z356">IF(U356="",0,_xlfn.XLOOKUP(E356&amp;U356&amp;F356,tab_act&amp;tab_mod&amp;tab_act1,tab_mg)*V356*T356/MGMT)</f>
        <v>0</v>
      </c>
      <c r="AA356" s="113" cm="1">
        <f t="array" ref="AA356">IF(U356="",0,IF(U356="hybrid-Sch",_xlfn.XLOOKUP(E356&amp;U356&amp;F356,tab_act&amp;tab_mod&amp;tab_act1,tab_ls)*SchLS*T356/MGMT,_xlfn.XLOOKUP(E356&amp;U356&amp;F356,tab_act&amp;tab_mod&amp;tab_act1,tab_ls)*V356*T356/MGMT))</f>
        <v>0</v>
      </c>
      <c r="AB356" s="113" cm="1">
        <f t="array" ref="AB356">IF(U356="",0,_xlfn.XLOOKUP(E356&amp;U356&amp;F356,tab_act&amp;tab_mod&amp;tab_act1,tab_hu)*V356*T356/MGMT)</f>
        <v>2.112E-2</v>
      </c>
      <c r="AC356" s="113" cm="1">
        <f t="array" ref="AC356">IF(U356="",0,_xlfn.XLOOKUP(E356&amp;U356&amp;F356,tab_act&amp;tab_mod&amp;tab_act1,tab_mnp)*V356*T356/MGMT)</f>
        <v>0</v>
      </c>
      <c r="AD356" s="113" cm="1">
        <f t="array" ref="AD356">IF(U356="",0,_xlfn.XLOOKUP(E356&amp;U356&amp;F356,tab_act&amp;tab_mod&amp;tab_act1,tab_Psup)*V356*T356/MGMT)</f>
        <v>0</v>
      </c>
      <c r="AE356" s="113" cm="1">
        <f t="array" ref="AE356">IF(U356="",0,_xlfn.XLOOKUP(E356&amp;U356&amp;F356,tab_act&amp;tab_mod&amp;tab_act1,tab_csb1)*V356*T356/MGMT)</f>
        <v>0.21120000000000003</v>
      </c>
      <c r="AF356" s="113" cm="1">
        <f t="array" ref="AF356">IF(U356="",0,_xlfn.XLOOKUP(E356&amp;U356&amp;F356,tab_act&amp;tab_mod&amp;tab_act1,tab_csb2)*V356*T356/MGMT)</f>
        <v>0</v>
      </c>
      <c r="AG356" s="113" cm="1">
        <f t="array" ref="AG356">IF(U356="",0,_xlfn.XLOOKUP(E356&amp;U356&amp;F356,tab_act&amp;tab_mod&amp;tab_act1,tab_pdoz)*V356*T356/MGMT)</f>
        <v>0</v>
      </c>
      <c r="AH356" s="113" cm="1">
        <f t="array" ref="AH356">IF(U356="",0,_xlfn.XLOOKUP(E356&amp;U356&amp;F356,tab_act&amp;tab_mod&amp;tab_act1,tab_lns)*V356*T356/MGMT)</f>
        <v>0</v>
      </c>
      <c r="AI356" s="114">
        <f t="shared" si="27"/>
        <v>0.23232000000000003</v>
      </c>
      <c r="AJ356" s="115" cm="1">
        <f t="array" ref="AJ356">IF(U356="",0,_xlfn.XLOOKUP(E356&amp;U356&amp;F356,tab_act&amp;tab_mod&amp;tab_act1,tab_cash)*T356)</f>
        <v>0</v>
      </c>
      <c r="AK356" s="148" cm="1">
        <f t="array" ref="AK356">IF(B356="",0,IF(C356="",0,AJ356/_xlfn.XLOOKUP(B356&amp;C356,RMth&amp;RYr,RAr)))</f>
        <v>0</v>
      </c>
      <c r="AL356" s="90"/>
      <c r="AM356" s="90"/>
      <c r="AN356" s="141" t="s">
        <v>248</v>
      </c>
    </row>
    <row r="357" spans="2:40" x14ac:dyDescent="0.35">
      <c r="B357" s="50" t="s">
        <v>130</v>
      </c>
      <c r="C357" s="44">
        <v>2023</v>
      </c>
      <c r="D357" s="44" t="s">
        <v>100</v>
      </c>
      <c r="E357" s="15" t="s">
        <v>39</v>
      </c>
      <c r="F357" s="142" t="s">
        <v>117</v>
      </c>
      <c r="G357" s="15" t="s">
        <v>159</v>
      </c>
      <c r="H357" s="44"/>
      <c r="I357" s="15" t="s">
        <v>94</v>
      </c>
      <c r="J357" s="15" t="s">
        <v>94</v>
      </c>
      <c r="K357" s="15" t="s">
        <v>160</v>
      </c>
      <c r="L357" s="15" t="s">
        <v>95</v>
      </c>
      <c r="M357" s="15" t="s">
        <v>94</v>
      </c>
      <c r="N357" s="15" t="s">
        <v>67</v>
      </c>
      <c r="O357" s="15" t="s">
        <v>182</v>
      </c>
      <c r="P357" s="15" t="s">
        <v>199</v>
      </c>
      <c r="Q357" s="135"/>
      <c r="R357" s="42">
        <v>213.4</v>
      </c>
      <c r="S357" s="42">
        <f t="shared" si="28"/>
        <v>213.4</v>
      </c>
      <c r="T357" s="43">
        <f t="shared" si="29"/>
        <v>213.4</v>
      </c>
      <c r="U357" s="15" t="s">
        <v>41</v>
      </c>
      <c r="V357" s="150">
        <v>30</v>
      </c>
      <c r="W357" s="111" cm="1">
        <f t="array" ref="W357">IF(U357="",0,_xlfn.XLOOKUP(E357&amp;U357&amp;F357,tab_act&amp;tab_mod&amp;tab_act1,tab_riz)*V357*T357/MGMT)</f>
        <v>0</v>
      </c>
      <c r="X357" s="112" cm="1">
        <f t="array" ref="X357">IF(U357="",0,_xlfn.XLOOKUP(E357&amp;U357&amp;F357,tab_act&amp;tab_mod&amp;tab_act1,tab_mc)*V357*T357/MGMT)</f>
        <v>0</v>
      </c>
      <c r="Y357" s="112" cm="1">
        <f t="array" ref="Y357">IF(U357="",0,_xlfn.XLOOKUP(E357&amp;U357&amp;F357,tab_act&amp;tab_mod&amp;tab_act1,tab_sor)*V357*T357/MGMT)</f>
        <v>0</v>
      </c>
      <c r="Z357" s="112" cm="1">
        <f t="array" ref="Z357">IF(U357="",0,_xlfn.XLOOKUP(E357&amp;U357&amp;F357,tab_act&amp;tab_mod&amp;tab_act1,tab_mg)*V357*T357/MGMT)</f>
        <v>0</v>
      </c>
      <c r="AA357" s="113" cm="1">
        <f t="array" ref="AA357">IF(U357="",0,IF(U357="hybrid-Sch",_xlfn.XLOOKUP(E357&amp;U357&amp;F357,tab_act&amp;tab_mod&amp;tab_act1,tab_ls)*SchLS*T357/MGMT,_xlfn.XLOOKUP(E357&amp;U357&amp;F357,tab_act&amp;tab_mod&amp;tab_act1,tab_ls)*V357*T357/MGMT))</f>
        <v>0</v>
      </c>
      <c r="AB357" s="113" cm="1">
        <f t="array" ref="AB357">IF(U357="",0,_xlfn.XLOOKUP(E357&amp;U357&amp;F357,tab_act&amp;tab_mod&amp;tab_act1,tab_hu)*V357*T357/MGMT)</f>
        <v>0.12803999999999999</v>
      </c>
      <c r="AC357" s="113" cm="1">
        <f t="array" ref="AC357">IF(U357="",0,_xlfn.XLOOKUP(E357&amp;U357&amp;F357,tab_act&amp;tab_mod&amp;tab_act1,tab_mnp)*V357*T357/MGMT)</f>
        <v>0</v>
      </c>
      <c r="AD357" s="113" cm="1">
        <f t="array" ref="AD357">IF(U357="",0,_xlfn.XLOOKUP(E357&amp;U357&amp;F357,tab_act&amp;tab_mod&amp;tab_act1,tab_Psup)*V357*T357/MGMT)</f>
        <v>0</v>
      </c>
      <c r="AE357" s="113" cm="1">
        <f t="array" ref="AE357">IF(U357="",0,_xlfn.XLOOKUP(E357&amp;U357&amp;F357,tab_act&amp;tab_mod&amp;tab_act1,tab_csb1)*V357*T357/MGMT)</f>
        <v>1.2804</v>
      </c>
      <c r="AF357" s="113" cm="1">
        <f t="array" ref="AF357">IF(U357="",0,_xlfn.XLOOKUP(E357&amp;U357&amp;F357,tab_act&amp;tab_mod&amp;tab_act1,tab_csb2)*V357*T357/MGMT)</f>
        <v>0</v>
      </c>
      <c r="AG357" s="113" cm="1">
        <f t="array" ref="AG357">IF(U357="",0,_xlfn.XLOOKUP(E357&amp;U357&amp;F357,tab_act&amp;tab_mod&amp;tab_act1,tab_pdoz)*V357*T357/MGMT)</f>
        <v>0</v>
      </c>
      <c r="AH357" s="113" cm="1">
        <f t="array" ref="AH357">IF(U357="",0,_xlfn.XLOOKUP(E357&amp;U357&amp;F357,tab_act&amp;tab_mod&amp;tab_act1,tab_lns)*V357*T357/MGMT)</f>
        <v>0</v>
      </c>
      <c r="AI357" s="114">
        <f t="shared" si="27"/>
        <v>1.4084399999999999</v>
      </c>
      <c r="AJ357" s="115" cm="1">
        <f t="array" ref="AJ357">IF(U357="",0,_xlfn.XLOOKUP(E357&amp;U357&amp;F357,tab_act&amp;tab_mod&amp;tab_act1,tab_cash)*T357)</f>
        <v>0</v>
      </c>
      <c r="AK357" s="148" cm="1">
        <f t="array" ref="AK357">IF(B357="",0,IF(C357="",0,AJ357/_xlfn.XLOOKUP(B357&amp;C357,RMth&amp;RYr,RAr)))</f>
        <v>0</v>
      </c>
      <c r="AL357" s="90"/>
      <c r="AM357" s="90"/>
      <c r="AN357" s="141" t="s">
        <v>248</v>
      </c>
    </row>
    <row r="358" spans="2:40" x14ac:dyDescent="0.35">
      <c r="B358" s="50" t="s">
        <v>130</v>
      </c>
      <c r="C358" s="44">
        <v>2023</v>
      </c>
      <c r="D358" s="44" t="s">
        <v>100</v>
      </c>
      <c r="E358" s="15" t="s">
        <v>39</v>
      </c>
      <c r="F358" s="142" t="s">
        <v>117</v>
      </c>
      <c r="G358" s="15" t="s">
        <v>159</v>
      </c>
      <c r="H358" s="44"/>
      <c r="I358" s="15" t="s">
        <v>94</v>
      </c>
      <c r="J358" s="15" t="s">
        <v>94</v>
      </c>
      <c r="K358" s="15" t="s">
        <v>160</v>
      </c>
      <c r="L358" s="15" t="s">
        <v>95</v>
      </c>
      <c r="M358" s="15" t="s">
        <v>94</v>
      </c>
      <c r="N358" s="15" t="s">
        <v>67</v>
      </c>
      <c r="O358" s="15" t="s">
        <v>200</v>
      </c>
      <c r="P358" s="15" t="s">
        <v>201</v>
      </c>
      <c r="Q358" s="135"/>
      <c r="R358" s="42">
        <v>394.9</v>
      </c>
      <c r="S358" s="42">
        <f t="shared" si="28"/>
        <v>394.9</v>
      </c>
      <c r="T358" s="43">
        <f t="shared" si="29"/>
        <v>394.9</v>
      </c>
      <c r="U358" s="15" t="s">
        <v>41</v>
      </c>
      <c r="V358" s="150">
        <v>30</v>
      </c>
      <c r="W358" s="111" cm="1">
        <f t="array" ref="W358">IF(U358="",0,_xlfn.XLOOKUP(E358&amp;U358&amp;F358,tab_act&amp;tab_mod&amp;tab_act1,tab_riz)*V358*T358/MGMT)</f>
        <v>0</v>
      </c>
      <c r="X358" s="112" cm="1">
        <f t="array" ref="X358">IF(U358="",0,_xlfn.XLOOKUP(E358&amp;U358&amp;F358,tab_act&amp;tab_mod&amp;tab_act1,tab_mc)*V358*T358/MGMT)</f>
        <v>0</v>
      </c>
      <c r="Y358" s="112" cm="1">
        <f t="array" ref="Y358">IF(U358="",0,_xlfn.XLOOKUP(E358&amp;U358&amp;F358,tab_act&amp;tab_mod&amp;tab_act1,tab_sor)*V358*T358/MGMT)</f>
        <v>0</v>
      </c>
      <c r="Z358" s="112" cm="1">
        <f t="array" ref="Z358">IF(U358="",0,_xlfn.XLOOKUP(E358&amp;U358&amp;F358,tab_act&amp;tab_mod&amp;tab_act1,tab_mg)*V358*T358/MGMT)</f>
        <v>0</v>
      </c>
      <c r="AA358" s="113" cm="1">
        <f t="array" ref="AA358">IF(U358="",0,IF(U358="hybrid-Sch",_xlfn.XLOOKUP(E358&amp;U358&amp;F358,tab_act&amp;tab_mod&amp;tab_act1,tab_ls)*SchLS*T358/MGMT,_xlfn.XLOOKUP(E358&amp;U358&amp;F358,tab_act&amp;tab_mod&amp;tab_act1,tab_ls)*V358*T358/MGMT))</f>
        <v>0</v>
      </c>
      <c r="AB358" s="113" cm="1">
        <f t="array" ref="AB358">IF(U358="",0,_xlfn.XLOOKUP(E358&amp;U358&amp;F358,tab_act&amp;tab_mod&amp;tab_act1,tab_hu)*V358*T358/MGMT)</f>
        <v>0.23694000000000001</v>
      </c>
      <c r="AC358" s="113" cm="1">
        <f t="array" ref="AC358">IF(U358="",0,_xlfn.XLOOKUP(E358&amp;U358&amp;F358,tab_act&amp;tab_mod&amp;tab_act1,tab_mnp)*V358*T358/MGMT)</f>
        <v>0</v>
      </c>
      <c r="AD358" s="113" cm="1">
        <f t="array" ref="AD358">IF(U358="",0,_xlfn.XLOOKUP(E358&amp;U358&amp;F358,tab_act&amp;tab_mod&amp;tab_act1,tab_Psup)*V358*T358/MGMT)</f>
        <v>0</v>
      </c>
      <c r="AE358" s="113" cm="1">
        <f t="array" ref="AE358">IF(U358="",0,_xlfn.XLOOKUP(E358&amp;U358&amp;F358,tab_act&amp;tab_mod&amp;tab_act1,tab_csb1)*V358*T358/MGMT)</f>
        <v>2.3694000000000002</v>
      </c>
      <c r="AF358" s="113" cm="1">
        <f t="array" ref="AF358">IF(U358="",0,_xlfn.XLOOKUP(E358&amp;U358&amp;F358,tab_act&amp;tab_mod&amp;tab_act1,tab_csb2)*V358*T358/MGMT)</f>
        <v>0</v>
      </c>
      <c r="AG358" s="113" cm="1">
        <f t="array" ref="AG358">IF(U358="",0,_xlfn.XLOOKUP(E358&amp;U358&amp;F358,tab_act&amp;tab_mod&amp;tab_act1,tab_pdoz)*V358*T358/MGMT)</f>
        <v>0</v>
      </c>
      <c r="AH358" s="113" cm="1">
        <f t="array" ref="AH358">IF(U358="",0,_xlfn.XLOOKUP(E358&amp;U358&amp;F358,tab_act&amp;tab_mod&amp;tab_act1,tab_lns)*V358*T358/MGMT)</f>
        <v>0</v>
      </c>
      <c r="AI358" s="114">
        <f t="shared" si="27"/>
        <v>2.6063400000000003</v>
      </c>
      <c r="AJ358" s="115" cm="1">
        <f t="array" ref="AJ358">IF(U358="",0,_xlfn.XLOOKUP(E358&amp;U358&amp;F358,tab_act&amp;tab_mod&amp;tab_act1,tab_cash)*T358)</f>
        <v>0</v>
      </c>
      <c r="AK358" s="148" cm="1">
        <f t="array" ref="AK358">IF(B358="",0,IF(C358="",0,AJ358/_xlfn.XLOOKUP(B358&amp;C358,RMth&amp;RYr,RAr)))</f>
        <v>0</v>
      </c>
      <c r="AL358" s="90"/>
      <c r="AM358" s="90"/>
      <c r="AN358" s="141" t="s">
        <v>248</v>
      </c>
    </row>
    <row r="359" spans="2:40" x14ac:dyDescent="0.35">
      <c r="B359" s="50" t="s">
        <v>130</v>
      </c>
      <c r="C359" s="44">
        <v>2023</v>
      </c>
      <c r="D359" s="44" t="s">
        <v>100</v>
      </c>
      <c r="E359" s="15" t="s">
        <v>39</v>
      </c>
      <c r="F359" s="142" t="s">
        <v>117</v>
      </c>
      <c r="G359" s="15" t="s">
        <v>159</v>
      </c>
      <c r="H359" s="44"/>
      <c r="I359" s="15" t="s">
        <v>94</v>
      </c>
      <c r="J359" s="15" t="s">
        <v>94</v>
      </c>
      <c r="K359" s="15" t="s">
        <v>160</v>
      </c>
      <c r="L359" s="15" t="s">
        <v>95</v>
      </c>
      <c r="M359" s="15" t="s">
        <v>94</v>
      </c>
      <c r="N359" s="15" t="s">
        <v>67</v>
      </c>
      <c r="O359" s="15" t="s">
        <v>200</v>
      </c>
      <c r="P359" s="15" t="s">
        <v>202</v>
      </c>
      <c r="Q359" s="135"/>
      <c r="R359" s="42">
        <v>325.60000000000002</v>
      </c>
      <c r="S359" s="42">
        <f t="shared" si="28"/>
        <v>325.60000000000002</v>
      </c>
      <c r="T359" s="43">
        <f t="shared" si="29"/>
        <v>325.60000000000002</v>
      </c>
      <c r="U359" s="15" t="s">
        <v>41</v>
      </c>
      <c r="V359" s="150">
        <v>30</v>
      </c>
      <c r="W359" s="111" cm="1">
        <f t="array" ref="W359">IF(U359="",0,_xlfn.XLOOKUP(E359&amp;U359&amp;F359,tab_act&amp;tab_mod&amp;tab_act1,tab_riz)*V359*T359/MGMT)</f>
        <v>0</v>
      </c>
      <c r="X359" s="112" cm="1">
        <f t="array" ref="X359">IF(U359="",0,_xlfn.XLOOKUP(E359&amp;U359&amp;F359,tab_act&amp;tab_mod&amp;tab_act1,tab_mc)*V359*T359/MGMT)</f>
        <v>0</v>
      </c>
      <c r="Y359" s="112" cm="1">
        <f t="array" ref="Y359">IF(U359="",0,_xlfn.XLOOKUP(E359&amp;U359&amp;F359,tab_act&amp;tab_mod&amp;tab_act1,tab_sor)*V359*T359/MGMT)</f>
        <v>0</v>
      </c>
      <c r="Z359" s="112" cm="1">
        <f t="array" ref="Z359">IF(U359="",0,_xlfn.XLOOKUP(E359&amp;U359&amp;F359,tab_act&amp;tab_mod&amp;tab_act1,tab_mg)*V359*T359/MGMT)</f>
        <v>0</v>
      </c>
      <c r="AA359" s="113" cm="1">
        <f t="array" ref="AA359">IF(U359="",0,IF(U359="hybrid-Sch",_xlfn.XLOOKUP(E359&amp;U359&amp;F359,tab_act&amp;tab_mod&amp;tab_act1,tab_ls)*SchLS*T359/MGMT,_xlfn.XLOOKUP(E359&amp;U359&amp;F359,tab_act&amp;tab_mod&amp;tab_act1,tab_ls)*V359*T359/MGMT))</f>
        <v>0</v>
      </c>
      <c r="AB359" s="113" cm="1">
        <f t="array" ref="AB359">IF(U359="",0,_xlfn.XLOOKUP(E359&amp;U359&amp;F359,tab_act&amp;tab_mod&amp;tab_act1,tab_hu)*V359*T359/MGMT)</f>
        <v>0.19536000000000001</v>
      </c>
      <c r="AC359" s="113" cm="1">
        <f t="array" ref="AC359">IF(U359="",0,_xlfn.XLOOKUP(E359&amp;U359&amp;F359,tab_act&amp;tab_mod&amp;tab_act1,tab_mnp)*V359*T359/MGMT)</f>
        <v>0</v>
      </c>
      <c r="AD359" s="113" cm="1">
        <f t="array" ref="AD359">IF(U359="",0,_xlfn.XLOOKUP(E359&amp;U359&amp;F359,tab_act&amp;tab_mod&amp;tab_act1,tab_Psup)*V359*T359/MGMT)</f>
        <v>0</v>
      </c>
      <c r="AE359" s="113" cm="1">
        <f t="array" ref="AE359">IF(U359="",0,_xlfn.XLOOKUP(E359&amp;U359&amp;F359,tab_act&amp;tab_mod&amp;tab_act1,tab_csb1)*V359*T359/MGMT)</f>
        <v>1.9536000000000002</v>
      </c>
      <c r="AF359" s="113" cm="1">
        <f t="array" ref="AF359">IF(U359="",0,_xlfn.XLOOKUP(E359&amp;U359&amp;F359,tab_act&amp;tab_mod&amp;tab_act1,tab_csb2)*V359*T359/MGMT)</f>
        <v>0</v>
      </c>
      <c r="AG359" s="113" cm="1">
        <f t="array" ref="AG359">IF(U359="",0,_xlfn.XLOOKUP(E359&amp;U359&amp;F359,tab_act&amp;tab_mod&amp;tab_act1,tab_pdoz)*V359*T359/MGMT)</f>
        <v>0</v>
      </c>
      <c r="AH359" s="113" cm="1">
        <f t="array" ref="AH359">IF(U359="",0,_xlfn.XLOOKUP(E359&amp;U359&amp;F359,tab_act&amp;tab_mod&amp;tab_act1,tab_lns)*V359*T359/MGMT)</f>
        <v>0</v>
      </c>
      <c r="AI359" s="114">
        <f t="shared" si="27"/>
        <v>2.1489600000000002</v>
      </c>
      <c r="AJ359" s="115" cm="1">
        <f t="array" ref="AJ359">IF(U359="",0,_xlfn.XLOOKUP(E359&amp;U359&amp;F359,tab_act&amp;tab_mod&amp;tab_act1,tab_cash)*T359)</f>
        <v>0</v>
      </c>
      <c r="AK359" s="148" cm="1">
        <f t="array" ref="AK359">IF(B359="",0,IF(C359="",0,AJ359/_xlfn.XLOOKUP(B359&amp;C359,RMth&amp;RYr,RAr)))</f>
        <v>0</v>
      </c>
      <c r="AL359" s="90"/>
      <c r="AM359" s="90"/>
      <c r="AN359" s="141" t="s">
        <v>248</v>
      </c>
    </row>
    <row r="360" spans="2:40" x14ac:dyDescent="0.35">
      <c r="B360" s="50" t="s">
        <v>130</v>
      </c>
      <c r="C360" s="44">
        <v>2023</v>
      </c>
      <c r="D360" s="44" t="s">
        <v>100</v>
      </c>
      <c r="E360" s="15" t="s">
        <v>39</v>
      </c>
      <c r="F360" s="142" t="s">
        <v>117</v>
      </c>
      <c r="G360" s="15" t="s">
        <v>159</v>
      </c>
      <c r="H360" s="44"/>
      <c r="I360" s="15" t="s">
        <v>94</v>
      </c>
      <c r="J360" s="15" t="s">
        <v>94</v>
      </c>
      <c r="K360" s="15" t="s">
        <v>160</v>
      </c>
      <c r="L360" s="15" t="s">
        <v>95</v>
      </c>
      <c r="M360" s="15" t="s">
        <v>94</v>
      </c>
      <c r="N360" s="15" t="s">
        <v>67</v>
      </c>
      <c r="O360" s="15" t="s">
        <v>200</v>
      </c>
      <c r="P360" s="15" t="s">
        <v>203</v>
      </c>
      <c r="Q360" s="135"/>
      <c r="R360" s="42">
        <v>592.9</v>
      </c>
      <c r="S360" s="42">
        <f t="shared" si="28"/>
        <v>592.9</v>
      </c>
      <c r="T360" s="43">
        <f t="shared" si="29"/>
        <v>592.9</v>
      </c>
      <c r="U360" s="15" t="s">
        <v>41</v>
      </c>
      <c r="V360" s="150">
        <v>30</v>
      </c>
      <c r="W360" s="111" cm="1">
        <f t="array" ref="W360">IF(U360="",0,_xlfn.XLOOKUP(E360&amp;U360&amp;F360,tab_act&amp;tab_mod&amp;tab_act1,tab_riz)*V360*T360/MGMT)</f>
        <v>0</v>
      </c>
      <c r="X360" s="112" cm="1">
        <f t="array" ref="X360">IF(U360="",0,_xlfn.XLOOKUP(E360&amp;U360&amp;F360,tab_act&amp;tab_mod&amp;tab_act1,tab_mc)*V360*T360/MGMT)</f>
        <v>0</v>
      </c>
      <c r="Y360" s="112" cm="1">
        <f t="array" ref="Y360">IF(U360="",0,_xlfn.XLOOKUP(E360&amp;U360&amp;F360,tab_act&amp;tab_mod&amp;tab_act1,tab_sor)*V360*T360/MGMT)</f>
        <v>0</v>
      </c>
      <c r="Z360" s="112" cm="1">
        <f t="array" ref="Z360">IF(U360="",0,_xlfn.XLOOKUP(E360&amp;U360&amp;F360,tab_act&amp;tab_mod&amp;tab_act1,tab_mg)*V360*T360/MGMT)</f>
        <v>0</v>
      </c>
      <c r="AA360" s="113" cm="1">
        <f t="array" ref="AA360">IF(U360="",0,IF(U360="hybrid-Sch",_xlfn.XLOOKUP(E360&amp;U360&amp;F360,tab_act&amp;tab_mod&amp;tab_act1,tab_ls)*SchLS*T360/MGMT,_xlfn.XLOOKUP(E360&amp;U360&amp;F360,tab_act&amp;tab_mod&amp;tab_act1,tab_ls)*V360*T360/MGMT))</f>
        <v>0</v>
      </c>
      <c r="AB360" s="113" cm="1">
        <f t="array" ref="AB360">IF(U360="",0,_xlfn.XLOOKUP(E360&amp;U360&amp;F360,tab_act&amp;tab_mod&amp;tab_act1,tab_hu)*V360*T360/MGMT)</f>
        <v>0.35574</v>
      </c>
      <c r="AC360" s="113" cm="1">
        <f t="array" ref="AC360">IF(U360="",0,_xlfn.XLOOKUP(E360&amp;U360&amp;F360,tab_act&amp;tab_mod&amp;tab_act1,tab_mnp)*V360*T360/MGMT)</f>
        <v>0</v>
      </c>
      <c r="AD360" s="113" cm="1">
        <f t="array" ref="AD360">IF(U360="",0,_xlfn.XLOOKUP(E360&amp;U360&amp;F360,tab_act&amp;tab_mod&amp;tab_act1,tab_Psup)*V360*T360/MGMT)</f>
        <v>0</v>
      </c>
      <c r="AE360" s="113" cm="1">
        <f t="array" ref="AE360">IF(U360="",0,_xlfn.XLOOKUP(E360&amp;U360&amp;F360,tab_act&amp;tab_mod&amp;tab_act1,tab_csb1)*V360*T360/MGMT)</f>
        <v>3.5573999999999999</v>
      </c>
      <c r="AF360" s="113" cm="1">
        <f t="array" ref="AF360">IF(U360="",0,_xlfn.XLOOKUP(E360&amp;U360&amp;F360,tab_act&amp;tab_mod&amp;tab_act1,tab_csb2)*V360*T360/MGMT)</f>
        <v>0</v>
      </c>
      <c r="AG360" s="113" cm="1">
        <f t="array" ref="AG360">IF(U360="",0,_xlfn.XLOOKUP(E360&amp;U360&amp;F360,tab_act&amp;tab_mod&amp;tab_act1,tab_pdoz)*V360*T360/MGMT)</f>
        <v>0</v>
      </c>
      <c r="AH360" s="113" cm="1">
        <f t="array" ref="AH360">IF(U360="",0,_xlfn.XLOOKUP(E360&amp;U360&amp;F360,tab_act&amp;tab_mod&amp;tab_act1,tab_lns)*V360*T360/MGMT)</f>
        <v>0</v>
      </c>
      <c r="AI360" s="114">
        <f t="shared" si="27"/>
        <v>3.9131399999999998</v>
      </c>
      <c r="AJ360" s="115" cm="1">
        <f t="array" ref="AJ360">IF(U360="",0,_xlfn.XLOOKUP(E360&amp;U360&amp;F360,tab_act&amp;tab_mod&amp;tab_act1,tab_cash)*T360)</f>
        <v>0</v>
      </c>
      <c r="AK360" s="148" cm="1">
        <f t="array" ref="AK360">IF(B360="",0,IF(C360="",0,AJ360/_xlfn.XLOOKUP(B360&amp;C360,RMth&amp;RYr,RAr)))</f>
        <v>0</v>
      </c>
      <c r="AL360" s="90"/>
      <c r="AM360" s="90"/>
      <c r="AN360" s="141" t="s">
        <v>248</v>
      </c>
    </row>
    <row r="361" spans="2:40" x14ac:dyDescent="0.35">
      <c r="B361" s="50" t="s">
        <v>130</v>
      </c>
      <c r="C361" s="44">
        <v>2023</v>
      </c>
      <c r="D361" s="44" t="s">
        <v>100</v>
      </c>
      <c r="E361" s="15" t="s">
        <v>39</v>
      </c>
      <c r="F361" s="142" t="s">
        <v>117</v>
      </c>
      <c r="G361" s="15" t="s">
        <v>159</v>
      </c>
      <c r="H361" s="44"/>
      <c r="I361" s="15" t="s">
        <v>94</v>
      </c>
      <c r="J361" s="15" t="s">
        <v>94</v>
      </c>
      <c r="K361" s="15" t="s">
        <v>160</v>
      </c>
      <c r="L361" s="15" t="s">
        <v>95</v>
      </c>
      <c r="M361" s="15" t="s">
        <v>94</v>
      </c>
      <c r="N361" s="15" t="s">
        <v>67</v>
      </c>
      <c r="O361" s="15" t="s">
        <v>200</v>
      </c>
      <c r="P361" s="15" t="s">
        <v>204</v>
      </c>
      <c r="Q361" s="135"/>
      <c r="R361" s="42">
        <v>342.1</v>
      </c>
      <c r="S361" s="42">
        <f t="shared" si="28"/>
        <v>342.1</v>
      </c>
      <c r="T361" s="43">
        <f t="shared" si="29"/>
        <v>342.1</v>
      </c>
      <c r="U361" s="15" t="s">
        <v>41</v>
      </c>
      <c r="V361" s="150">
        <v>30</v>
      </c>
      <c r="W361" s="111" cm="1">
        <f t="array" ref="W361">IF(U361="",0,_xlfn.XLOOKUP(E361&amp;U361&amp;F361,tab_act&amp;tab_mod&amp;tab_act1,tab_riz)*V361*T361/MGMT)</f>
        <v>0</v>
      </c>
      <c r="X361" s="112" cm="1">
        <f t="array" ref="X361">IF(U361="",0,_xlfn.XLOOKUP(E361&amp;U361&amp;F361,tab_act&amp;tab_mod&amp;tab_act1,tab_mc)*V361*T361/MGMT)</f>
        <v>0</v>
      </c>
      <c r="Y361" s="112" cm="1">
        <f t="array" ref="Y361">IF(U361="",0,_xlfn.XLOOKUP(E361&amp;U361&amp;F361,tab_act&amp;tab_mod&amp;tab_act1,tab_sor)*V361*T361/MGMT)</f>
        <v>0</v>
      </c>
      <c r="Z361" s="112" cm="1">
        <f t="array" ref="Z361">IF(U361="",0,_xlfn.XLOOKUP(E361&amp;U361&amp;F361,tab_act&amp;tab_mod&amp;tab_act1,tab_mg)*V361*T361/MGMT)</f>
        <v>0</v>
      </c>
      <c r="AA361" s="113" cm="1">
        <f t="array" ref="AA361">IF(U361="",0,IF(U361="hybrid-Sch",_xlfn.XLOOKUP(E361&amp;U361&amp;F361,tab_act&amp;tab_mod&amp;tab_act1,tab_ls)*SchLS*T361/MGMT,_xlfn.XLOOKUP(E361&amp;U361&amp;F361,tab_act&amp;tab_mod&amp;tab_act1,tab_ls)*V361*T361/MGMT))</f>
        <v>0</v>
      </c>
      <c r="AB361" s="113" cm="1">
        <f t="array" ref="AB361">IF(U361="",0,_xlfn.XLOOKUP(E361&amp;U361&amp;F361,tab_act&amp;tab_mod&amp;tab_act1,tab_hu)*V361*T361/MGMT)</f>
        <v>0.20526</v>
      </c>
      <c r="AC361" s="113" cm="1">
        <f t="array" ref="AC361">IF(U361="",0,_xlfn.XLOOKUP(E361&amp;U361&amp;F361,tab_act&amp;tab_mod&amp;tab_act1,tab_mnp)*V361*T361/MGMT)</f>
        <v>0</v>
      </c>
      <c r="AD361" s="113" cm="1">
        <f t="array" ref="AD361">IF(U361="",0,_xlfn.XLOOKUP(E361&amp;U361&amp;F361,tab_act&amp;tab_mod&amp;tab_act1,tab_Psup)*V361*T361/MGMT)</f>
        <v>0</v>
      </c>
      <c r="AE361" s="113" cm="1">
        <f t="array" ref="AE361">IF(U361="",0,_xlfn.XLOOKUP(E361&amp;U361&amp;F361,tab_act&amp;tab_mod&amp;tab_act1,tab_csb1)*V361*T361/MGMT)</f>
        <v>2.0526000000000004</v>
      </c>
      <c r="AF361" s="113" cm="1">
        <f t="array" ref="AF361">IF(U361="",0,_xlfn.XLOOKUP(E361&amp;U361&amp;F361,tab_act&amp;tab_mod&amp;tab_act1,tab_csb2)*V361*T361/MGMT)</f>
        <v>0</v>
      </c>
      <c r="AG361" s="113" cm="1">
        <f t="array" ref="AG361">IF(U361="",0,_xlfn.XLOOKUP(E361&amp;U361&amp;F361,tab_act&amp;tab_mod&amp;tab_act1,tab_pdoz)*V361*T361/MGMT)</f>
        <v>0</v>
      </c>
      <c r="AH361" s="113" cm="1">
        <f t="array" ref="AH361">IF(U361="",0,_xlfn.XLOOKUP(E361&amp;U361&amp;F361,tab_act&amp;tab_mod&amp;tab_act1,tab_lns)*V361*T361/MGMT)</f>
        <v>0</v>
      </c>
      <c r="AI361" s="114">
        <f t="shared" si="27"/>
        <v>2.2578600000000004</v>
      </c>
      <c r="AJ361" s="115" cm="1">
        <f t="array" ref="AJ361">IF(U361="",0,_xlfn.XLOOKUP(E361&amp;U361&amp;F361,tab_act&amp;tab_mod&amp;tab_act1,tab_cash)*T361)</f>
        <v>0</v>
      </c>
      <c r="AK361" s="148" cm="1">
        <f t="array" ref="AK361">IF(B361="",0,IF(C361="",0,AJ361/_xlfn.XLOOKUP(B361&amp;C361,RMth&amp;RYr,RAr)))</f>
        <v>0</v>
      </c>
      <c r="AL361" s="90"/>
      <c r="AM361" s="90"/>
      <c r="AN361" s="141" t="s">
        <v>248</v>
      </c>
    </row>
    <row r="362" spans="2:40" x14ac:dyDescent="0.35">
      <c r="B362" s="50" t="s">
        <v>130</v>
      </c>
      <c r="C362" s="44">
        <v>2023</v>
      </c>
      <c r="D362" s="44" t="s">
        <v>100</v>
      </c>
      <c r="E362" s="15" t="s">
        <v>39</v>
      </c>
      <c r="F362" s="142" t="s">
        <v>117</v>
      </c>
      <c r="G362" s="15" t="s">
        <v>159</v>
      </c>
      <c r="H362" s="44"/>
      <c r="I362" s="15" t="s">
        <v>94</v>
      </c>
      <c r="J362" s="15" t="s">
        <v>94</v>
      </c>
      <c r="K362" s="15" t="s">
        <v>160</v>
      </c>
      <c r="L362" s="15" t="s">
        <v>95</v>
      </c>
      <c r="M362" s="15" t="s">
        <v>94</v>
      </c>
      <c r="N362" s="15" t="s">
        <v>67</v>
      </c>
      <c r="O362" s="15" t="s">
        <v>200</v>
      </c>
      <c r="P362" s="15" t="s">
        <v>205</v>
      </c>
      <c r="Q362" s="135"/>
      <c r="R362" s="42">
        <v>66</v>
      </c>
      <c r="S362" s="42">
        <f t="shared" si="28"/>
        <v>66</v>
      </c>
      <c r="T362" s="43">
        <f t="shared" si="29"/>
        <v>66</v>
      </c>
      <c r="U362" s="15" t="s">
        <v>41</v>
      </c>
      <c r="V362" s="150">
        <v>30</v>
      </c>
      <c r="W362" s="111" cm="1">
        <f t="array" ref="W362">IF(U362="",0,_xlfn.XLOOKUP(E362&amp;U362&amp;F362,tab_act&amp;tab_mod&amp;tab_act1,tab_riz)*V362*T362/MGMT)</f>
        <v>0</v>
      </c>
      <c r="X362" s="112" cm="1">
        <f t="array" ref="X362">IF(U362="",0,_xlfn.XLOOKUP(E362&amp;U362&amp;F362,tab_act&amp;tab_mod&amp;tab_act1,tab_mc)*V362*T362/MGMT)</f>
        <v>0</v>
      </c>
      <c r="Y362" s="112" cm="1">
        <f t="array" ref="Y362">IF(U362="",0,_xlfn.XLOOKUP(E362&amp;U362&amp;F362,tab_act&amp;tab_mod&amp;tab_act1,tab_sor)*V362*T362/MGMT)</f>
        <v>0</v>
      </c>
      <c r="Z362" s="112" cm="1">
        <f t="array" ref="Z362">IF(U362="",0,_xlfn.XLOOKUP(E362&amp;U362&amp;F362,tab_act&amp;tab_mod&amp;tab_act1,tab_mg)*V362*T362/MGMT)</f>
        <v>0</v>
      </c>
      <c r="AA362" s="113" cm="1">
        <f t="array" ref="AA362">IF(U362="",0,IF(U362="hybrid-Sch",_xlfn.XLOOKUP(E362&amp;U362&amp;F362,tab_act&amp;tab_mod&amp;tab_act1,tab_ls)*SchLS*T362/MGMT,_xlfn.XLOOKUP(E362&amp;U362&amp;F362,tab_act&amp;tab_mod&amp;tab_act1,tab_ls)*V362*T362/MGMT))</f>
        <v>0</v>
      </c>
      <c r="AB362" s="113" cm="1">
        <f t="array" ref="AB362">IF(U362="",0,_xlfn.XLOOKUP(E362&amp;U362&amp;F362,tab_act&amp;tab_mod&amp;tab_act1,tab_hu)*V362*T362/MGMT)</f>
        <v>3.9600000000000003E-2</v>
      </c>
      <c r="AC362" s="113" cm="1">
        <f t="array" ref="AC362">IF(U362="",0,_xlfn.XLOOKUP(E362&amp;U362&amp;F362,tab_act&amp;tab_mod&amp;tab_act1,tab_mnp)*V362*T362/MGMT)</f>
        <v>0</v>
      </c>
      <c r="AD362" s="113" cm="1">
        <f t="array" ref="AD362">IF(U362="",0,_xlfn.XLOOKUP(E362&amp;U362&amp;F362,tab_act&amp;tab_mod&amp;tab_act1,tab_Psup)*V362*T362/MGMT)</f>
        <v>0</v>
      </c>
      <c r="AE362" s="113" cm="1">
        <f t="array" ref="AE362">IF(U362="",0,_xlfn.XLOOKUP(E362&amp;U362&amp;F362,tab_act&amp;tab_mod&amp;tab_act1,tab_csb1)*V362*T362/MGMT)</f>
        <v>0.39600000000000002</v>
      </c>
      <c r="AF362" s="113" cm="1">
        <f t="array" ref="AF362">IF(U362="",0,_xlfn.XLOOKUP(E362&amp;U362&amp;F362,tab_act&amp;tab_mod&amp;tab_act1,tab_csb2)*V362*T362/MGMT)</f>
        <v>0</v>
      </c>
      <c r="AG362" s="113" cm="1">
        <f t="array" ref="AG362">IF(U362="",0,_xlfn.XLOOKUP(E362&amp;U362&amp;F362,tab_act&amp;tab_mod&amp;tab_act1,tab_pdoz)*V362*T362/MGMT)</f>
        <v>0</v>
      </c>
      <c r="AH362" s="113" cm="1">
        <f t="array" ref="AH362">IF(U362="",0,_xlfn.XLOOKUP(E362&amp;U362&amp;F362,tab_act&amp;tab_mod&amp;tab_act1,tab_lns)*V362*T362/MGMT)</f>
        <v>0</v>
      </c>
      <c r="AI362" s="114">
        <f t="shared" si="27"/>
        <v>0.43560000000000004</v>
      </c>
      <c r="AJ362" s="115" cm="1">
        <f t="array" ref="AJ362">IF(U362="",0,_xlfn.XLOOKUP(E362&amp;U362&amp;F362,tab_act&amp;tab_mod&amp;tab_act1,tab_cash)*T362)</f>
        <v>0</v>
      </c>
      <c r="AK362" s="148" cm="1">
        <f t="array" ref="AK362">IF(B362="",0,IF(C362="",0,AJ362/_xlfn.XLOOKUP(B362&amp;C362,RMth&amp;RYr,RAr)))</f>
        <v>0</v>
      </c>
      <c r="AL362" s="90"/>
      <c r="AM362" s="90"/>
      <c r="AN362" s="141" t="s">
        <v>248</v>
      </c>
    </row>
    <row r="363" spans="2:40" x14ac:dyDescent="0.35">
      <c r="B363" s="50" t="s">
        <v>130</v>
      </c>
      <c r="C363" s="44">
        <v>2023</v>
      </c>
      <c r="D363" s="44" t="s">
        <v>100</v>
      </c>
      <c r="E363" s="15" t="s">
        <v>39</v>
      </c>
      <c r="F363" s="142" t="s">
        <v>117</v>
      </c>
      <c r="G363" s="15" t="s">
        <v>159</v>
      </c>
      <c r="H363" s="44"/>
      <c r="I363" s="15" t="s">
        <v>94</v>
      </c>
      <c r="J363" s="15" t="s">
        <v>94</v>
      </c>
      <c r="K363" s="15" t="s">
        <v>160</v>
      </c>
      <c r="L363" s="15" t="s">
        <v>95</v>
      </c>
      <c r="M363" s="15" t="s">
        <v>94</v>
      </c>
      <c r="N363" s="15" t="s">
        <v>67</v>
      </c>
      <c r="O363" s="15" t="s">
        <v>206</v>
      </c>
      <c r="P363" s="15" t="s">
        <v>207</v>
      </c>
      <c r="Q363" s="135"/>
      <c r="R363" s="42">
        <v>295.89999999999998</v>
      </c>
      <c r="S363" s="42">
        <f t="shared" si="28"/>
        <v>295.89999999999998</v>
      </c>
      <c r="T363" s="43">
        <f t="shared" si="29"/>
        <v>295.89999999999998</v>
      </c>
      <c r="U363" s="15" t="s">
        <v>41</v>
      </c>
      <c r="V363" s="150">
        <v>30</v>
      </c>
      <c r="W363" s="111" cm="1">
        <f t="array" ref="W363">IF(U363="",0,_xlfn.XLOOKUP(E363&amp;U363&amp;F363,tab_act&amp;tab_mod&amp;tab_act1,tab_riz)*V363*T363/MGMT)</f>
        <v>0</v>
      </c>
      <c r="X363" s="112" cm="1">
        <f t="array" ref="X363">IF(U363="",0,_xlfn.XLOOKUP(E363&amp;U363&amp;F363,tab_act&amp;tab_mod&amp;tab_act1,tab_mc)*V363*T363/MGMT)</f>
        <v>0</v>
      </c>
      <c r="Y363" s="112" cm="1">
        <f t="array" ref="Y363">IF(U363="",0,_xlfn.XLOOKUP(E363&amp;U363&amp;F363,tab_act&amp;tab_mod&amp;tab_act1,tab_sor)*V363*T363/MGMT)</f>
        <v>0</v>
      </c>
      <c r="Z363" s="112" cm="1">
        <f t="array" ref="Z363">IF(U363="",0,_xlfn.XLOOKUP(E363&amp;U363&amp;F363,tab_act&amp;tab_mod&amp;tab_act1,tab_mg)*V363*T363/MGMT)</f>
        <v>0</v>
      </c>
      <c r="AA363" s="113" cm="1">
        <f t="array" ref="AA363">IF(U363="",0,IF(U363="hybrid-Sch",_xlfn.XLOOKUP(E363&amp;U363&amp;F363,tab_act&amp;tab_mod&amp;tab_act1,tab_ls)*SchLS*T363/MGMT,_xlfn.XLOOKUP(E363&amp;U363&amp;F363,tab_act&amp;tab_mod&amp;tab_act1,tab_ls)*V363*T363/MGMT))</f>
        <v>0</v>
      </c>
      <c r="AB363" s="113" cm="1">
        <f t="array" ref="AB363">IF(U363="",0,_xlfn.XLOOKUP(E363&amp;U363&amp;F363,tab_act&amp;tab_mod&amp;tab_act1,tab_hu)*V363*T363/MGMT)</f>
        <v>0.17754</v>
      </c>
      <c r="AC363" s="113" cm="1">
        <f t="array" ref="AC363">IF(U363="",0,_xlfn.XLOOKUP(E363&amp;U363&amp;F363,tab_act&amp;tab_mod&amp;tab_act1,tab_mnp)*V363*T363/MGMT)</f>
        <v>0</v>
      </c>
      <c r="AD363" s="113" cm="1">
        <f t="array" ref="AD363">IF(U363="",0,_xlfn.XLOOKUP(E363&amp;U363&amp;F363,tab_act&amp;tab_mod&amp;tab_act1,tab_Psup)*V363*T363/MGMT)</f>
        <v>0</v>
      </c>
      <c r="AE363" s="113" cm="1">
        <f t="array" ref="AE363">IF(U363="",0,_xlfn.XLOOKUP(E363&amp;U363&amp;F363,tab_act&amp;tab_mod&amp;tab_act1,tab_csb1)*V363*T363/MGMT)</f>
        <v>1.7753999999999999</v>
      </c>
      <c r="AF363" s="113" cm="1">
        <f t="array" ref="AF363">IF(U363="",0,_xlfn.XLOOKUP(E363&amp;U363&amp;F363,tab_act&amp;tab_mod&amp;tab_act1,tab_csb2)*V363*T363/MGMT)</f>
        <v>0</v>
      </c>
      <c r="AG363" s="113" cm="1">
        <f t="array" ref="AG363">IF(U363="",0,_xlfn.XLOOKUP(E363&amp;U363&amp;F363,tab_act&amp;tab_mod&amp;tab_act1,tab_pdoz)*V363*T363/MGMT)</f>
        <v>0</v>
      </c>
      <c r="AH363" s="113" cm="1">
        <f t="array" ref="AH363">IF(U363="",0,_xlfn.XLOOKUP(E363&amp;U363&amp;F363,tab_act&amp;tab_mod&amp;tab_act1,tab_lns)*V363*T363/MGMT)</f>
        <v>0</v>
      </c>
      <c r="AI363" s="114">
        <f t="shared" si="27"/>
        <v>1.9529399999999999</v>
      </c>
      <c r="AJ363" s="115" cm="1">
        <f t="array" ref="AJ363">IF(U363="",0,_xlfn.XLOOKUP(E363&amp;U363&amp;F363,tab_act&amp;tab_mod&amp;tab_act1,tab_cash)*T363)</f>
        <v>0</v>
      </c>
      <c r="AK363" s="148" cm="1">
        <f t="array" ref="AK363">IF(B363="",0,IF(C363="",0,AJ363/_xlfn.XLOOKUP(B363&amp;C363,RMth&amp;RYr,RAr)))</f>
        <v>0</v>
      </c>
      <c r="AL363" s="90"/>
      <c r="AM363" s="90"/>
      <c r="AN363" s="141" t="s">
        <v>248</v>
      </c>
    </row>
    <row r="364" spans="2:40" x14ac:dyDescent="0.35">
      <c r="B364" s="50" t="s">
        <v>130</v>
      </c>
      <c r="C364" s="44">
        <v>2023</v>
      </c>
      <c r="D364" s="44" t="s">
        <v>100</v>
      </c>
      <c r="E364" s="15" t="s">
        <v>39</v>
      </c>
      <c r="F364" s="142" t="s">
        <v>117</v>
      </c>
      <c r="G364" s="15" t="s">
        <v>159</v>
      </c>
      <c r="H364" s="44"/>
      <c r="I364" s="15" t="s">
        <v>94</v>
      </c>
      <c r="J364" s="15" t="s">
        <v>94</v>
      </c>
      <c r="K364" s="15" t="s">
        <v>160</v>
      </c>
      <c r="L364" s="15" t="s">
        <v>95</v>
      </c>
      <c r="M364" s="15" t="s">
        <v>94</v>
      </c>
      <c r="N364" s="15" t="s">
        <v>67</v>
      </c>
      <c r="O364" s="15" t="s">
        <v>206</v>
      </c>
      <c r="P364" s="15" t="s">
        <v>208</v>
      </c>
      <c r="Q364" s="135"/>
      <c r="R364" s="42">
        <v>198</v>
      </c>
      <c r="S364" s="42">
        <f t="shared" si="28"/>
        <v>198</v>
      </c>
      <c r="T364" s="43">
        <f t="shared" si="29"/>
        <v>198</v>
      </c>
      <c r="U364" s="15" t="s">
        <v>41</v>
      </c>
      <c r="V364" s="150">
        <v>30</v>
      </c>
      <c r="W364" s="111" cm="1">
        <f t="array" ref="W364">IF(U364="",0,_xlfn.XLOOKUP(E364&amp;U364&amp;F364,tab_act&amp;tab_mod&amp;tab_act1,tab_riz)*V364*T364/MGMT)</f>
        <v>0</v>
      </c>
      <c r="X364" s="112" cm="1">
        <f t="array" ref="X364">IF(U364="",0,_xlfn.XLOOKUP(E364&amp;U364&amp;F364,tab_act&amp;tab_mod&amp;tab_act1,tab_mc)*V364*T364/MGMT)</f>
        <v>0</v>
      </c>
      <c r="Y364" s="112" cm="1">
        <f t="array" ref="Y364">IF(U364="",0,_xlfn.XLOOKUP(E364&amp;U364&amp;F364,tab_act&amp;tab_mod&amp;tab_act1,tab_sor)*V364*T364/MGMT)</f>
        <v>0</v>
      </c>
      <c r="Z364" s="112" cm="1">
        <f t="array" ref="Z364">IF(U364="",0,_xlfn.XLOOKUP(E364&amp;U364&amp;F364,tab_act&amp;tab_mod&amp;tab_act1,tab_mg)*V364*T364/MGMT)</f>
        <v>0</v>
      </c>
      <c r="AA364" s="113" cm="1">
        <f t="array" ref="AA364">IF(U364="",0,IF(U364="hybrid-Sch",_xlfn.XLOOKUP(E364&amp;U364&amp;F364,tab_act&amp;tab_mod&amp;tab_act1,tab_ls)*SchLS*T364/MGMT,_xlfn.XLOOKUP(E364&amp;U364&amp;F364,tab_act&amp;tab_mod&amp;tab_act1,tab_ls)*V364*T364/MGMT))</f>
        <v>0</v>
      </c>
      <c r="AB364" s="113" cm="1">
        <f t="array" ref="AB364">IF(U364="",0,_xlfn.XLOOKUP(E364&amp;U364&amp;F364,tab_act&amp;tab_mod&amp;tab_act1,tab_hu)*V364*T364/MGMT)</f>
        <v>0.1188</v>
      </c>
      <c r="AC364" s="113" cm="1">
        <f t="array" ref="AC364">IF(U364="",0,_xlfn.XLOOKUP(E364&amp;U364&amp;F364,tab_act&amp;tab_mod&amp;tab_act1,tab_mnp)*V364*T364/MGMT)</f>
        <v>0</v>
      </c>
      <c r="AD364" s="113" cm="1">
        <f t="array" ref="AD364">IF(U364="",0,_xlfn.XLOOKUP(E364&amp;U364&amp;F364,tab_act&amp;tab_mod&amp;tab_act1,tab_Psup)*V364*T364/MGMT)</f>
        <v>0</v>
      </c>
      <c r="AE364" s="113" cm="1">
        <f t="array" ref="AE364">IF(U364="",0,_xlfn.XLOOKUP(E364&amp;U364&amp;F364,tab_act&amp;tab_mod&amp;tab_act1,tab_csb1)*V364*T364/MGMT)</f>
        <v>1.1879999999999999</v>
      </c>
      <c r="AF364" s="113" cm="1">
        <f t="array" ref="AF364">IF(U364="",0,_xlfn.XLOOKUP(E364&amp;U364&amp;F364,tab_act&amp;tab_mod&amp;tab_act1,tab_csb2)*V364*T364/MGMT)</f>
        <v>0</v>
      </c>
      <c r="AG364" s="113" cm="1">
        <f t="array" ref="AG364">IF(U364="",0,_xlfn.XLOOKUP(E364&amp;U364&amp;F364,tab_act&amp;tab_mod&amp;tab_act1,tab_pdoz)*V364*T364/MGMT)</f>
        <v>0</v>
      </c>
      <c r="AH364" s="113" cm="1">
        <f t="array" ref="AH364">IF(U364="",0,_xlfn.XLOOKUP(E364&amp;U364&amp;F364,tab_act&amp;tab_mod&amp;tab_act1,tab_lns)*V364*T364/MGMT)</f>
        <v>0</v>
      </c>
      <c r="AI364" s="114">
        <f t="shared" si="27"/>
        <v>1.3068</v>
      </c>
      <c r="AJ364" s="115" cm="1">
        <f t="array" ref="AJ364">IF(U364="",0,_xlfn.XLOOKUP(E364&amp;U364&amp;F364,tab_act&amp;tab_mod&amp;tab_act1,tab_cash)*T364)</f>
        <v>0</v>
      </c>
      <c r="AK364" s="148" cm="1">
        <f t="array" ref="AK364">IF(B364="",0,IF(C364="",0,AJ364/_xlfn.XLOOKUP(B364&amp;C364,RMth&amp;RYr,RAr)))</f>
        <v>0</v>
      </c>
      <c r="AL364" s="90"/>
      <c r="AM364" s="90"/>
      <c r="AN364" s="141" t="s">
        <v>248</v>
      </c>
    </row>
    <row r="365" spans="2:40" x14ac:dyDescent="0.35">
      <c r="B365" s="50" t="s">
        <v>130</v>
      </c>
      <c r="C365" s="44">
        <v>2023</v>
      </c>
      <c r="D365" s="44" t="s">
        <v>100</v>
      </c>
      <c r="E365" s="15" t="s">
        <v>39</v>
      </c>
      <c r="F365" s="142" t="s">
        <v>117</v>
      </c>
      <c r="G365" s="15" t="s">
        <v>159</v>
      </c>
      <c r="H365" s="44"/>
      <c r="I365" s="15" t="s">
        <v>94</v>
      </c>
      <c r="J365" s="15" t="s">
        <v>94</v>
      </c>
      <c r="K365" s="15" t="s">
        <v>160</v>
      </c>
      <c r="L365" s="15" t="s">
        <v>95</v>
      </c>
      <c r="M365" s="15" t="s">
        <v>94</v>
      </c>
      <c r="N365" s="15" t="s">
        <v>67</v>
      </c>
      <c r="O365" s="15" t="s">
        <v>206</v>
      </c>
      <c r="P365" s="15" t="s">
        <v>209</v>
      </c>
      <c r="Q365" s="135"/>
      <c r="R365" s="42">
        <v>185.9</v>
      </c>
      <c r="S365" s="42">
        <f t="shared" si="28"/>
        <v>185.9</v>
      </c>
      <c r="T365" s="43">
        <f t="shared" si="29"/>
        <v>185.9</v>
      </c>
      <c r="U365" s="15" t="s">
        <v>41</v>
      </c>
      <c r="V365" s="150">
        <v>30</v>
      </c>
      <c r="W365" s="111" cm="1">
        <f t="array" ref="W365">IF(U365="",0,_xlfn.XLOOKUP(E365&amp;U365&amp;F365,tab_act&amp;tab_mod&amp;tab_act1,tab_riz)*V365*T365/MGMT)</f>
        <v>0</v>
      </c>
      <c r="X365" s="112" cm="1">
        <f t="array" ref="X365">IF(U365="",0,_xlfn.XLOOKUP(E365&amp;U365&amp;F365,tab_act&amp;tab_mod&amp;tab_act1,tab_mc)*V365*T365/MGMT)</f>
        <v>0</v>
      </c>
      <c r="Y365" s="112" cm="1">
        <f t="array" ref="Y365">IF(U365="",0,_xlfn.XLOOKUP(E365&amp;U365&amp;F365,tab_act&amp;tab_mod&amp;tab_act1,tab_sor)*V365*T365/MGMT)</f>
        <v>0</v>
      </c>
      <c r="Z365" s="112" cm="1">
        <f t="array" ref="Z365">IF(U365="",0,_xlfn.XLOOKUP(E365&amp;U365&amp;F365,tab_act&amp;tab_mod&amp;tab_act1,tab_mg)*V365*T365/MGMT)</f>
        <v>0</v>
      </c>
      <c r="AA365" s="113" cm="1">
        <f t="array" ref="AA365">IF(U365="",0,IF(U365="hybrid-Sch",_xlfn.XLOOKUP(E365&amp;U365&amp;F365,tab_act&amp;tab_mod&amp;tab_act1,tab_ls)*SchLS*T365/MGMT,_xlfn.XLOOKUP(E365&amp;U365&amp;F365,tab_act&amp;tab_mod&amp;tab_act1,tab_ls)*V365*T365/MGMT))</f>
        <v>0</v>
      </c>
      <c r="AB365" s="113" cm="1">
        <f t="array" ref="AB365">IF(U365="",0,_xlfn.XLOOKUP(E365&amp;U365&amp;F365,tab_act&amp;tab_mod&amp;tab_act1,tab_hu)*V365*T365/MGMT)</f>
        <v>0.11154</v>
      </c>
      <c r="AC365" s="113" cm="1">
        <f t="array" ref="AC365">IF(U365="",0,_xlfn.XLOOKUP(E365&amp;U365&amp;F365,tab_act&amp;tab_mod&amp;tab_act1,tab_mnp)*V365*T365/MGMT)</f>
        <v>0</v>
      </c>
      <c r="AD365" s="113" cm="1">
        <f t="array" ref="AD365">IF(U365="",0,_xlfn.XLOOKUP(E365&amp;U365&amp;F365,tab_act&amp;tab_mod&amp;tab_act1,tab_Psup)*V365*T365/MGMT)</f>
        <v>0</v>
      </c>
      <c r="AE365" s="113" cm="1">
        <f t="array" ref="AE365">IF(U365="",0,_xlfn.XLOOKUP(E365&amp;U365&amp;F365,tab_act&amp;tab_mod&amp;tab_act1,tab_csb1)*V365*T365/MGMT)</f>
        <v>1.1153999999999999</v>
      </c>
      <c r="AF365" s="113" cm="1">
        <f t="array" ref="AF365">IF(U365="",0,_xlfn.XLOOKUP(E365&amp;U365&amp;F365,tab_act&amp;tab_mod&amp;tab_act1,tab_csb2)*V365*T365/MGMT)</f>
        <v>0</v>
      </c>
      <c r="AG365" s="113" cm="1">
        <f t="array" ref="AG365">IF(U365="",0,_xlfn.XLOOKUP(E365&amp;U365&amp;F365,tab_act&amp;tab_mod&amp;tab_act1,tab_pdoz)*V365*T365/MGMT)</f>
        <v>0</v>
      </c>
      <c r="AH365" s="113" cm="1">
        <f t="array" ref="AH365">IF(U365="",0,_xlfn.XLOOKUP(E365&amp;U365&amp;F365,tab_act&amp;tab_mod&amp;tab_act1,tab_lns)*V365*T365/MGMT)</f>
        <v>0</v>
      </c>
      <c r="AI365" s="114">
        <f t="shared" si="27"/>
        <v>1.2269399999999999</v>
      </c>
      <c r="AJ365" s="115" cm="1">
        <f t="array" ref="AJ365">IF(U365="",0,_xlfn.XLOOKUP(E365&amp;U365&amp;F365,tab_act&amp;tab_mod&amp;tab_act1,tab_cash)*T365)</f>
        <v>0</v>
      </c>
      <c r="AK365" s="148" cm="1">
        <f t="array" ref="AK365">IF(B365="",0,IF(C365="",0,AJ365/_xlfn.XLOOKUP(B365&amp;C365,RMth&amp;RYr,RAr)))</f>
        <v>0</v>
      </c>
      <c r="AL365" s="90"/>
      <c r="AM365" s="90"/>
      <c r="AN365" s="141" t="s">
        <v>248</v>
      </c>
    </row>
    <row r="366" spans="2:40" x14ac:dyDescent="0.35">
      <c r="B366" s="50" t="s">
        <v>130</v>
      </c>
      <c r="C366" s="44">
        <v>2023</v>
      </c>
      <c r="D366" s="44" t="s">
        <v>100</v>
      </c>
      <c r="E366" s="15" t="s">
        <v>39</v>
      </c>
      <c r="F366" s="142" t="s">
        <v>117</v>
      </c>
      <c r="G366" s="15" t="s">
        <v>159</v>
      </c>
      <c r="H366" s="44"/>
      <c r="I366" s="15" t="s">
        <v>94</v>
      </c>
      <c r="J366" s="15" t="s">
        <v>94</v>
      </c>
      <c r="K366" s="15" t="s">
        <v>160</v>
      </c>
      <c r="L366" s="15" t="s">
        <v>95</v>
      </c>
      <c r="M366" s="15" t="s">
        <v>94</v>
      </c>
      <c r="N366" s="15" t="s">
        <v>67</v>
      </c>
      <c r="O366" s="15" t="s">
        <v>206</v>
      </c>
      <c r="P366" s="15" t="s">
        <v>210</v>
      </c>
      <c r="Q366" s="135"/>
      <c r="R366" s="42">
        <v>398.2</v>
      </c>
      <c r="S366" s="42">
        <f t="shared" si="28"/>
        <v>398.2</v>
      </c>
      <c r="T366" s="43">
        <f t="shared" si="29"/>
        <v>398.2</v>
      </c>
      <c r="U366" s="15" t="s">
        <v>41</v>
      </c>
      <c r="V366" s="150">
        <v>30</v>
      </c>
      <c r="W366" s="111" cm="1">
        <f t="array" ref="W366">IF(U366="",0,_xlfn.XLOOKUP(E366&amp;U366&amp;F366,tab_act&amp;tab_mod&amp;tab_act1,tab_riz)*V366*T366/MGMT)</f>
        <v>0</v>
      </c>
      <c r="X366" s="112" cm="1">
        <f t="array" ref="X366">IF(U366="",0,_xlfn.XLOOKUP(E366&amp;U366&amp;F366,tab_act&amp;tab_mod&amp;tab_act1,tab_mc)*V366*T366/MGMT)</f>
        <v>0</v>
      </c>
      <c r="Y366" s="112" cm="1">
        <f t="array" ref="Y366">IF(U366="",0,_xlfn.XLOOKUP(E366&amp;U366&amp;F366,tab_act&amp;tab_mod&amp;tab_act1,tab_sor)*V366*T366/MGMT)</f>
        <v>0</v>
      </c>
      <c r="Z366" s="112" cm="1">
        <f t="array" ref="Z366">IF(U366="",0,_xlfn.XLOOKUP(E366&amp;U366&amp;F366,tab_act&amp;tab_mod&amp;tab_act1,tab_mg)*V366*T366/MGMT)</f>
        <v>0</v>
      </c>
      <c r="AA366" s="113" cm="1">
        <f t="array" ref="AA366">IF(U366="",0,IF(U366="hybrid-Sch",_xlfn.XLOOKUP(E366&amp;U366&amp;F366,tab_act&amp;tab_mod&amp;tab_act1,tab_ls)*SchLS*T366/MGMT,_xlfn.XLOOKUP(E366&amp;U366&amp;F366,tab_act&amp;tab_mod&amp;tab_act1,tab_ls)*V366*T366/MGMT))</f>
        <v>0</v>
      </c>
      <c r="AB366" s="113" cm="1">
        <f t="array" ref="AB366">IF(U366="",0,_xlfn.XLOOKUP(E366&amp;U366&amp;F366,tab_act&amp;tab_mod&amp;tab_act1,tab_hu)*V366*T366/MGMT)</f>
        <v>0.23891999999999999</v>
      </c>
      <c r="AC366" s="113" cm="1">
        <f t="array" ref="AC366">IF(U366="",0,_xlfn.XLOOKUP(E366&amp;U366&amp;F366,tab_act&amp;tab_mod&amp;tab_act1,tab_mnp)*V366*T366/MGMT)</f>
        <v>0</v>
      </c>
      <c r="AD366" s="113" cm="1">
        <f t="array" ref="AD366">IF(U366="",0,_xlfn.XLOOKUP(E366&amp;U366&amp;F366,tab_act&amp;tab_mod&amp;tab_act1,tab_Psup)*V366*T366/MGMT)</f>
        <v>0</v>
      </c>
      <c r="AE366" s="113" cm="1">
        <f t="array" ref="AE366">IF(U366="",0,_xlfn.XLOOKUP(E366&amp;U366&amp;F366,tab_act&amp;tab_mod&amp;tab_act1,tab_csb1)*V366*T366/MGMT)</f>
        <v>2.3892000000000002</v>
      </c>
      <c r="AF366" s="113" cm="1">
        <f t="array" ref="AF366">IF(U366="",0,_xlfn.XLOOKUP(E366&amp;U366&amp;F366,tab_act&amp;tab_mod&amp;tab_act1,tab_csb2)*V366*T366/MGMT)</f>
        <v>0</v>
      </c>
      <c r="AG366" s="113" cm="1">
        <f t="array" ref="AG366">IF(U366="",0,_xlfn.XLOOKUP(E366&amp;U366&amp;F366,tab_act&amp;tab_mod&amp;tab_act1,tab_pdoz)*V366*T366/MGMT)</f>
        <v>0</v>
      </c>
      <c r="AH366" s="113" cm="1">
        <f t="array" ref="AH366">IF(U366="",0,_xlfn.XLOOKUP(E366&amp;U366&amp;F366,tab_act&amp;tab_mod&amp;tab_act1,tab_lns)*V366*T366/MGMT)</f>
        <v>0</v>
      </c>
      <c r="AI366" s="114">
        <f t="shared" si="27"/>
        <v>2.62812</v>
      </c>
      <c r="AJ366" s="115" cm="1">
        <f t="array" ref="AJ366">IF(U366="",0,_xlfn.XLOOKUP(E366&amp;U366&amp;F366,tab_act&amp;tab_mod&amp;tab_act1,tab_cash)*T366)</f>
        <v>0</v>
      </c>
      <c r="AK366" s="148" cm="1">
        <f t="array" ref="AK366">IF(B366="",0,IF(C366="",0,AJ366/_xlfn.XLOOKUP(B366&amp;C366,RMth&amp;RYr,RAr)))</f>
        <v>0</v>
      </c>
      <c r="AL366" s="90"/>
      <c r="AM366" s="90"/>
      <c r="AN366" s="141" t="s">
        <v>248</v>
      </c>
    </row>
    <row r="367" spans="2:40" x14ac:dyDescent="0.35">
      <c r="B367" s="50" t="s">
        <v>130</v>
      </c>
      <c r="C367" s="44">
        <v>2023</v>
      </c>
      <c r="D367" s="44" t="s">
        <v>100</v>
      </c>
      <c r="E367" s="15" t="s">
        <v>39</v>
      </c>
      <c r="F367" s="142" t="s">
        <v>117</v>
      </c>
      <c r="G367" s="15" t="s">
        <v>159</v>
      </c>
      <c r="H367" s="44"/>
      <c r="I367" s="15" t="s">
        <v>94</v>
      </c>
      <c r="J367" s="15" t="s">
        <v>94</v>
      </c>
      <c r="K367" s="15" t="s">
        <v>160</v>
      </c>
      <c r="L367" s="15" t="s">
        <v>95</v>
      </c>
      <c r="M367" s="15" t="s">
        <v>94</v>
      </c>
      <c r="N367" s="15" t="s">
        <v>67</v>
      </c>
      <c r="O367" s="15" t="s">
        <v>206</v>
      </c>
      <c r="P367" s="15" t="s">
        <v>211</v>
      </c>
      <c r="Q367" s="135"/>
      <c r="R367" s="42">
        <v>209</v>
      </c>
      <c r="S367" s="42">
        <f t="shared" si="28"/>
        <v>209</v>
      </c>
      <c r="T367" s="43">
        <f t="shared" si="29"/>
        <v>209</v>
      </c>
      <c r="U367" s="15" t="s">
        <v>41</v>
      </c>
      <c r="V367" s="150">
        <v>30</v>
      </c>
      <c r="W367" s="111" cm="1">
        <f t="array" ref="W367">IF(U367="",0,_xlfn.XLOOKUP(E367&amp;U367&amp;F367,tab_act&amp;tab_mod&amp;tab_act1,tab_riz)*V367*T367/MGMT)</f>
        <v>0</v>
      </c>
      <c r="X367" s="112" cm="1">
        <f t="array" ref="X367">IF(U367="",0,_xlfn.XLOOKUP(E367&amp;U367&amp;F367,tab_act&amp;tab_mod&amp;tab_act1,tab_mc)*V367*T367/MGMT)</f>
        <v>0</v>
      </c>
      <c r="Y367" s="112" cm="1">
        <f t="array" ref="Y367">IF(U367="",0,_xlfn.XLOOKUP(E367&amp;U367&amp;F367,tab_act&amp;tab_mod&amp;tab_act1,tab_sor)*V367*T367/MGMT)</f>
        <v>0</v>
      </c>
      <c r="Z367" s="112" cm="1">
        <f t="array" ref="Z367">IF(U367="",0,_xlfn.XLOOKUP(E367&amp;U367&amp;F367,tab_act&amp;tab_mod&amp;tab_act1,tab_mg)*V367*T367/MGMT)</f>
        <v>0</v>
      </c>
      <c r="AA367" s="113" cm="1">
        <f t="array" ref="AA367">IF(U367="",0,IF(U367="hybrid-Sch",_xlfn.XLOOKUP(E367&amp;U367&amp;F367,tab_act&amp;tab_mod&amp;tab_act1,tab_ls)*SchLS*T367/MGMT,_xlfn.XLOOKUP(E367&amp;U367&amp;F367,tab_act&amp;tab_mod&amp;tab_act1,tab_ls)*V367*T367/MGMT))</f>
        <v>0</v>
      </c>
      <c r="AB367" s="113" cm="1">
        <f t="array" ref="AB367">IF(U367="",0,_xlfn.XLOOKUP(E367&amp;U367&amp;F367,tab_act&amp;tab_mod&amp;tab_act1,tab_hu)*V367*T367/MGMT)</f>
        <v>0.12540000000000001</v>
      </c>
      <c r="AC367" s="113" cm="1">
        <f t="array" ref="AC367">IF(U367="",0,_xlfn.XLOOKUP(E367&amp;U367&amp;F367,tab_act&amp;tab_mod&amp;tab_act1,tab_mnp)*V367*T367/MGMT)</f>
        <v>0</v>
      </c>
      <c r="AD367" s="113" cm="1">
        <f t="array" ref="AD367">IF(U367="",0,_xlfn.XLOOKUP(E367&amp;U367&amp;F367,tab_act&amp;tab_mod&amp;tab_act1,tab_Psup)*V367*T367/MGMT)</f>
        <v>0</v>
      </c>
      <c r="AE367" s="113" cm="1">
        <f t="array" ref="AE367">IF(U367="",0,_xlfn.XLOOKUP(E367&amp;U367&amp;F367,tab_act&amp;tab_mod&amp;tab_act1,tab_csb1)*V367*T367/MGMT)</f>
        <v>1.254</v>
      </c>
      <c r="AF367" s="113" cm="1">
        <f t="array" ref="AF367">IF(U367="",0,_xlfn.XLOOKUP(E367&amp;U367&amp;F367,tab_act&amp;tab_mod&amp;tab_act1,tab_csb2)*V367*T367/MGMT)</f>
        <v>0</v>
      </c>
      <c r="AG367" s="113" cm="1">
        <f t="array" ref="AG367">IF(U367="",0,_xlfn.XLOOKUP(E367&amp;U367&amp;F367,tab_act&amp;tab_mod&amp;tab_act1,tab_pdoz)*V367*T367/MGMT)</f>
        <v>0</v>
      </c>
      <c r="AH367" s="113" cm="1">
        <f t="array" ref="AH367">IF(U367="",0,_xlfn.XLOOKUP(E367&amp;U367&amp;F367,tab_act&amp;tab_mod&amp;tab_act1,tab_lns)*V367*T367/MGMT)</f>
        <v>0</v>
      </c>
      <c r="AI367" s="114">
        <f t="shared" si="27"/>
        <v>1.3794</v>
      </c>
      <c r="AJ367" s="115" cm="1">
        <f t="array" ref="AJ367">IF(U367="",0,_xlfn.XLOOKUP(E367&amp;U367&amp;F367,tab_act&amp;tab_mod&amp;tab_act1,tab_cash)*T367)</f>
        <v>0</v>
      </c>
      <c r="AK367" s="148" cm="1">
        <f t="array" ref="AK367">IF(B367="",0,IF(C367="",0,AJ367/_xlfn.XLOOKUP(B367&amp;C367,RMth&amp;RYr,RAr)))</f>
        <v>0</v>
      </c>
      <c r="AL367" s="90"/>
      <c r="AM367" s="90"/>
      <c r="AN367" s="141" t="s">
        <v>248</v>
      </c>
    </row>
    <row r="368" spans="2:40" x14ac:dyDescent="0.35">
      <c r="B368" s="50" t="s">
        <v>130</v>
      </c>
      <c r="C368" s="44">
        <v>2023</v>
      </c>
      <c r="D368" s="44" t="s">
        <v>100</v>
      </c>
      <c r="E368" s="15" t="s">
        <v>39</v>
      </c>
      <c r="F368" s="15" t="s">
        <v>117</v>
      </c>
      <c r="G368" s="15" t="s">
        <v>159</v>
      </c>
      <c r="H368" s="44"/>
      <c r="I368" s="15" t="s">
        <v>213</v>
      </c>
      <c r="J368" s="15" t="s">
        <v>91</v>
      </c>
      <c r="K368" s="15" t="s">
        <v>97</v>
      </c>
      <c r="L368" s="15" t="s">
        <v>212</v>
      </c>
      <c r="M368" s="15" t="s">
        <v>158</v>
      </c>
      <c r="N368" s="15" t="s">
        <v>68</v>
      </c>
      <c r="O368" s="15" t="s">
        <v>152</v>
      </c>
      <c r="P368" s="15" t="s">
        <v>214</v>
      </c>
      <c r="Q368" s="135"/>
      <c r="R368" s="42">
        <v>568</v>
      </c>
      <c r="S368" s="42">
        <f t="shared" si="28"/>
        <v>568</v>
      </c>
      <c r="T368" s="43">
        <f t="shared" si="29"/>
        <v>568</v>
      </c>
      <c r="U368" s="15" t="s">
        <v>41</v>
      </c>
      <c r="V368" s="150">
        <v>30</v>
      </c>
      <c r="W368" s="111" cm="1">
        <f t="array" ref="W368">IF(U368="",0,_xlfn.XLOOKUP(E368&amp;U368&amp;F368,tab_act&amp;tab_mod&amp;tab_act1,tab_riz)*V368*T368/MGMT)</f>
        <v>0</v>
      </c>
      <c r="X368" s="112" cm="1">
        <f t="array" ref="X368">IF(U368="",0,_xlfn.XLOOKUP(E368&amp;U368&amp;F368,tab_act&amp;tab_mod&amp;tab_act1,tab_mc)*V368*T368/MGMT)</f>
        <v>0</v>
      </c>
      <c r="Y368" s="112" cm="1">
        <f t="array" ref="Y368">IF(U368="",0,_xlfn.XLOOKUP(E368&amp;U368&amp;F368,tab_act&amp;tab_mod&amp;tab_act1,tab_sor)*V368*T368/MGMT)</f>
        <v>0</v>
      </c>
      <c r="Z368" s="112" cm="1">
        <f t="array" ref="Z368">IF(U368="",0,_xlfn.XLOOKUP(E368&amp;U368&amp;F368,tab_act&amp;tab_mod&amp;tab_act1,tab_mg)*V368*T368/MGMT)</f>
        <v>0</v>
      </c>
      <c r="AA368" s="113" cm="1">
        <f t="array" ref="AA368">IF(U368="",0,IF(U368="hybrid-Sch",_xlfn.XLOOKUP(E368&amp;U368&amp;F368,tab_act&amp;tab_mod&amp;tab_act1,tab_ls)*SchLS*T368/MGMT,_xlfn.XLOOKUP(E368&amp;U368&amp;F368,tab_act&amp;tab_mod&amp;tab_act1,tab_ls)*V368*T368/MGMT))</f>
        <v>0</v>
      </c>
      <c r="AB368" s="113" cm="1">
        <f t="array" ref="AB368">IF(U368="",0,_xlfn.XLOOKUP(E368&amp;U368&amp;F368,tab_act&amp;tab_mod&amp;tab_act1,tab_hu)*V368*T368/MGMT)</f>
        <v>0.34079999999999999</v>
      </c>
      <c r="AC368" s="113" cm="1">
        <f t="array" ref="AC368">IF(U368="",0,_xlfn.XLOOKUP(E368&amp;U368&amp;F368,tab_act&amp;tab_mod&amp;tab_act1,tab_mnp)*V368*T368/MGMT)</f>
        <v>0</v>
      </c>
      <c r="AD368" s="113" cm="1">
        <f t="array" ref="AD368">IF(U368="",0,_xlfn.XLOOKUP(E368&amp;U368&amp;F368,tab_act&amp;tab_mod&amp;tab_act1,tab_Psup)*V368*T368/MGMT)</f>
        <v>0</v>
      </c>
      <c r="AE368" s="113" cm="1">
        <f t="array" ref="AE368">IF(U368="",0,_xlfn.XLOOKUP(E368&amp;U368&amp;F368,tab_act&amp;tab_mod&amp;tab_act1,tab_csb1)*V368*T368/MGMT)</f>
        <v>3.4079999999999999</v>
      </c>
      <c r="AF368" s="113" cm="1">
        <f t="array" ref="AF368">IF(U368="",0,_xlfn.XLOOKUP(E368&amp;U368&amp;F368,tab_act&amp;tab_mod&amp;tab_act1,tab_csb2)*V368*T368/MGMT)</f>
        <v>0</v>
      </c>
      <c r="AG368" s="113" cm="1">
        <f t="array" ref="AG368">IF(U368="",0,_xlfn.XLOOKUP(E368&amp;U368&amp;F368,tab_act&amp;tab_mod&amp;tab_act1,tab_pdoz)*V368*T368/MGMT)</f>
        <v>0</v>
      </c>
      <c r="AH368" s="113" cm="1">
        <f t="array" ref="AH368">IF(U368="",0,_xlfn.XLOOKUP(E368&amp;U368&amp;F368,tab_act&amp;tab_mod&amp;tab_act1,tab_lns)*V368*T368/MGMT)</f>
        <v>0</v>
      </c>
      <c r="AI368" s="114">
        <f t="shared" si="27"/>
        <v>3.7488000000000001</v>
      </c>
      <c r="AJ368" s="115" cm="1">
        <f t="array" ref="AJ368">IF(U368="",0,_xlfn.XLOOKUP(E368&amp;U368&amp;F368,tab_act&amp;tab_mod&amp;tab_act1,tab_cash)*T368)</f>
        <v>0</v>
      </c>
      <c r="AK368" s="148" cm="1">
        <f t="array" ref="AK368">IF(B368="",0,IF(C368="",0,AJ368/_xlfn.XLOOKUP(B368&amp;C368,RMth&amp;RYr,RAr)))</f>
        <v>0</v>
      </c>
      <c r="AL368" s="90"/>
      <c r="AM368" s="90"/>
      <c r="AN368" s="141" t="s">
        <v>248</v>
      </c>
    </row>
    <row r="369" spans="2:40" x14ac:dyDescent="0.35">
      <c r="B369" s="50" t="s">
        <v>130</v>
      </c>
      <c r="C369" s="44">
        <v>2023</v>
      </c>
      <c r="D369" s="44" t="s">
        <v>100</v>
      </c>
      <c r="E369" s="15" t="s">
        <v>39</v>
      </c>
      <c r="F369" s="15" t="s">
        <v>117</v>
      </c>
      <c r="G369" s="15" t="s">
        <v>159</v>
      </c>
      <c r="H369" s="44"/>
      <c r="I369" s="15" t="s">
        <v>213</v>
      </c>
      <c r="J369" s="15" t="s">
        <v>91</v>
      </c>
      <c r="K369" s="15" t="s">
        <v>97</v>
      </c>
      <c r="L369" s="15" t="s">
        <v>212</v>
      </c>
      <c r="M369" s="15" t="s">
        <v>158</v>
      </c>
      <c r="N369" s="15" t="s">
        <v>68</v>
      </c>
      <c r="O369" s="15" t="s">
        <v>152</v>
      </c>
      <c r="P369" s="15" t="s">
        <v>215</v>
      </c>
      <c r="Q369" s="135"/>
      <c r="R369" s="42">
        <v>606</v>
      </c>
      <c r="S369" s="42">
        <f t="shared" si="28"/>
        <v>606</v>
      </c>
      <c r="T369" s="43">
        <f t="shared" si="29"/>
        <v>606</v>
      </c>
      <c r="U369" s="15" t="s">
        <v>41</v>
      </c>
      <c r="V369" s="150">
        <v>30</v>
      </c>
      <c r="W369" s="111" cm="1">
        <f t="array" ref="W369">IF(U369="",0,_xlfn.XLOOKUP(E369&amp;U369&amp;F369,tab_act&amp;tab_mod&amp;tab_act1,tab_riz)*V369*T369/MGMT)</f>
        <v>0</v>
      </c>
      <c r="X369" s="112" cm="1">
        <f t="array" ref="X369">IF(U369="",0,_xlfn.XLOOKUP(E369&amp;U369&amp;F369,tab_act&amp;tab_mod&amp;tab_act1,tab_mc)*V369*T369/MGMT)</f>
        <v>0</v>
      </c>
      <c r="Y369" s="112" cm="1">
        <f t="array" ref="Y369">IF(U369="",0,_xlfn.XLOOKUP(E369&amp;U369&amp;F369,tab_act&amp;tab_mod&amp;tab_act1,tab_sor)*V369*T369/MGMT)</f>
        <v>0</v>
      </c>
      <c r="Z369" s="112" cm="1">
        <f t="array" ref="Z369">IF(U369="",0,_xlfn.XLOOKUP(E369&amp;U369&amp;F369,tab_act&amp;tab_mod&amp;tab_act1,tab_mg)*V369*T369/MGMT)</f>
        <v>0</v>
      </c>
      <c r="AA369" s="113" cm="1">
        <f t="array" ref="AA369">IF(U369="",0,IF(U369="hybrid-Sch",_xlfn.XLOOKUP(E369&amp;U369&amp;F369,tab_act&amp;tab_mod&amp;tab_act1,tab_ls)*SchLS*T369/MGMT,_xlfn.XLOOKUP(E369&amp;U369&amp;F369,tab_act&amp;tab_mod&amp;tab_act1,tab_ls)*V369*T369/MGMT))</f>
        <v>0</v>
      </c>
      <c r="AB369" s="113" cm="1">
        <f t="array" ref="AB369">IF(U369="",0,_xlfn.XLOOKUP(E369&amp;U369&amp;F369,tab_act&amp;tab_mod&amp;tab_act1,tab_hu)*V369*T369/MGMT)</f>
        <v>0.36359999999999998</v>
      </c>
      <c r="AC369" s="113" cm="1">
        <f t="array" ref="AC369">IF(U369="",0,_xlfn.XLOOKUP(E369&amp;U369&amp;F369,tab_act&amp;tab_mod&amp;tab_act1,tab_mnp)*V369*T369/MGMT)</f>
        <v>0</v>
      </c>
      <c r="AD369" s="113" cm="1">
        <f t="array" ref="AD369">IF(U369="",0,_xlfn.XLOOKUP(E369&amp;U369&amp;F369,tab_act&amp;tab_mod&amp;tab_act1,tab_Psup)*V369*T369/MGMT)</f>
        <v>0</v>
      </c>
      <c r="AE369" s="113" cm="1">
        <f t="array" ref="AE369">IF(U369="",0,_xlfn.XLOOKUP(E369&amp;U369&amp;F369,tab_act&amp;tab_mod&amp;tab_act1,tab_csb1)*V369*T369/MGMT)</f>
        <v>3.6360000000000001</v>
      </c>
      <c r="AF369" s="113" cm="1">
        <f t="array" ref="AF369">IF(U369="",0,_xlfn.XLOOKUP(E369&amp;U369&amp;F369,tab_act&amp;tab_mod&amp;tab_act1,tab_csb2)*V369*T369/MGMT)</f>
        <v>0</v>
      </c>
      <c r="AG369" s="113" cm="1">
        <f t="array" ref="AG369">IF(U369="",0,_xlfn.XLOOKUP(E369&amp;U369&amp;F369,tab_act&amp;tab_mod&amp;tab_act1,tab_pdoz)*V369*T369/MGMT)</f>
        <v>0</v>
      </c>
      <c r="AH369" s="113" cm="1">
        <f t="array" ref="AH369">IF(U369="",0,_xlfn.XLOOKUP(E369&amp;U369&amp;F369,tab_act&amp;tab_mod&amp;tab_act1,tab_lns)*V369*T369/MGMT)</f>
        <v>0</v>
      </c>
      <c r="AI369" s="114">
        <f t="shared" si="27"/>
        <v>3.9996</v>
      </c>
      <c r="AJ369" s="115" cm="1">
        <f t="array" ref="AJ369">IF(U369="",0,_xlfn.XLOOKUP(E369&amp;U369&amp;F369,tab_act&amp;tab_mod&amp;tab_act1,tab_cash)*T369)</f>
        <v>0</v>
      </c>
      <c r="AK369" s="148" cm="1">
        <f t="array" ref="AK369">IF(B369="",0,IF(C369="",0,AJ369/_xlfn.XLOOKUP(B369&amp;C369,RMth&amp;RYr,RAr)))</f>
        <v>0</v>
      </c>
      <c r="AL369" s="90"/>
      <c r="AM369" s="90"/>
      <c r="AN369" s="141" t="s">
        <v>248</v>
      </c>
    </row>
    <row r="370" spans="2:40" x14ac:dyDescent="0.35">
      <c r="B370" s="50" t="s">
        <v>130</v>
      </c>
      <c r="C370" s="44">
        <v>2023</v>
      </c>
      <c r="D370" s="44" t="s">
        <v>100</v>
      </c>
      <c r="E370" s="15" t="s">
        <v>39</v>
      </c>
      <c r="F370" s="15" t="s">
        <v>117</v>
      </c>
      <c r="G370" s="15" t="s">
        <v>159</v>
      </c>
      <c r="H370" s="44"/>
      <c r="I370" s="15" t="s">
        <v>213</v>
      </c>
      <c r="J370" s="15" t="s">
        <v>91</v>
      </c>
      <c r="K370" s="15" t="s">
        <v>97</v>
      </c>
      <c r="L370" s="15" t="s">
        <v>212</v>
      </c>
      <c r="M370" s="15" t="s">
        <v>158</v>
      </c>
      <c r="N370" s="15" t="s">
        <v>68</v>
      </c>
      <c r="O370" s="15" t="s">
        <v>152</v>
      </c>
      <c r="P370" s="15" t="s">
        <v>216</v>
      </c>
      <c r="Q370" s="135"/>
      <c r="R370" s="42">
        <v>160</v>
      </c>
      <c r="S370" s="42">
        <f t="shared" si="28"/>
        <v>160</v>
      </c>
      <c r="T370" s="43">
        <f t="shared" si="29"/>
        <v>160</v>
      </c>
      <c r="U370" s="15" t="s">
        <v>41</v>
      </c>
      <c r="V370" s="150">
        <v>30</v>
      </c>
      <c r="W370" s="111" cm="1">
        <f t="array" ref="W370">IF(U370="",0,_xlfn.XLOOKUP(E370&amp;U370&amp;F370,tab_act&amp;tab_mod&amp;tab_act1,tab_riz)*V370*T370/MGMT)</f>
        <v>0</v>
      </c>
      <c r="X370" s="112" cm="1">
        <f t="array" ref="X370">IF(U370="",0,_xlfn.XLOOKUP(E370&amp;U370&amp;F370,tab_act&amp;tab_mod&amp;tab_act1,tab_mc)*V370*T370/MGMT)</f>
        <v>0</v>
      </c>
      <c r="Y370" s="112" cm="1">
        <f t="array" ref="Y370">IF(U370="",0,_xlfn.XLOOKUP(E370&amp;U370&amp;F370,tab_act&amp;tab_mod&amp;tab_act1,tab_sor)*V370*T370/MGMT)</f>
        <v>0</v>
      </c>
      <c r="Z370" s="112" cm="1">
        <f t="array" ref="Z370">IF(U370="",0,_xlfn.XLOOKUP(E370&amp;U370&amp;F370,tab_act&amp;tab_mod&amp;tab_act1,tab_mg)*V370*T370/MGMT)</f>
        <v>0</v>
      </c>
      <c r="AA370" s="113" cm="1">
        <f t="array" ref="AA370">IF(U370="",0,IF(U370="hybrid-Sch",_xlfn.XLOOKUP(E370&amp;U370&amp;F370,tab_act&amp;tab_mod&amp;tab_act1,tab_ls)*SchLS*T370/MGMT,_xlfn.XLOOKUP(E370&amp;U370&amp;F370,tab_act&amp;tab_mod&amp;tab_act1,tab_ls)*V370*T370/MGMT))</f>
        <v>0</v>
      </c>
      <c r="AB370" s="113" cm="1">
        <f t="array" ref="AB370">IF(U370="",0,_xlfn.XLOOKUP(E370&amp;U370&amp;F370,tab_act&amp;tab_mod&amp;tab_act1,tab_hu)*V370*T370/MGMT)</f>
        <v>9.6000000000000002E-2</v>
      </c>
      <c r="AC370" s="113" cm="1">
        <f t="array" ref="AC370">IF(U370="",0,_xlfn.XLOOKUP(E370&amp;U370&amp;F370,tab_act&amp;tab_mod&amp;tab_act1,tab_mnp)*V370*T370/MGMT)</f>
        <v>0</v>
      </c>
      <c r="AD370" s="113" cm="1">
        <f t="array" ref="AD370">IF(U370="",0,_xlfn.XLOOKUP(E370&amp;U370&amp;F370,tab_act&amp;tab_mod&amp;tab_act1,tab_Psup)*V370*T370/MGMT)</f>
        <v>0</v>
      </c>
      <c r="AE370" s="113" cm="1">
        <f t="array" ref="AE370">IF(U370="",0,_xlfn.XLOOKUP(E370&amp;U370&amp;F370,tab_act&amp;tab_mod&amp;tab_act1,tab_csb1)*V370*T370/MGMT)</f>
        <v>0.96</v>
      </c>
      <c r="AF370" s="113" cm="1">
        <f t="array" ref="AF370">IF(U370="",0,_xlfn.XLOOKUP(E370&amp;U370&amp;F370,tab_act&amp;tab_mod&amp;tab_act1,tab_csb2)*V370*T370/MGMT)</f>
        <v>0</v>
      </c>
      <c r="AG370" s="113" cm="1">
        <f t="array" ref="AG370">IF(U370="",0,_xlfn.XLOOKUP(E370&amp;U370&amp;F370,tab_act&amp;tab_mod&amp;tab_act1,tab_pdoz)*V370*T370/MGMT)</f>
        <v>0</v>
      </c>
      <c r="AH370" s="113" cm="1">
        <f t="array" ref="AH370">IF(U370="",0,_xlfn.XLOOKUP(E370&amp;U370&amp;F370,tab_act&amp;tab_mod&amp;tab_act1,tab_lns)*V370*T370/MGMT)</f>
        <v>0</v>
      </c>
      <c r="AI370" s="114">
        <f t="shared" si="27"/>
        <v>1.056</v>
      </c>
      <c r="AJ370" s="115" cm="1">
        <f t="array" ref="AJ370">IF(U370="",0,_xlfn.XLOOKUP(E370&amp;U370&amp;F370,tab_act&amp;tab_mod&amp;tab_act1,tab_cash)*T370)</f>
        <v>0</v>
      </c>
      <c r="AK370" s="148" cm="1">
        <f t="array" ref="AK370">IF(B370="",0,IF(C370="",0,AJ370/_xlfn.XLOOKUP(B370&amp;C370,RMth&amp;RYr,RAr)))</f>
        <v>0</v>
      </c>
      <c r="AL370" s="90"/>
      <c r="AM370" s="90"/>
      <c r="AN370" s="141" t="s">
        <v>248</v>
      </c>
    </row>
    <row r="371" spans="2:40" x14ac:dyDescent="0.35">
      <c r="B371" s="50" t="s">
        <v>130</v>
      </c>
      <c r="C371" s="44">
        <v>2023</v>
      </c>
      <c r="D371" s="44" t="s">
        <v>100</v>
      </c>
      <c r="E371" s="15" t="s">
        <v>39</v>
      </c>
      <c r="F371" s="15" t="s">
        <v>117</v>
      </c>
      <c r="G371" s="15" t="s">
        <v>159</v>
      </c>
      <c r="H371" s="44"/>
      <c r="I371" s="15" t="s">
        <v>213</v>
      </c>
      <c r="J371" s="15" t="s">
        <v>91</v>
      </c>
      <c r="K371" s="15" t="s">
        <v>97</v>
      </c>
      <c r="L371" s="15" t="s">
        <v>212</v>
      </c>
      <c r="M371" s="15" t="s">
        <v>158</v>
      </c>
      <c r="N371" s="15" t="s">
        <v>68</v>
      </c>
      <c r="O371" s="15" t="s">
        <v>152</v>
      </c>
      <c r="P371" s="15" t="s">
        <v>217</v>
      </c>
      <c r="Q371" s="135"/>
      <c r="R371" s="42">
        <v>146</v>
      </c>
      <c r="S371" s="42">
        <f t="shared" si="28"/>
        <v>146</v>
      </c>
      <c r="T371" s="43">
        <f t="shared" si="29"/>
        <v>146</v>
      </c>
      <c r="U371" s="15" t="s">
        <v>41</v>
      </c>
      <c r="V371" s="150">
        <v>30</v>
      </c>
      <c r="W371" s="111" cm="1">
        <f t="array" ref="W371">IF(U371="",0,_xlfn.XLOOKUP(E371&amp;U371&amp;F371,tab_act&amp;tab_mod&amp;tab_act1,tab_riz)*V371*T371/MGMT)</f>
        <v>0</v>
      </c>
      <c r="X371" s="112" cm="1">
        <f t="array" ref="X371">IF(U371="",0,_xlfn.XLOOKUP(E371&amp;U371&amp;F371,tab_act&amp;tab_mod&amp;tab_act1,tab_mc)*V371*T371/MGMT)</f>
        <v>0</v>
      </c>
      <c r="Y371" s="112" cm="1">
        <f t="array" ref="Y371">IF(U371="",0,_xlfn.XLOOKUP(E371&amp;U371&amp;F371,tab_act&amp;tab_mod&amp;tab_act1,tab_sor)*V371*T371/MGMT)</f>
        <v>0</v>
      </c>
      <c r="Z371" s="112" cm="1">
        <f t="array" ref="Z371">IF(U371="",0,_xlfn.XLOOKUP(E371&amp;U371&amp;F371,tab_act&amp;tab_mod&amp;tab_act1,tab_mg)*V371*T371/MGMT)</f>
        <v>0</v>
      </c>
      <c r="AA371" s="113" cm="1">
        <f t="array" ref="AA371">IF(U371="",0,IF(U371="hybrid-Sch",_xlfn.XLOOKUP(E371&amp;U371&amp;F371,tab_act&amp;tab_mod&amp;tab_act1,tab_ls)*SchLS*T371/MGMT,_xlfn.XLOOKUP(E371&amp;U371&amp;F371,tab_act&amp;tab_mod&amp;tab_act1,tab_ls)*V371*T371/MGMT))</f>
        <v>0</v>
      </c>
      <c r="AB371" s="113" cm="1">
        <f t="array" ref="AB371">IF(U371="",0,_xlfn.XLOOKUP(E371&amp;U371&amp;F371,tab_act&amp;tab_mod&amp;tab_act1,tab_hu)*V371*T371/MGMT)</f>
        <v>8.7599999999999997E-2</v>
      </c>
      <c r="AC371" s="113" cm="1">
        <f t="array" ref="AC371">IF(U371="",0,_xlfn.XLOOKUP(E371&amp;U371&amp;F371,tab_act&amp;tab_mod&amp;tab_act1,tab_mnp)*V371*T371/MGMT)</f>
        <v>0</v>
      </c>
      <c r="AD371" s="113" cm="1">
        <f t="array" ref="AD371">IF(U371="",0,_xlfn.XLOOKUP(E371&amp;U371&amp;F371,tab_act&amp;tab_mod&amp;tab_act1,tab_Psup)*V371*T371/MGMT)</f>
        <v>0</v>
      </c>
      <c r="AE371" s="113" cm="1">
        <f t="array" ref="AE371">IF(U371="",0,_xlfn.XLOOKUP(E371&amp;U371&amp;F371,tab_act&amp;tab_mod&amp;tab_act1,tab_csb1)*V371*T371/MGMT)</f>
        <v>0.876</v>
      </c>
      <c r="AF371" s="113" cm="1">
        <f t="array" ref="AF371">IF(U371="",0,_xlfn.XLOOKUP(E371&amp;U371&amp;F371,tab_act&amp;tab_mod&amp;tab_act1,tab_csb2)*V371*T371/MGMT)</f>
        <v>0</v>
      </c>
      <c r="AG371" s="113" cm="1">
        <f t="array" ref="AG371">IF(U371="",0,_xlfn.XLOOKUP(E371&amp;U371&amp;F371,tab_act&amp;tab_mod&amp;tab_act1,tab_pdoz)*V371*T371/MGMT)</f>
        <v>0</v>
      </c>
      <c r="AH371" s="113" cm="1">
        <f t="array" ref="AH371">IF(U371="",0,_xlfn.XLOOKUP(E371&amp;U371&amp;F371,tab_act&amp;tab_mod&amp;tab_act1,tab_lns)*V371*T371/MGMT)</f>
        <v>0</v>
      </c>
      <c r="AI371" s="114">
        <f t="shared" si="27"/>
        <v>0.96360000000000001</v>
      </c>
      <c r="AJ371" s="115" cm="1">
        <f t="array" ref="AJ371">IF(U371="",0,_xlfn.XLOOKUP(E371&amp;U371&amp;F371,tab_act&amp;tab_mod&amp;tab_act1,tab_cash)*T371)</f>
        <v>0</v>
      </c>
      <c r="AK371" s="148" cm="1">
        <f t="array" ref="AK371">IF(B371="",0,IF(C371="",0,AJ371/_xlfn.XLOOKUP(B371&amp;C371,RMth&amp;RYr,RAr)))</f>
        <v>0</v>
      </c>
      <c r="AL371" s="90"/>
      <c r="AM371" s="90"/>
      <c r="AN371" s="141" t="s">
        <v>248</v>
      </c>
    </row>
    <row r="372" spans="2:40" x14ac:dyDescent="0.35">
      <c r="B372" s="50" t="s">
        <v>130</v>
      </c>
      <c r="C372" s="44">
        <v>2023</v>
      </c>
      <c r="D372" s="44" t="s">
        <v>100</v>
      </c>
      <c r="E372" s="15" t="s">
        <v>39</v>
      </c>
      <c r="F372" s="15" t="s">
        <v>117</v>
      </c>
      <c r="G372" s="15" t="s">
        <v>159</v>
      </c>
      <c r="H372" s="44"/>
      <c r="I372" s="15" t="s">
        <v>213</v>
      </c>
      <c r="J372" s="15" t="s">
        <v>91</v>
      </c>
      <c r="K372" s="15" t="s">
        <v>97</v>
      </c>
      <c r="L372" s="15" t="s">
        <v>212</v>
      </c>
      <c r="M372" s="15" t="s">
        <v>158</v>
      </c>
      <c r="N372" s="15" t="s">
        <v>68</v>
      </c>
      <c r="O372" s="15" t="s">
        <v>152</v>
      </c>
      <c r="P372" s="15" t="s">
        <v>218</v>
      </c>
      <c r="Q372" s="135"/>
      <c r="R372" s="42">
        <v>580</v>
      </c>
      <c r="S372" s="42">
        <f t="shared" si="28"/>
        <v>580</v>
      </c>
      <c r="T372" s="43">
        <f t="shared" si="29"/>
        <v>580</v>
      </c>
      <c r="U372" s="15" t="s">
        <v>41</v>
      </c>
      <c r="V372" s="150">
        <v>30</v>
      </c>
      <c r="W372" s="111" cm="1">
        <f t="array" ref="W372">IF(U372="",0,_xlfn.XLOOKUP(E372&amp;U372&amp;F372,tab_act&amp;tab_mod&amp;tab_act1,tab_riz)*V372*T372/MGMT)</f>
        <v>0</v>
      </c>
      <c r="X372" s="112" cm="1">
        <f t="array" ref="X372">IF(U372="",0,_xlfn.XLOOKUP(E372&amp;U372&amp;F372,tab_act&amp;tab_mod&amp;tab_act1,tab_mc)*V372*T372/MGMT)</f>
        <v>0</v>
      </c>
      <c r="Y372" s="112" cm="1">
        <f t="array" ref="Y372">IF(U372="",0,_xlfn.XLOOKUP(E372&amp;U372&amp;F372,tab_act&amp;tab_mod&amp;tab_act1,tab_sor)*V372*T372/MGMT)</f>
        <v>0</v>
      </c>
      <c r="Z372" s="112" cm="1">
        <f t="array" ref="Z372">IF(U372="",0,_xlfn.XLOOKUP(E372&amp;U372&amp;F372,tab_act&amp;tab_mod&amp;tab_act1,tab_mg)*V372*T372/MGMT)</f>
        <v>0</v>
      </c>
      <c r="AA372" s="113" cm="1">
        <f t="array" ref="AA372">IF(U372="",0,IF(U372="hybrid-Sch",_xlfn.XLOOKUP(E372&amp;U372&amp;F372,tab_act&amp;tab_mod&amp;tab_act1,tab_ls)*SchLS*T372/MGMT,_xlfn.XLOOKUP(E372&amp;U372&amp;F372,tab_act&amp;tab_mod&amp;tab_act1,tab_ls)*V372*T372/MGMT))</f>
        <v>0</v>
      </c>
      <c r="AB372" s="113" cm="1">
        <f t="array" ref="AB372">IF(U372="",0,_xlfn.XLOOKUP(E372&amp;U372&amp;F372,tab_act&amp;tab_mod&amp;tab_act1,tab_hu)*V372*T372/MGMT)</f>
        <v>0.34799999999999998</v>
      </c>
      <c r="AC372" s="113" cm="1">
        <f t="array" ref="AC372">IF(U372="",0,_xlfn.XLOOKUP(E372&amp;U372&amp;F372,tab_act&amp;tab_mod&amp;tab_act1,tab_mnp)*V372*T372/MGMT)</f>
        <v>0</v>
      </c>
      <c r="AD372" s="113" cm="1">
        <f t="array" ref="AD372">IF(U372="",0,_xlfn.XLOOKUP(E372&amp;U372&amp;F372,tab_act&amp;tab_mod&amp;tab_act1,tab_Psup)*V372*T372/MGMT)</f>
        <v>0</v>
      </c>
      <c r="AE372" s="113" cm="1">
        <f t="array" ref="AE372">IF(U372="",0,_xlfn.XLOOKUP(E372&amp;U372&amp;F372,tab_act&amp;tab_mod&amp;tab_act1,tab_csb1)*V372*T372/MGMT)</f>
        <v>3.48</v>
      </c>
      <c r="AF372" s="113" cm="1">
        <f t="array" ref="AF372">IF(U372="",0,_xlfn.XLOOKUP(E372&amp;U372&amp;F372,tab_act&amp;tab_mod&amp;tab_act1,tab_csb2)*V372*T372/MGMT)</f>
        <v>0</v>
      </c>
      <c r="AG372" s="113" cm="1">
        <f t="array" ref="AG372">IF(U372="",0,_xlfn.XLOOKUP(E372&amp;U372&amp;F372,tab_act&amp;tab_mod&amp;tab_act1,tab_pdoz)*V372*T372/MGMT)</f>
        <v>0</v>
      </c>
      <c r="AH372" s="113" cm="1">
        <f t="array" ref="AH372">IF(U372="",0,_xlfn.XLOOKUP(E372&amp;U372&amp;F372,tab_act&amp;tab_mod&amp;tab_act1,tab_lns)*V372*T372/MGMT)</f>
        <v>0</v>
      </c>
      <c r="AI372" s="114">
        <f t="shared" si="27"/>
        <v>3.8279999999999998</v>
      </c>
      <c r="AJ372" s="115" cm="1">
        <f t="array" ref="AJ372">IF(U372="",0,_xlfn.XLOOKUP(E372&amp;U372&amp;F372,tab_act&amp;tab_mod&amp;tab_act1,tab_cash)*T372)</f>
        <v>0</v>
      </c>
      <c r="AK372" s="148" cm="1">
        <f t="array" ref="AK372">IF(B372="",0,IF(C372="",0,AJ372/_xlfn.XLOOKUP(B372&amp;C372,RMth&amp;RYr,RAr)))</f>
        <v>0</v>
      </c>
      <c r="AL372" s="90"/>
      <c r="AM372" s="90"/>
      <c r="AN372" s="141" t="s">
        <v>248</v>
      </c>
    </row>
    <row r="373" spans="2:40" x14ac:dyDescent="0.35">
      <c r="B373" s="50" t="s">
        <v>130</v>
      </c>
      <c r="C373" s="44">
        <v>2023</v>
      </c>
      <c r="D373" s="44" t="s">
        <v>100</v>
      </c>
      <c r="E373" s="15" t="s">
        <v>39</v>
      </c>
      <c r="F373" s="15" t="s">
        <v>117</v>
      </c>
      <c r="G373" s="15" t="s">
        <v>159</v>
      </c>
      <c r="H373" s="44"/>
      <c r="I373" s="15" t="s">
        <v>213</v>
      </c>
      <c r="J373" s="15" t="s">
        <v>91</v>
      </c>
      <c r="K373" s="15" t="s">
        <v>97</v>
      </c>
      <c r="L373" s="15" t="s">
        <v>212</v>
      </c>
      <c r="M373" s="15" t="s">
        <v>158</v>
      </c>
      <c r="N373" s="15" t="s">
        <v>68</v>
      </c>
      <c r="O373" s="15" t="s">
        <v>152</v>
      </c>
      <c r="P373" s="15" t="s">
        <v>219</v>
      </c>
      <c r="Q373" s="135"/>
      <c r="R373" s="42">
        <v>202</v>
      </c>
      <c r="S373" s="42">
        <f t="shared" si="28"/>
        <v>202</v>
      </c>
      <c r="T373" s="43">
        <f t="shared" si="29"/>
        <v>202</v>
      </c>
      <c r="U373" s="15" t="s">
        <v>41</v>
      </c>
      <c r="V373" s="150">
        <v>30</v>
      </c>
      <c r="W373" s="111" cm="1">
        <f t="array" ref="W373">IF(U373="",0,_xlfn.XLOOKUP(E373&amp;U373&amp;F373,tab_act&amp;tab_mod&amp;tab_act1,tab_riz)*V373*T373/MGMT)</f>
        <v>0</v>
      </c>
      <c r="X373" s="112" cm="1">
        <f t="array" ref="X373">IF(U373="",0,_xlfn.XLOOKUP(E373&amp;U373&amp;F373,tab_act&amp;tab_mod&amp;tab_act1,tab_mc)*V373*T373/MGMT)</f>
        <v>0</v>
      </c>
      <c r="Y373" s="112" cm="1">
        <f t="array" ref="Y373">IF(U373="",0,_xlfn.XLOOKUP(E373&amp;U373&amp;F373,tab_act&amp;tab_mod&amp;tab_act1,tab_sor)*V373*T373/MGMT)</f>
        <v>0</v>
      </c>
      <c r="Z373" s="112" cm="1">
        <f t="array" ref="Z373">IF(U373="",0,_xlfn.XLOOKUP(E373&amp;U373&amp;F373,tab_act&amp;tab_mod&amp;tab_act1,tab_mg)*V373*T373/MGMT)</f>
        <v>0</v>
      </c>
      <c r="AA373" s="113" cm="1">
        <f t="array" ref="AA373">IF(U373="",0,IF(U373="hybrid-Sch",_xlfn.XLOOKUP(E373&amp;U373&amp;F373,tab_act&amp;tab_mod&amp;tab_act1,tab_ls)*SchLS*T373/MGMT,_xlfn.XLOOKUP(E373&amp;U373&amp;F373,tab_act&amp;tab_mod&amp;tab_act1,tab_ls)*V373*T373/MGMT))</f>
        <v>0</v>
      </c>
      <c r="AB373" s="113" cm="1">
        <f t="array" ref="AB373">IF(U373="",0,_xlfn.XLOOKUP(E373&amp;U373&amp;F373,tab_act&amp;tab_mod&amp;tab_act1,tab_hu)*V373*T373/MGMT)</f>
        <v>0.1212</v>
      </c>
      <c r="AC373" s="113" cm="1">
        <f t="array" ref="AC373">IF(U373="",0,_xlfn.XLOOKUP(E373&amp;U373&amp;F373,tab_act&amp;tab_mod&amp;tab_act1,tab_mnp)*V373*T373/MGMT)</f>
        <v>0</v>
      </c>
      <c r="AD373" s="113" cm="1">
        <f t="array" ref="AD373">IF(U373="",0,_xlfn.XLOOKUP(E373&amp;U373&amp;F373,tab_act&amp;tab_mod&amp;tab_act1,tab_Psup)*V373*T373/MGMT)</f>
        <v>0</v>
      </c>
      <c r="AE373" s="113" cm="1">
        <f t="array" ref="AE373">IF(U373="",0,_xlfn.XLOOKUP(E373&amp;U373&amp;F373,tab_act&amp;tab_mod&amp;tab_act1,tab_csb1)*V373*T373/MGMT)</f>
        <v>1.212</v>
      </c>
      <c r="AF373" s="113" cm="1">
        <f t="array" ref="AF373">IF(U373="",0,_xlfn.XLOOKUP(E373&amp;U373&amp;F373,tab_act&amp;tab_mod&amp;tab_act1,tab_csb2)*V373*T373/MGMT)</f>
        <v>0</v>
      </c>
      <c r="AG373" s="113" cm="1">
        <f t="array" ref="AG373">IF(U373="",0,_xlfn.XLOOKUP(E373&amp;U373&amp;F373,tab_act&amp;tab_mod&amp;tab_act1,tab_pdoz)*V373*T373/MGMT)</f>
        <v>0</v>
      </c>
      <c r="AH373" s="113" cm="1">
        <f t="array" ref="AH373">IF(U373="",0,_xlfn.XLOOKUP(E373&amp;U373&amp;F373,tab_act&amp;tab_mod&amp;tab_act1,tab_lns)*V373*T373/MGMT)</f>
        <v>0</v>
      </c>
      <c r="AI373" s="114">
        <f t="shared" si="27"/>
        <v>1.3331999999999999</v>
      </c>
      <c r="AJ373" s="115" cm="1">
        <f t="array" ref="AJ373">IF(U373="",0,_xlfn.XLOOKUP(E373&amp;U373&amp;F373,tab_act&amp;tab_mod&amp;tab_act1,tab_cash)*T373)</f>
        <v>0</v>
      </c>
      <c r="AK373" s="148" cm="1">
        <f t="array" ref="AK373">IF(B373="",0,IF(C373="",0,AJ373/_xlfn.XLOOKUP(B373&amp;C373,RMth&amp;RYr,RAr)))</f>
        <v>0</v>
      </c>
      <c r="AL373" s="90"/>
      <c r="AM373" s="90"/>
      <c r="AN373" s="141" t="s">
        <v>248</v>
      </c>
    </row>
    <row r="374" spans="2:40" x14ac:dyDescent="0.35">
      <c r="B374" s="50" t="s">
        <v>130</v>
      </c>
      <c r="C374" s="44">
        <v>2023</v>
      </c>
      <c r="D374" s="44" t="s">
        <v>100</v>
      </c>
      <c r="E374" s="15" t="s">
        <v>39</v>
      </c>
      <c r="F374" s="15" t="s">
        <v>117</v>
      </c>
      <c r="G374" s="15" t="s">
        <v>159</v>
      </c>
      <c r="H374" s="44"/>
      <c r="I374" s="15" t="s">
        <v>213</v>
      </c>
      <c r="J374" s="15" t="s">
        <v>91</v>
      </c>
      <c r="K374" s="15" t="s">
        <v>97</v>
      </c>
      <c r="L374" s="15" t="s">
        <v>212</v>
      </c>
      <c r="M374" s="15" t="s">
        <v>158</v>
      </c>
      <c r="N374" s="15" t="s">
        <v>68</v>
      </c>
      <c r="O374" s="15" t="s">
        <v>152</v>
      </c>
      <c r="P374" s="15" t="s">
        <v>220</v>
      </c>
      <c r="Q374" s="135"/>
      <c r="R374" s="42">
        <v>148</v>
      </c>
      <c r="S374" s="42">
        <f t="shared" si="28"/>
        <v>148</v>
      </c>
      <c r="T374" s="43">
        <f t="shared" si="29"/>
        <v>148</v>
      </c>
      <c r="U374" s="15" t="s">
        <v>41</v>
      </c>
      <c r="V374" s="150">
        <v>30</v>
      </c>
      <c r="W374" s="111" cm="1">
        <f t="array" ref="W374">IF(U374="",0,_xlfn.XLOOKUP(E374&amp;U374&amp;F374,tab_act&amp;tab_mod&amp;tab_act1,tab_riz)*V374*T374/MGMT)</f>
        <v>0</v>
      </c>
      <c r="X374" s="112" cm="1">
        <f t="array" ref="X374">IF(U374="",0,_xlfn.XLOOKUP(E374&amp;U374&amp;F374,tab_act&amp;tab_mod&amp;tab_act1,tab_mc)*V374*T374/MGMT)</f>
        <v>0</v>
      </c>
      <c r="Y374" s="112" cm="1">
        <f t="array" ref="Y374">IF(U374="",0,_xlfn.XLOOKUP(E374&amp;U374&amp;F374,tab_act&amp;tab_mod&amp;tab_act1,tab_sor)*V374*T374/MGMT)</f>
        <v>0</v>
      </c>
      <c r="Z374" s="112" cm="1">
        <f t="array" ref="Z374">IF(U374="",0,_xlfn.XLOOKUP(E374&amp;U374&amp;F374,tab_act&amp;tab_mod&amp;tab_act1,tab_mg)*V374*T374/MGMT)</f>
        <v>0</v>
      </c>
      <c r="AA374" s="113" cm="1">
        <f t="array" ref="AA374">IF(U374="",0,IF(U374="hybrid-Sch",_xlfn.XLOOKUP(E374&amp;U374&amp;F374,tab_act&amp;tab_mod&amp;tab_act1,tab_ls)*SchLS*T374/MGMT,_xlfn.XLOOKUP(E374&amp;U374&amp;F374,tab_act&amp;tab_mod&amp;tab_act1,tab_ls)*V374*T374/MGMT))</f>
        <v>0</v>
      </c>
      <c r="AB374" s="113" cm="1">
        <f t="array" ref="AB374">IF(U374="",0,_xlfn.XLOOKUP(E374&amp;U374&amp;F374,tab_act&amp;tab_mod&amp;tab_act1,tab_hu)*V374*T374/MGMT)</f>
        <v>8.8800000000000004E-2</v>
      </c>
      <c r="AC374" s="113" cm="1">
        <f t="array" ref="AC374">IF(U374="",0,_xlfn.XLOOKUP(E374&amp;U374&amp;F374,tab_act&amp;tab_mod&amp;tab_act1,tab_mnp)*V374*T374/MGMT)</f>
        <v>0</v>
      </c>
      <c r="AD374" s="113" cm="1">
        <f t="array" ref="AD374">IF(U374="",0,_xlfn.XLOOKUP(E374&amp;U374&amp;F374,tab_act&amp;tab_mod&amp;tab_act1,tab_Psup)*V374*T374/MGMT)</f>
        <v>0</v>
      </c>
      <c r="AE374" s="113" cm="1">
        <f t="array" ref="AE374">IF(U374="",0,_xlfn.XLOOKUP(E374&amp;U374&amp;F374,tab_act&amp;tab_mod&amp;tab_act1,tab_csb1)*V374*T374/MGMT)</f>
        <v>0.88800000000000001</v>
      </c>
      <c r="AF374" s="113" cm="1">
        <f t="array" ref="AF374">IF(U374="",0,_xlfn.XLOOKUP(E374&amp;U374&amp;F374,tab_act&amp;tab_mod&amp;tab_act1,tab_csb2)*V374*T374/MGMT)</f>
        <v>0</v>
      </c>
      <c r="AG374" s="113" cm="1">
        <f t="array" ref="AG374">IF(U374="",0,_xlfn.XLOOKUP(E374&amp;U374&amp;F374,tab_act&amp;tab_mod&amp;tab_act1,tab_pdoz)*V374*T374/MGMT)</f>
        <v>0</v>
      </c>
      <c r="AH374" s="113" cm="1">
        <f t="array" ref="AH374">IF(U374="",0,_xlfn.XLOOKUP(E374&amp;U374&amp;F374,tab_act&amp;tab_mod&amp;tab_act1,tab_lns)*V374*T374/MGMT)</f>
        <v>0</v>
      </c>
      <c r="AI374" s="114">
        <f t="shared" si="27"/>
        <v>0.9768</v>
      </c>
      <c r="AJ374" s="115" cm="1">
        <f t="array" ref="AJ374">IF(U374="",0,_xlfn.XLOOKUP(E374&amp;U374&amp;F374,tab_act&amp;tab_mod&amp;tab_act1,tab_cash)*T374)</f>
        <v>0</v>
      </c>
      <c r="AK374" s="148" cm="1">
        <f t="array" ref="AK374">IF(B374="",0,IF(C374="",0,AJ374/_xlfn.XLOOKUP(B374&amp;C374,RMth&amp;RYr,RAr)))</f>
        <v>0</v>
      </c>
      <c r="AL374" s="90"/>
      <c r="AM374" s="90"/>
      <c r="AN374" s="141" t="s">
        <v>248</v>
      </c>
    </row>
    <row r="375" spans="2:40" x14ac:dyDescent="0.35">
      <c r="B375" s="50" t="s">
        <v>130</v>
      </c>
      <c r="C375" s="44">
        <v>2023</v>
      </c>
      <c r="D375" s="44" t="s">
        <v>100</v>
      </c>
      <c r="E375" s="15" t="s">
        <v>39</v>
      </c>
      <c r="F375" s="15" t="s">
        <v>117</v>
      </c>
      <c r="G375" s="15" t="s">
        <v>159</v>
      </c>
      <c r="H375" s="44"/>
      <c r="I375" s="15" t="s">
        <v>213</v>
      </c>
      <c r="J375" s="15" t="s">
        <v>91</v>
      </c>
      <c r="K375" s="15" t="s">
        <v>97</v>
      </c>
      <c r="L375" s="15" t="s">
        <v>212</v>
      </c>
      <c r="M375" s="15" t="s">
        <v>158</v>
      </c>
      <c r="N375" s="15" t="s">
        <v>68</v>
      </c>
      <c r="O375" s="15" t="s">
        <v>152</v>
      </c>
      <c r="P375" s="15" t="s">
        <v>221</v>
      </c>
      <c r="Q375" s="135"/>
      <c r="R375" s="42">
        <v>218</v>
      </c>
      <c r="S375" s="42">
        <f t="shared" si="28"/>
        <v>218</v>
      </c>
      <c r="T375" s="43">
        <f t="shared" si="29"/>
        <v>218</v>
      </c>
      <c r="U375" s="15" t="s">
        <v>41</v>
      </c>
      <c r="V375" s="150">
        <v>30</v>
      </c>
      <c r="W375" s="111" cm="1">
        <f t="array" ref="W375">IF(U375="",0,_xlfn.XLOOKUP(E375&amp;U375&amp;F375,tab_act&amp;tab_mod&amp;tab_act1,tab_riz)*V375*T375/MGMT)</f>
        <v>0</v>
      </c>
      <c r="X375" s="112" cm="1">
        <f t="array" ref="X375">IF(U375="",0,_xlfn.XLOOKUP(E375&amp;U375&amp;F375,tab_act&amp;tab_mod&amp;tab_act1,tab_mc)*V375*T375/MGMT)</f>
        <v>0</v>
      </c>
      <c r="Y375" s="112" cm="1">
        <f t="array" ref="Y375">IF(U375="",0,_xlfn.XLOOKUP(E375&amp;U375&amp;F375,tab_act&amp;tab_mod&amp;tab_act1,tab_sor)*V375*T375/MGMT)</f>
        <v>0</v>
      </c>
      <c r="Z375" s="112" cm="1">
        <f t="array" ref="Z375">IF(U375="",0,_xlfn.XLOOKUP(E375&amp;U375&amp;F375,tab_act&amp;tab_mod&amp;tab_act1,tab_mg)*V375*T375/MGMT)</f>
        <v>0</v>
      </c>
      <c r="AA375" s="113" cm="1">
        <f t="array" ref="AA375">IF(U375="",0,IF(U375="hybrid-Sch",_xlfn.XLOOKUP(E375&amp;U375&amp;F375,tab_act&amp;tab_mod&amp;tab_act1,tab_ls)*SchLS*T375/MGMT,_xlfn.XLOOKUP(E375&amp;U375&amp;F375,tab_act&amp;tab_mod&amp;tab_act1,tab_ls)*V375*T375/MGMT))</f>
        <v>0</v>
      </c>
      <c r="AB375" s="113" cm="1">
        <f t="array" ref="AB375">IF(U375="",0,_xlfn.XLOOKUP(E375&amp;U375&amp;F375,tab_act&amp;tab_mod&amp;tab_act1,tab_hu)*V375*T375/MGMT)</f>
        <v>0.1308</v>
      </c>
      <c r="AC375" s="113" cm="1">
        <f t="array" ref="AC375">IF(U375="",0,_xlfn.XLOOKUP(E375&amp;U375&amp;F375,tab_act&amp;tab_mod&amp;tab_act1,tab_mnp)*V375*T375/MGMT)</f>
        <v>0</v>
      </c>
      <c r="AD375" s="113" cm="1">
        <f t="array" ref="AD375">IF(U375="",0,_xlfn.XLOOKUP(E375&amp;U375&amp;F375,tab_act&amp;tab_mod&amp;tab_act1,tab_Psup)*V375*T375/MGMT)</f>
        <v>0</v>
      </c>
      <c r="AE375" s="113" cm="1">
        <f t="array" ref="AE375">IF(U375="",0,_xlfn.XLOOKUP(E375&amp;U375&amp;F375,tab_act&amp;tab_mod&amp;tab_act1,tab_csb1)*V375*T375/MGMT)</f>
        <v>1.3080000000000001</v>
      </c>
      <c r="AF375" s="113" cm="1">
        <f t="array" ref="AF375">IF(U375="",0,_xlfn.XLOOKUP(E375&amp;U375&amp;F375,tab_act&amp;tab_mod&amp;tab_act1,tab_csb2)*V375*T375/MGMT)</f>
        <v>0</v>
      </c>
      <c r="AG375" s="113" cm="1">
        <f t="array" ref="AG375">IF(U375="",0,_xlfn.XLOOKUP(E375&amp;U375&amp;F375,tab_act&amp;tab_mod&amp;tab_act1,tab_pdoz)*V375*T375/MGMT)</f>
        <v>0</v>
      </c>
      <c r="AH375" s="113" cm="1">
        <f t="array" ref="AH375">IF(U375="",0,_xlfn.XLOOKUP(E375&amp;U375&amp;F375,tab_act&amp;tab_mod&amp;tab_act1,tab_lns)*V375*T375/MGMT)</f>
        <v>0</v>
      </c>
      <c r="AI375" s="114">
        <f t="shared" si="27"/>
        <v>1.4388000000000001</v>
      </c>
      <c r="AJ375" s="115" cm="1">
        <f t="array" ref="AJ375">IF(U375="",0,_xlfn.XLOOKUP(E375&amp;U375&amp;F375,tab_act&amp;tab_mod&amp;tab_act1,tab_cash)*T375)</f>
        <v>0</v>
      </c>
      <c r="AK375" s="148" cm="1">
        <f t="array" ref="AK375">IF(B375="",0,IF(C375="",0,AJ375/_xlfn.XLOOKUP(B375&amp;C375,RMth&amp;RYr,RAr)))</f>
        <v>0</v>
      </c>
      <c r="AL375" s="90"/>
      <c r="AM375" s="90"/>
      <c r="AN375" s="141" t="s">
        <v>248</v>
      </c>
    </row>
    <row r="376" spans="2:40" x14ac:dyDescent="0.35">
      <c r="B376" s="50" t="s">
        <v>130</v>
      </c>
      <c r="C376" s="44">
        <v>2023</v>
      </c>
      <c r="D376" s="44" t="s">
        <v>100</v>
      </c>
      <c r="E376" s="15" t="s">
        <v>39</v>
      </c>
      <c r="F376" s="15" t="s">
        <v>117</v>
      </c>
      <c r="G376" s="15" t="s">
        <v>159</v>
      </c>
      <c r="H376" s="44"/>
      <c r="I376" s="15" t="s">
        <v>213</v>
      </c>
      <c r="J376" s="15" t="s">
        <v>91</v>
      </c>
      <c r="K376" s="15" t="s">
        <v>97</v>
      </c>
      <c r="L376" s="15" t="s">
        <v>212</v>
      </c>
      <c r="M376" s="15" t="s">
        <v>158</v>
      </c>
      <c r="N376" s="15" t="s">
        <v>68</v>
      </c>
      <c r="O376" s="15" t="s">
        <v>222</v>
      </c>
      <c r="P376" s="15" t="s">
        <v>223</v>
      </c>
      <c r="Q376" s="135"/>
      <c r="R376" s="42">
        <v>702</v>
      </c>
      <c r="S376" s="42">
        <f t="shared" si="28"/>
        <v>702</v>
      </c>
      <c r="T376" s="43">
        <f t="shared" si="29"/>
        <v>702</v>
      </c>
      <c r="U376" s="15" t="s">
        <v>41</v>
      </c>
      <c r="V376" s="150">
        <v>30</v>
      </c>
      <c r="W376" s="111" cm="1">
        <f t="array" ref="W376">IF(U376="",0,_xlfn.XLOOKUP(E376&amp;U376&amp;F376,tab_act&amp;tab_mod&amp;tab_act1,tab_riz)*V376*T376/MGMT)</f>
        <v>0</v>
      </c>
      <c r="X376" s="112" cm="1">
        <f t="array" ref="X376">IF(U376="",0,_xlfn.XLOOKUP(E376&amp;U376&amp;F376,tab_act&amp;tab_mod&amp;tab_act1,tab_mc)*V376*T376/MGMT)</f>
        <v>0</v>
      </c>
      <c r="Y376" s="112" cm="1">
        <f t="array" ref="Y376">IF(U376="",0,_xlfn.XLOOKUP(E376&amp;U376&amp;F376,tab_act&amp;tab_mod&amp;tab_act1,tab_sor)*V376*T376/MGMT)</f>
        <v>0</v>
      </c>
      <c r="Z376" s="112" cm="1">
        <f t="array" ref="Z376">IF(U376="",0,_xlfn.XLOOKUP(E376&amp;U376&amp;F376,tab_act&amp;tab_mod&amp;tab_act1,tab_mg)*V376*T376/MGMT)</f>
        <v>0</v>
      </c>
      <c r="AA376" s="113" cm="1">
        <f t="array" ref="AA376">IF(U376="",0,IF(U376="hybrid-Sch",_xlfn.XLOOKUP(E376&amp;U376&amp;F376,tab_act&amp;tab_mod&amp;tab_act1,tab_ls)*SchLS*T376/MGMT,_xlfn.XLOOKUP(E376&amp;U376&amp;F376,tab_act&amp;tab_mod&amp;tab_act1,tab_ls)*V376*T376/MGMT))</f>
        <v>0</v>
      </c>
      <c r="AB376" s="113" cm="1">
        <f t="array" ref="AB376">IF(U376="",0,_xlfn.XLOOKUP(E376&amp;U376&amp;F376,tab_act&amp;tab_mod&amp;tab_act1,tab_hu)*V376*T376/MGMT)</f>
        <v>0.42120000000000002</v>
      </c>
      <c r="AC376" s="113" cm="1">
        <f t="array" ref="AC376">IF(U376="",0,_xlfn.XLOOKUP(E376&amp;U376&amp;F376,tab_act&amp;tab_mod&amp;tab_act1,tab_mnp)*V376*T376/MGMT)</f>
        <v>0</v>
      </c>
      <c r="AD376" s="113" cm="1">
        <f t="array" ref="AD376">IF(U376="",0,_xlfn.XLOOKUP(E376&amp;U376&amp;F376,tab_act&amp;tab_mod&amp;tab_act1,tab_Psup)*V376*T376/MGMT)</f>
        <v>0</v>
      </c>
      <c r="AE376" s="113" cm="1">
        <f t="array" ref="AE376">IF(U376="",0,_xlfn.XLOOKUP(E376&amp;U376&amp;F376,tab_act&amp;tab_mod&amp;tab_act1,tab_csb1)*V376*T376/MGMT)</f>
        <v>4.2119999999999997</v>
      </c>
      <c r="AF376" s="113" cm="1">
        <f t="array" ref="AF376">IF(U376="",0,_xlfn.XLOOKUP(E376&amp;U376&amp;F376,tab_act&amp;tab_mod&amp;tab_act1,tab_csb2)*V376*T376/MGMT)</f>
        <v>0</v>
      </c>
      <c r="AG376" s="113" cm="1">
        <f t="array" ref="AG376">IF(U376="",0,_xlfn.XLOOKUP(E376&amp;U376&amp;F376,tab_act&amp;tab_mod&amp;tab_act1,tab_pdoz)*V376*T376/MGMT)</f>
        <v>0</v>
      </c>
      <c r="AH376" s="113" cm="1">
        <f t="array" ref="AH376">IF(U376="",0,_xlfn.XLOOKUP(E376&amp;U376&amp;F376,tab_act&amp;tab_mod&amp;tab_act1,tab_lns)*V376*T376/MGMT)</f>
        <v>0</v>
      </c>
      <c r="AI376" s="114">
        <f t="shared" si="27"/>
        <v>4.6331999999999995</v>
      </c>
      <c r="AJ376" s="115" cm="1">
        <f t="array" ref="AJ376">IF(U376="",0,_xlfn.XLOOKUP(E376&amp;U376&amp;F376,tab_act&amp;tab_mod&amp;tab_act1,tab_cash)*T376)</f>
        <v>0</v>
      </c>
      <c r="AK376" s="148" cm="1">
        <f t="array" ref="AK376">IF(B376="",0,IF(C376="",0,AJ376/_xlfn.XLOOKUP(B376&amp;C376,RMth&amp;RYr,RAr)))</f>
        <v>0</v>
      </c>
      <c r="AL376" s="90"/>
      <c r="AM376" s="90"/>
      <c r="AN376" s="141" t="s">
        <v>248</v>
      </c>
    </row>
    <row r="377" spans="2:40" x14ac:dyDescent="0.35">
      <c r="B377" s="50" t="s">
        <v>130</v>
      </c>
      <c r="C377" s="44">
        <v>2023</v>
      </c>
      <c r="D377" s="44" t="s">
        <v>100</v>
      </c>
      <c r="E377" s="15" t="s">
        <v>39</v>
      </c>
      <c r="F377" s="15" t="s">
        <v>117</v>
      </c>
      <c r="G377" s="15" t="s">
        <v>159</v>
      </c>
      <c r="H377" s="44"/>
      <c r="I377" s="15" t="s">
        <v>213</v>
      </c>
      <c r="J377" s="15" t="s">
        <v>91</v>
      </c>
      <c r="K377" s="15" t="s">
        <v>97</v>
      </c>
      <c r="L377" s="15" t="s">
        <v>212</v>
      </c>
      <c r="M377" s="15" t="s">
        <v>158</v>
      </c>
      <c r="N377" s="15" t="s">
        <v>68</v>
      </c>
      <c r="O377" s="15" t="s">
        <v>222</v>
      </c>
      <c r="P377" s="15" t="s">
        <v>224</v>
      </c>
      <c r="Q377" s="135"/>
      <c r="R377" s="42">
        <v>495</v>
      </c>
      <c r="S377" s="42">
        <f t="shared" si="28"/>
        <v>495</v>
      </c>
      <c r="T377" s="43">
        <f t="shared" si="29"/>
        <v>495</v>
      </c>
      <c r="U377" s="15" t="s">
        <v>41</v>
      </c>
      <c r="V377" s="150">
        <v>30</v>
      </c>
      <c r="W377" s="111" cm="1">
        <f t="array" ref="W377">IF(U377="",0,_xlfn.XLOOKUP(E377&amp;U377&amp;F377,tab_act&amp;tab_mod&amp;tab_act1,tab_riz)*V377*T377/MGMT)</f>
        <v>0</v>
      </c>
      <c r="X377" s="112" cm="1">
        <f t="array" ref="X377">IF(U377="",0,_xlfn.XLOOKUP(E377&amp;U377&amp;F377,tab_act&amp;tab_mod&amp;tab_act1,tab_mc)*V377*T377/MGMT)</f>
        <v>0</v>
      </c>
      <c r="Y377" s="112" cm="1">
        <f t="array" ref="Y377">IF(U377="",0,_xlfn.XLOOKUP(E377&amp;U377&amp;F377,tab_act&amp;tab_mod&amp;tab_act1,tab_sor)*V377*T377/MGMT)</f>
        <v>0</v>
      </c>
      <c r="Z377" s="112" cm="1">
        <f t="array" ref="Z377">IF(U377="",0,_xlfn.XLOOKUP(E377&amp;U377&amp;F377,tab_act&amp;tab_mod&amp;tab_act1,tab_mg)*V377*T377/MGMT)</f>
        <v>0</v>
      </c>
      <c r="AA377" s="113" cm="1">
        <f t="array" ref="AA377">IF(U377="",0,IF(U377="hybrid-Sch",_xlfn.XLOOKUP(E377&amp;U377&amp;F377,tab_act&amp;tab_mod&amp;tab_act1,tab_ls)*SchLS*T377/MGMT,_xlfn.XLOOKUP(E377&amp;U377&amp;F377,tab_act&amp;tab_mod&amp;tab_act1,tab_ls)*V377*T377/MGMT))</f>
        <v>0</v>
      </c>
      <c r="AB377" s="113" cm="1">
        <f t="array" ref="AB377">IF(U377="",0,_xlfn.XLOOKUP(E377&amp;U377&amp;F377,tab_act&amp;tab_mod&amp;tab_act1,tab_hu)*V377*T377/MGMT)</f>
        <v>0.29699999999999999</v>
      </c>
      <c r="AC377" s="113" cm="1">
        <f t="array" ref="AC377">IF(U377="",0,_xlfn.XLOOKUP(E377&amp;U377&amp;F377,tab_act&amp;tab_mod&amp;tab_act1,tab_mnp)*V377*T377/MGMT)</f>
        <v>0</v>
      </c>
      <c r="AD377" s="113" cm="1">
        <f t="array" ref="AD377">IF(U377="",0,_xlfn.XLOOKUP(E377&amp;U377&amp;F377,tab_act&amp;tab_mod&amp;tab_act1,tab_Psup)*V377*T377/MGMT)</f>
        <v>0</v>
      </c>
      <c r="AE377" s="113" cm="1">
        <f t="array" ref="AE377">IF(U377="",0,_xlfn.XLOOKUP(E377&amp;U377&amp;F377,tab_act&amp;tab_mod&amp;tab_act1,tab_csb1)*V377*T377/MGMT)</f>
        <v>2.97</v>
      </c>
      <c r="AF377" s="113" cm="1">
        <f t="array" ref="AF377">IF(U377="",0,_xlfn.XLOOKUP(E377&amp;U377&amp;F377,tab_act&amp;tab_mod&amp;tab_act1,tab_csb2)*V377*T377/MGMT)</f>
        <v>0</v>
      </c>
      <c r="AG377" s="113" cm="1">
        <f t="array" ref="AG377">IF(U377="",0,_xlfn.XLOOKUP(E377&amp;U377&amp;F377,tab_act&amp;tab_mod&amp;tab_act1,tab_pdoz)*V377*T377/MGMT)</f>
        <v>0</v>
      </c>
      <c r="AH377" s="113" cm="1">
        <f t="array" ref="AH377">IF(U377="",0,_xlfn.XLOOKUP(E377&amp;U377&amp;F377,tab_act&amp;tab_mod&amp;tab_act1,tab_lns)*V377*T377/MGMT)</f>
        <v>0</v>
      </c>
      <c r="AI377" s="114">
        <f t="shared" si="27"/>
        <v>3.2670000000000003</v>
      </c>
      <c r="AJ377" s="115" cm="1">
        <f t="array" ref="AJ377">IF(U377="",0,_xlfn.XLOOKUP(E377&amp;U377&amp;F377,tab_act&amp;tab_mod&amp;tab_act1,tab_cash)*T377)</f>
        <v>0</v>
      </c>
      <c r="AK377" s="148" cm="1">
        <f t="array" ref="AK377">IF(B377="",0,IF(C377="",0,AJ377/_xlfn.XLOOKUP(B377&amp;C377,RMth&amp;RYr,RAr)))</f>
        <v>0</v>
      </c>
      <c r="AL377" s="90"/>
      <c r="AM377" s="90"/>
      <c r="AN377" s="141" t="s">
        <v>248</v>
      </c>
    </row>
    <row r="378" spans="2:40" x14ac:dyDescent="0.35">
      <c r="B378" s="50" t="s">
        <v>130</v>
      </c>
      <c r="C378" s="44">
        <v>2023</v>
      </c>
      <c r="D378" s="44" t="s">
        <v>100</v>
      </c>
      <c r="E378" s="15" t="s">
        <v>39</v>
      </c>
      <c r="F378" s="15" t="s">
        <v>117</v>
      </c>
      <c r="G378" s="15" t="s">
        <v>159</v>
      </c>
      <c r="H378" s="44"/>
      <c r="I378" s="15" t="s">
        <v>213</v>
      </c>
      <c r="J378" s="15" t="s">
        <v>91</v>
      </c>
      <c r="K378" s="15" t="s">
        <v>97</v>
      </c>
      <c r="L378" s="15" t="s">
        <v>212</v>
      </c>
      <c r="M378" s="15" t="s">
        <v>158</v>
      </c>
      <c r="N378" s="15" t="s">
        <v>68</v>
      </c>
      <c r="O378" s="15" t="s">
        <v>222</v>
      </c>
      <c r="P378" s="15" t="s">
        <v>225</v>
      </c>
      <c r="Q378" s="135"/>
      <c r="R378" s="42">
        <v>702</v>
      </c>
      <c r="S378" s="42">
        <f t="shared" si="28"/>
        <v>702</v>
      </c>
      <c r="T378" s="43">
        <f t="shared" si="29"/>
        <v>702</v>
      </c>
      <c r="U378" s="15" t="s">
        <v>41</v>
      </c>
      <c r="V378" s="150">
        <v>30</v>
      </c>
      <c r="W378" s="111" cm="1">
        <f t="array" ref="W378">IF(U378="",0,_xlfn.XLOOKUP(E378&amp;U378&amp;F378,tab_act&amp;tab_mod&amp;tab_act1,tab_riz)*V378*T378/MGMT)</f>
        <v>0</v>
      </c>
      <c r="X378" s="112" cm="1">
        <f t="array" ref="X378">IF(U378="",0,_xlfn.XLOOKUP(E378&amp;U378&amp;F378,tab_act&amp;tab_mod&amp;tab_act1,tab_mc)*V378*T378/MGMT)</f>
        <v>0</v>
      </c>
      <c r="Y378" s="112" cm="1">
        <f t="array" ref="Y378">IF(U378="",0,_xlfn.XLOOKUP(E378&amp;U378&amp;F378,tab_act&amp;tab_mod&amp;tab_act1,tab_sor)*V378*T378/MGMT)</f>
        <v>0</v>
      </c>
      <c r="Z378" s="112" cm="1">
        <f t="array" ref="Z378">IF(U378="",0,_xlfn.XLOOKUP(E378&amp;U378&amp;F378,tab_act&amp;tab_mod&amp;tab_act1,tab_mg)*V378*T378/MGMT)</f>
        <v>0</v>
      </c>
      <c r="AA378" s="113" cm="1">
        <f t="array" ref="AA378">IF(U378="",0,IF(U378="hybrid-Sch",_xlfn.XLOOKUP(E378&amp;U378&amp;F378,tab_act&amp;tab_mod&amp;tab_act1,tab_ls)*SchLS*T378/MGMT,_xlfn.XLOOKUP(E378&amp;U378&amp;F378,tab_act&amp;tab_mod&amp;tab_act1,tab_ls)*V378*T378/MGMT))</f>
        <v>0</v>
      </c>
      <c r="AB378" s="113" cm="1">
        <f t="array" ref="AB378">IF(U378="",0,_xlfn.XLOOKUP(E378&amp;U378&amp;F378,tab_act&amp;tab_mod&amp;tab_act1,tab_hu)*V378*T378/MGMT)</f>
        <v>0.42120000000000002</v>
      </c>
      <c r="AC378" s="113" cm="1">
        <f t="array" ref="AC378">IF(U378="",0,_xlfn.XLOOKUP(E378&amp;U378&amp;F378,tab_act&amp;tab_mod&amp;tab_act1,tab_mnp)*V378*T378/MGMT)</f>
        <v>0</v>
      </c>
      <c r="AD378" s="113" cm="1">
        <f t="array" ref="AD378">IF(U378="",0,_xlfn.XLOOKUP(E378&amp;U378&amp;F378,tab_act&amp;tab_mod&amp;tab_act1,tab_Psup)*V378*T378/MGMT)</f>
        <v>0</v>
      </c>
      <c r="AE378" s="113" cm="1">
        <f t="array" ref="AE378">IF(U378="",0,_xlfn.XLOOKUP(E378&amp;U378&amp;F378,tab_act&amp;tab_mod&amp;tab_act1,tab_csb1)*V378*T378/MGMT)</f>
        <v>4.2119999999999997</v>
      </c>
      <c r="AF378" s="113" cm="1">
        <f t="array" ref="AF378">IF(U378="",0,_xlfn.XLOOKUP(E378&amp;U378&amp;F378,tab_act&amp;tab_mod&amp;tab_act1,tab_csb2)*V378*T378/MGMT)</f>
        <v>0</v>
      </c>
      <c r="AG378" s="113" cm="1">
        <f t="array" ref="AG378">IF(U378="",0,_xlfn.XLOOKUP(E378&amp;U378&amp;F378,tab_act&amp;tab_mod&amp;tab_act1,tab_pdoz)*V378*T378/MGMT)</f>
        <v>0</v>
      </c>
      <c r="AH378" s="113" cm="1">
        <f t="array" ref="AH378">IF(U378="",0,_xlfn.XLOOKUP(E378&amp;U378&amp;F378,tab_act&amp;tab_mod&amp;tab_act1,tab_lns)*V378*T378/MGMT)</f>
        <v>0</v>
      </c>
      <c r="AI378" s="114">
        <f t="shared" si="27"/>
        <v>4.6331999999999995</v>
      </c>
      <c r="AJ378" s="115" cm="1">
        <f t="array" ref="AJ378">IF(U378="",0,_xlfn.XLOOKUP(E378&amp;U378&amp;F378,tab_act&amp;tab_mod&amp;tab_act1,tab_cash)*T378)</f>
        <v>0</v>
      </c>
      <c r="AK378" s="148" cm="1">
        <f t="array" ref="AK378">IF(B378="",0,IF(C378="",0,AJ378/_xlfn.XLOOKUP(B378&amp;C378,RMth&amp;RYr,RAr)))</f>
        <v>0</v>
      </c>
      <c r="AL378" s="90"/>
      <c r="AM378" s="90"/>
      <c r="AN378" s="141" t="s">
        <v>248</v>
      </c>
    </row>
    <row r="379" spans="2:40" x14ac:dyDescent="0.35">
      <c r="B379" s="50" t="s">
        <v>130</v>
      </c>
      <c r="C379" s="44">
        <v>2023</v>
      </c>
      <c r="D379" s="44" t="s">
        <v>100</v>
      </c>
      <c r="E379" s="15" t="s">
        <v>39</v>
      </c>
      <c r="F379" s="15" t="s">
        <v>117</v>
      </c>
      <c r="G379" s="15" t="s">
        <v>159</v>
      </c>
      <c r="H379" s="44"/>
      <c r="I379" s="15" t="s">
        <v>213</v>
      </c>
      <c r="J379" s="15" t="s">
        <v>91</v>
      </c>
      <c r="K379" s="15" t="s">
        <v>97</v>
      </c>
      <c r="L379" s="15" t="s">
        <v>212</v>
      </c>
      <c r="M379" s="15" t="s">
        <v>158</v>
      </c>
      <c r="N379" s="15" t="s">
        <v>68</v>
      </c>
      <c r="O379" s="15" t="s">
        <v>222</v>
      </c>
      <c r="P379" s="15" t="s">
        <v>226</v>
      </c>
      <c r="Q379" s="135"/>
      <c r="R379" s="42">
        <v>720</v>
      </c>
      <c r="S379" s="42">
        <f t="shared" si="28"/>
        <v>720</v>
      </c>
      <c r="T379" s="43">
        <f t="shared" si="29"/>
        <v>720</v>
      </c>
      <c r="U379" s="15" t="s">
        <v>41</v>
      </c>
      <c r="V379" s="150">
        <v>30</v>
      </c>
      <c r="W379" s="111" cm="1">
        <f t="array" ref="W379">IF(U379="",0,_xlfn.XLOOKUP(E379&amp;U379&amp;F379,tab_act&amp;tab_mod&amp;tab_act1,tab_riz)*V379*T379/MGMT)</f>
        <v>0</v>
      </c>
      <c r="X379" s="112" cm="1">
        <f t="array" ref="X379">IF(U379="",0,_xlfn.XLOOKUP(E379&amp;U379&amp;F379,tab_act&amp;tab_mod&amp;tab_act1,tab_mc)*V379*T379/MGMT)</f>
        <v>0</v>
      </c>
      <c r="Y379" s="112" cm="1">
        <f t="array" ref="Y379">IF(U379="",0,_xlfn.XLOOKUP(E379&amp;U379&amp;F379,tab_act&amp;tab_mod&amp;tab_act1,tab_sor)*V379*T379/MGMT)</f>
        <v>0</v>
      </c>
      <c r="Z379" s="112" cm="1">
        <f t="array" ref="Z379">IF(U379="",0,_xlfn.XLOOKUP(E379&amp;U379&amp;F379,tab_act&amp;tab_mod&amp;tab_act1,tab_mg)*V379*T379/MGMT)</f>
        <v>0</v>
      </c>
      <c r="AA379" s="113" cm="1">
        <f t="array" ref="AA379">IF(U379="",0,IF(U379="hybrid-Sch",_xlfn.XLOOKUP(E379&amp;U379&amp;F379,tab_act&amp;tab_mod&amp;tab_act1,tab_ls)*SchLS*T379/MGMT,_xlfn.XLOOKUP(E379&amp;U379&amp;F379,tab_act&amp;tab_mod&amp;tab_act1,tab_ls)*V379*T379/MGMT))</f>
        <v>0</v>
      </c>
      <c r="AB379" s="113" cm="1">
        <f t="array" ref="AB379">IF(U379="",0,_xlfn.XLOOKUP(E379&amp;U379&amp;F379,tab_act&amp;tab_mod&amp;tab_act1,tab_hu)*V379*T379/MGMT)</f>
        <v>0.432</v>
      </c>
      <c r="AC379" s="113" cm="1">
        <f t="array" ref="AC379">IF(U379="",0,_xlfn.XLOOKUP(E379&amp;U379&amp;F379,tab_act&amp;tab_mod&amp;tab_act1,tab_mnp)*V379*T379/MGMT)</f>
        <v>0</v>
      </c>
      <c r="AD379" s="113" cm="1">
        <f t="array" ref="AD379">IF(U379="",0,_xlfn.XLOOKUP(E379&amp;U379&amp;F379,tab_act&amp;tab_mod&amp;tab_act1,tab_Psup)*V379*T379/MGMT)</f>
        <v>0</v>
      </c>
      <c r="AE379" s="113" cm="1">
        <f t="array" ref="AE379">IF(U379="",0,_xlfn.XLOOKUP(E379&amp;U379&amp;F379,tab_act&amp;tab_mod&amp;tab_act1,tab_csb1)*V379*T379/MGMT)</f>
        <v>4.32</v>
      </c>
      <c r="AF379" s="113" cm="1">
        <f t="array" ref="AF379">IF(U379="",0,_xlfn.XLOOKUP(E379&amp;U379&amp;F379,tab_act&amp;tab_mod&amp;tab_act1,tab_csb2)*V379*T379/MGMT)</f>
        <v>0</v>
      </c>
      <c r="AG379" s="113" cm="1">
        <f t="array" ref="AG379">IF(U379="",0,_xlfn.XLOOKUP(E379&amp;U379&amp;F379,tab_act&amp;tab_mod&amp;tab_act1,tab_pdoz)*V379*T379/MGMT)</f>
        <v>0</v>
      </c>
      <c r="AH379" s="113" cm="1">
        <f t="array" ref="AH379">IF(U379="",0,_xlfn.XLOOKUP(E379&amp;U379&amp;F379,tab_act&amp;tab_mod&amp;tab_act1,tab_lns)*V379*T379/MGMT)</f>
        <v>0</v>
      </c>
      <c r="AI379" s="114">
        <f t="shared" si="27"/>
        <v>4.7520000000000007</v>
      </c>
      <c r="AJ379" s="115" cm="1">
        <f t="array" ref="AJ379">IF(U379="",0,_xlfn.XLOOKUP(E379&amp;U379&amp;F379,tab_act&amp;tab_mod&amp;tab_act1,tab_cash)*T379)</f>
        <v>0</v>
      </c>
      <c r="AK379" s="148" cm="1">
        <f t="array" ref="AK379">IF(B379="",0,IF(C379="",0,AJ379/_xlfn.XLOOKUP(B379&amp;C379,RMth&amp;RYr,RAr)))</f>
        <v>0</v>
      </c>
      <c r="AL379" s="90"/>
      <c r="AM379" s="90"/>
      <c r="AN379" s="141" t="s">
        <v>248</v>
      </c>
    </row>
    <row r="380" spans="2:40" x14ac:dyDescent="0.35">
      <c r="B380" s="50" t="s">
        <v>130</v>
      </c>
      <c r="C380" s="44">
        <v>2023</v>
      </c>
      <c r="D380" s="44" t="s">
        <v>100</v>
      </c>
      <c r="E380" s="15" t="s">
        <v>39</v>
      </c>
      <c r="F380" s="15" t="s">
        <v>117</v>
      </c>
      <c r="G380" s="15" t="s">
        <v>159</v>
      </c>
      <c r="H380" s="44"/>
      <c r="I380" s="15" t="s">
        <v>213</v>
      </c>
      <c r="J380" s="15" t="s">
        <v>91</v>
      </c>
      <c r="K380" s="15" t="s">
        <v>97</v>
      </c>
      <c r="L380" s="15" t="s">
        <v>212</v>
      </c>
      <c r="M380" s="15" t="s">
        <v>158</v>
      </c>
      <c r="N380" s="15" t="s">
        <v>68</v>
      </c>
      <c r="O380" s="15" t="s">
        <v>102</v>
      </c>
      <c r="P380" s="15" t="s">
        <v>227</v>
      </c>
      <c r="Q380" s="135"/>
      <c r="R380" s="42">
        <v>834</v>
      </c>
      <c r="S380" s="42">
        <f t="shared" si="28"/>
        <v>834</v>
      </c>
      <c r="T380" s="43">
        <f t="shared" si="29"/>
        <v>834</v>
      </c>
      <c r="U380" s="15" t="s">
        <v>41</v>
      </c>
      <c r="V380" s="150">
        <v>30</v>
      </c>
      <c r="W380" s="111" cm="1">
        <f t="array" ref="W380">IF(U380="",0,_xlfn.XLOOKUP(E380&amp;U380&amp;F380,tab_act&amp;tab_mod&amp;tab_act1,tab_riz)*V380*T380/MGMT)</f>
        <v>0</v>
      </c>
      <c r="X380" s="112" cm="1">
        <f t="array" ref="X380">IF(U380="",0,_xlfn.XLOOKUP(E380&amp;U380&amp;F380,tab_act&amp;tab_mod&amp;tab_act1,tab_mc)*V380*T380/MGMT)</f>
        <v>0</v>
      </c>
      <c r="Y380" s="112" cm="1">
        <f t="array" ref="Y380">IF(U380="",0,_xlfn.XLOOKUP(E380&amp;U380&amp;F380,tab_act&amp;tab_mod&amp;tab_act1,tab_sor)*V380*T380/MGMT)</f>
        <v>0</v>
      </c>
      <c r="Z380" s="112" cm="1">
        <f t="array" ref="Z380">IF(U380="",0,_xlfn.XLOOKUP(E380&amp;U380&amp;F380,tab_act&amp;tab_mod&amp;tab_act1,tab_mg)*V380*T380/MGMT)</f>
        <v>0</v>
      </c>
      <c r="AA380" s="113" cm="1">
        <f t="array" ref="AA380">IF(U380="",0,IF(U380="hybrid-Sch",_xlfn.XLOOKUP(E380&amp;U380&amp;F380,tab_act&amp;tab_mod&amp;tab_act1,tab_ls)*SchLS*T380/MGMT,_xlfn.XLOOKUP(E380&amp;U380&amp;F380,tab_act&amp;tab_mod&amp;tab_act1,tab_ls)*V380*T380/MGMT))</f>
        <v>0</v>
      </c>
      <c r="AB380" s="113" cm="1">
        <f t="array" ref="AB380">IF(U380="",0,_xlfn.XLOOKUP(E380&amp;U380&amp;F380,tab_act&amp;tab_mod&amp;tab_act1,tab_hu)*V380*T380/MGMT)</f>
        <v>0.50039999999999996</v>
      </c>
      <c r="AC380" s="113" cm="1">
        <f t="array" ref="AC380">IF(U380="",0,_xlfn.XLOOKUP(E380&amp;U380&amp;F380,tab_act&amp;tab_mod&amp;tab_act1,tab_mnp)*V380*T380/MGMT)</f>
        <v>0</v>
      </c>
      <c r="AD380" s="113" cm="1">
        <f t="array" ref="AD380">IF(U380="",0,_xlfn.XLOOKUP(E380&amp;U380&amp;F380,tab_act&amp;tab_mod&amp;tab_act1,tab_Psup)*V380*T380/MGMT)</f>
        <v>0</v>
      </c>
      <c r="AE380" s="113" cm="1">
        <f t="array" ref="AE380">IF(U380="",0,_xlfn.XLOOKUP(E380&amp;U380&amp;F380,tab_act&amp;tab_mod&amp;tab_act1,tab_csb1)*V380*T380/MGMT)</f>
        <v>5.0039999999999996</v>
      </c>
      <c r="AF380" s="113" cm="1">
        <f t="array" ref="AF380">IF(U380="",0,_xlfn.XLOOKUP(E380&amp;U380&amp;F380,tab_act&amp;tab_mod&amp;tab_act1,tab_csb2)*V380*T380/MGMT)</f>
        <v>0</v>
      </c>
      <c r="AG380" s="113" cm="1">
        <f t="array" ref="AG380">IF(U380="",0,_xlfn.XLOOKUP(E380&amp;U380&amp;F380,tab_act&amp;tab_mod&amp;tab_act1,tab_pdoz)*V380*T380/MGMT)</f>
        <v>0</v>
      </c>
      <c r="AH380" s="113" cm="1">
        <f t="array" ref="AH380">IF(U380="",0,_xlfn.XLOOKUP(E380&amp;U380&amp;F380,tab_act&amp;tab_mod&amp;tab_act1,tab_lns)*V380*T380/MGMT)</f>
        <v>0</v>
      </c>
      <c r="AI380" s="114">
        <f t="shared" si="27"/>
        <v>5.5043999999999995</v>
      </c>
      <c r="AJ380" s="115" cm="1">
        <f t="array" ref="AJ380">IF(U380="",0,_xlfn.XLOOKUP(E380&amp;U380&amp;F380,tab_act&amp;tab_mod&amp;tab_act1,tab_cash)*T380)</f>
        <v>0</v>
      </c>
      <c r="AK380" s="148" cm="1">
        <f t="array" ref="AK380">IF(B380="",0,IF(C380="",0,AJ380/_xlfn.XLOOKUP(B380&amp;C380,RMth&amp;RYr,RAr)))</f>
        <v>0</v>
      </c>
      <c r="AL380" s="90"/>
      <c r="AM380" s="90"/>
      <c r="AN380" s="141" t="s">
        <v>248</v>
      </c>
    </row>
    <row r="381" spans="2:40" x14ac:dyDescent="0.35">
      <c r="B381" s="50" t="s">
        <v>130</v>
      </c>
      <c r="C381" s="44">
        <v>2023</v>
      </c>
      <c r="D381" s="44" t="s">
        <v>100</v>
      </c>
      <c r="E381" s="15" t="s">
        <v>39</v>
      </c>
      <c r="F381" s="15" t="s">
        <v>117</v>
      </c>
      <c r="G381" s="15" t="s">
        <v>159</v>
      </c>
      <c r="H381" s="44"/>
      <c r="I381" s="15" t="s">
        <v>213</v>
      </c>
      <c r="J381" s="15" t="s">
        <v>91</v>
      </c>
      <c r="K381" s="15" t="s">
        <v>97</v>
      </c>
      <c r="L381" s="15" t="s">
        <v>212</v>
      </c>
      <c r="M381" s="15" t="s">
        <v>158</v>
      </c>
      <c r="N381" s="15" t="s">
        <v>68</v>
      </c>
      <c r="O381" s="15" t="s">
        <v>102</v>
      </c>
      <c r="P381" s="15" t="s">
        <v>228</v>
      </c>
      <c r="Q381" s="135"/>
      <c r="R381" s="42">
        <v>398</v>
      </c>
      <c r="S381" s="42">
        <f t="shared" si="28"/>
        <v>398</v>
      </c>
      <c r="T381" s="43">
        <f t="shared" si="29"/>
        <v>398</v>
      </c>
      <c r="U381" s="15" t="s">
        <v>41</v>
      </c>
      <c r="V381" s="150">
        <v>30</v>
      </c>
      <c r="W381" s="111" cm="1">
        <f t="array" ref="W381">IF(U381="",0,_xlfn.XLOOKUP(E381&amp;U381&amp;F381,tab_act&amp;tab_mod&amp;tab_act1,tab_riz)*V381*T381/MGMT)</f>
        <v>0</v>
      </c>
      <c r="X381" s="112" cm="1">
        <f t="array" ref="X381">IF(U381="",0,_xlfn.XLOOKUP(E381&amp;U381&amp;F381,tab_act&amp;tab_mod&amp;tab_act1,tab_mc)*V381*T381/MGMT)</f>
        <v>0</v>
      </c>
      <c r="Y381" s="112" cm="1">
        <f t="array" ref="Y381">IF(U381="",0,_xlfn.XLOOKUP(E381&amp;U381&amp;F381,tab_act&amp;tab_mod&amp;tab_act1,tab_sor)*V381*T381/MGMT)</f>
        <v>0</v>
      </c>
      <c r="Z381" s="112" cm="1">
        <f t="array" ref="Z381">IF(U381="",0,_xlfn.XLOOKUP(E381&amp;U381&amp;F381,tab_act&amp;tab_mod&amp;tab_act1,tab_mg)*V381*T381/MGMT)</f>
        <v>0</v>
      </c>
      <c r="AA381" s="113" cm="1">
        <f t="array" ref="AA381">IF(U381="",0,IF(U381="hybrid-Sch",_xlfn.XLOOKUP(E381&amp;U381&amp;F381,tab_act&amp;tab_mod&amp;tab_act1,tab_ls)*SchLS*T381/MGMT,_xlfn.XLOOKUP(E381&amp;U381&amp;F381,tab_act&amp;tab_mod&amp;tab_act1,tab_ls)*V381*T381/MGMT))</f>
        <v>0</v>
      </c>
      <c r="AB381" s="113" cm="1">
        <f t="array" ref="AB381">IF(U381="",0,_xlfn.XLOOKUP(E381&amp;U381&amp;F381,tab_act&amp;tab_mod&amp;tab_act1,tab_hu)*V381*T381/MGMT)</f>
        <v>0.23880000000000001</v>
      </c>
      <c r="AC381" s="113" cm="1">
        <f t="array" ref="AC381">IF(U381="",0,_xlfn.XLOOKUP(E381&amp;U381&amp;F381,tab_act&amp;tab_mod&amp;tab_act1,tab_mnp)*V381*T381/MGMT)</f>
        <v>0</v>
      </c>
      <c r="AD381" s="113" cm="1">
        <f t="array" ref="AD381">IF(U381="",0,_xlfn.XLOOKUP(E381&amp;U381&amp;F381,tab_act&amp;tab_mod&amp;tab_act1,tab_Psup)*V381*T381/MGMT)</f>
        <v>0</v>
      </c>
      <c r="AE381" s="113" cm="1">
        <f t="array" ref="AE381">IF(U381="",0,_xlfn.XLOOKUP(E381&amp;U381&amp;F381,tab_act&amp;tab_mod&amp;tab_act1,tab_csb1)*V381*T381/MGMT)</f>
        <v>2.3879999999999999</v>
      </c>
      <c r="AF381" s="113" cm="1">
        <f t="array" ref="AF381">IF(U381="",0,_xlfn.XLOOKUP(E381&amp;U381&amp;F381,tab_act&amp;tab_mod&amp;tab_act1,tab_csb2)*V381*T381/MGMT)</f>
        <v>0</v>
      </c>
      <c r="AG381" s="113" cm="1">
        <f t="array" ref="AG381">IF(U381="",0,_xlfn.XLOOKUP(E381&amp;U381&amp;F381,tab_act&amp;tab_mod&amp;tab_act1,tab_pdoz)*V381*T381/MGMT)</f>
        <v>0</v>
      </c>
      <c r="AH381" s="113" cm="1">
        <f t="array" ref="AH381">IF(U381="",0,_xlfn.XLOOKUP(E381&amp;U381&amp;F381,tab_act&amp;tab_mod&amp;tab_act1,tab_lns)*V381*T381/MGMT)</f>
        <v>0</v>
      </c>
      <c r="AI381" s="114">
        <f t="shared" si="27"/>
        <v>2.6267999999999998</v>
      </c>
      <c r="AJ381" s="115" cm="1">
        <f t="array" ref="AJ381">IF(U381="",0,_xlfn.XLOOKUP(E381&amp;U381&amp;F381,tab_act&amp;tab_mod&amp;tab_act1,tab_cash)*T381)</f>
        <v>0</v>
      </c>
      <c r="AK381" s="148" cm="1">
        <f t="array" ref="AK381">IF(B381="",0,IF(C381="",0,AJ381/_xlfn.XLOOKUP(B381&amp;C381,RMth&amp;RYr,RAr)))</f>
        <v>0</v>
      </c>
      <c r="AL381" s="90"/>
      <c r="AM381" s="90"/>
      <c r="AN381" s="141" t="s">
        <v>248</v>
      </c>
    </row>
    <row r="382" spans="2:40" x14ac:dyDescent="0.35">
      <c r="B382" s="50" t="s">
        <v>130</v>
      </c>
      <c r="C382" s="44">
        <v>2023</v>
      </c>
      <c r="D382" s="44" t="s">
        <v>100</v>
      </c>
      <c r="E382" s="15" t="s">
        <v>39</v>
      </c>
      <c r="F382" s="15" t="s">
        <v>117</v>
      </c>
      <c r="G382" s="15" t="s">
        <v>159</v>
      </c>
      <c r="H382" s="44"/>
      <c r="I382" s="15" t="s">
        <v>213</v>
      </c>
      <c r="J382" s="15" t="s">
        <v>91</v>
      </c>
      <c r="K382" s="15" t="s">
        <v>97</v>
      </c>
      <c r="L382" s="15" t="s">
        <v>212</v>
      </c>
      <c r="M382" s="15" t="s">
        <v>158</v>
      </c>
      <c r="N382" s="15" t="s">
        <v>68</v>
      </c>
      <c r="O382" s="15" t="s">
        <v>102</v>
      </c>
      <c r="P382" s="15" t="s">
        <v>229</v>
      </c>
      <c r="Q382" s="135"/>
      <c r="R382" s="42">
        <v>182</v>
      </c>
      <c r="S382" s="42">
        <f t="shared" si="28"/>
        <v>182</v>
      </c>
      <c r="T382" s="43">
        <f t="shared" si="29"/>
        <v>182</v>
      </c>
      <c r="U382" s="15" t="s">
        <v>41</v>
      </c>
      <c r="V382" s="150">
        <v>30</v>
      </c>
      <c r="W382" s="111" cm="1">
        <f t="array" ref="W382">IF(U382="",0,_xlfn.XLOOKUP(E382&amp;U382&amp;F382,tab_act&amp;tab_mod&amp;tab_act1,tab_riz)*V382*T382/MGMT)</f>
        <v>0</v>
      </c>
      <c r="X382" s="112" cm="1">
        <f t="array" ref="X382">IF(U382="",0,_xlfn.XLOOKUP(E382&amp;U382&amp;F382,tab_act&amp;tab_mod&amp;tab_act1,tab_mc)*V382*T382/MGMT)</f>
        <v>0</v>
      </c>
      <c r="Y382" s="112" cm="1">
        <f t="array" ref="Y382">IF(U382="",0,_xlfn.XLOOKUP(E382&amp;U382&amp;F382,tab_act&amp;tab_mod&amp;tab_act1,tab_sor)*V382*T382/MGMT)</f>
        <v>0</v>
      </c>
      <c r="Z382" s="112" cm="1">
        <f t="array" ref="Z382">IF(U382="",0,_xlfn.XLOOKUP(E382&amp;U382&amp;F382,tab_act&amp;tab_mod&amp;tab_act1,tab_mg)*V382*T382/MGMT)</f>
        <v>0</v>
      </c>
      <c r="AA382" s="113" cm="1">
        <f t="array" ref="AA382">IF(U382="",0,IF(U382="hybrid-Sch",_xlfn.XLOOKUP(E382&amp;U382&amp;F382,tab_act&amp;tab_mod&amp;tab_act1,tab_ls)*SchLS*T382/MGMT,_xlfn.XLOOKUP(E382&amp;U382&amp;F382,tab_act&amp;tab_mod&amp;tab_act1,tab_ls)*V382*T382/MGMT))</f>
        <v>0</v>
      </c>
      <c r="AB382" s="113" cm="1">
        <f t="array" ref="AB382">IF(U382="",0,_xlfn.XLOOKUP(E382&amp;U382&amp;F382,tab_act&amp;tab_mod&amp;tab_act1,tab_hu)*V382*T382/MGMT)</f>
        <v>0.10920000000000001</v>
      </c>
      <c r="AC382" s="113" cm="1">
        <f t="array" ref="AC382">IF(U382="",0,_xlfn.XLOOKUP(E382&amp;U382&amp;F382,tab_act&amp;tab_mod&amp;tab_act1,tab_mnp)*V382*T382/MGMT)</f>
        <v>0</v>
      </c>
      <c r="AD382" s="113" cm="1">
        <f t="array" ref="AD382">IF(U382="",0,_xlfn.XLOOKUP(E382&amp;U382&amp;F382,tab_act&amp;tab_mod&amp;tab_act1,tab_Psup)*V382*T382/MGMT)</f>
        <v>0</v>
      </c>
      <c r="AE382" s="113" cm="1">
        <f t="array" ref="AE382">IF(U382="",0,_xlfn.XLOOKUP(E382&amp;U382&amp;F382,tab_act&amp;tab_mod&amp;tab_act1,tab_csb1)*V382*T382/MGMT)</f>
        <v>1.0920000000000001</v>
      </c>
      <c r="AF382" s="113" cm="1">
        <f t="array" ref="AF382">IF(U382="",0,_xlfn.XLOOKUP(E382&amp;U382&amp;F382,tab_act&amp;tab_mod&amp;tab_act1,tab_csb2)*V382*T382/MGMT)</f>
        <v>0</v>
      </c>
      <c r="AG382" s="113" cm="1">
        <f t="array" ref="AG382">IF(U382="",0,_xlfn.XLOOKUP(E382&amp;U382&amp;F382,tab_act&amp;tab_mod&amp;tab_act1,tab_pdoz)*V382*T382/MGMT)</f>
        <v>0</v>
      </c>
      <c r="AH382" s="113" cm="1">
        <f t="array" ref="AH382">IF(U382="",0,_xlfn.XLOOKUP(E382&amp;U382&amp;F382,tab_act&amp;tab_mod&amp;tab_act1,tab_lns)*V382*T382/MGMT)</f>
        <v>0</v>
      </c>
      <c r="AI382" s="114">
        <f t="shared" si="27"/>
        <v>1.2012</v>
      </c>
      <c r="AJ382" s="115" cm="1">
        <f t="array" ref="AJ382">IF(U382="",0,_xlfn.XLOOKUP(E382&amp;U382&amp;F382,tab_act&amp;tab_mod&amp;tab_act1,tab_cash)*T382)</f>
        <v>0</v>
      </c>
      <c r="AK382" s="148" cm="1">
        <f t="array" ref="AK382">IF(B382="",0,IF(C382="",0,AJ382/_xlfn.XLOOKUP(B382&amp;C382,RMth&amp;RYr,RAr)))</f>
        <v>0</v>
      </c>
      <c r="AL382" s="90"/>
      <c r="AM382" s="90"/>
      <c r="AN382" s="141" t="s">
        <v>248</v>
      </c>
    </row>
    <row r="383" spans="2:40" x14ac:dyDescent="0.35">
      <c r="B383" s="50" t="s">
        <v>130</v>
      </c>
      <c r="C383" s="44">
        <v>2023</v>
      </c>
      <c r="D383" s="44" t="s">
        <v>100</v>
      </c>
      <c r="E383" s="15" t="s">
        <v>39</v>
      </c>
      <c r="F383" s="15" t="s">
        <v>117</v>
      </c>
      <c r="G383" s="15" t="s">
        <v>159</v>
      </c>
      <c r="H383" s="44"/>
      <c r="I383" s="15" t="s">
        <v>213</v>
      </c>
      <c r="J383" s="15" t="s">
        <v>91</v>
      </c>
      <c r="K383" s="15" t="s">
        <v>97</v>
      </c>
      <c r="L383" s="15" t="s">
        <v>212</v>
      </c>
      <c r="M383" s="15" t="s">
        <v>158</v>
      </c>
      <c r="N383" s="15" t="s">
        <v>68</v>
      </c>
      <c r="O383" s="15" t="s">
        <v>102</v>
      </c>
      <c r="P383" s="15" t="s">
        <v>230</v>
      </c>
      <c r="Q383" s="135"/>
      <c r="R383" s="42">
        <v>364</v>
      </c>
      <c r="S383" s="42">
        <f t="shared" si="28"/>
        <v>364</v>
      </c>
      <c r="T383" s="43">
        <f t="shared" si="29"/>
        <v>364</v>
      </c>
      <c r="U383" s="15" t="s">
        <v>41</v>
      </c>
      <c r="V383" s="150">
        <v>30</v>
      </c>
      <c r="W383" s="111" cm="1">
        <f t="array" ref="W383">IF(U383="",0,_xlfn.XLOOKUP(E383&amp;U383&amp;F383,tab_act&amp;tab_mod&amp;tab_act1,tab_riz)*V383*T383/MGMT)</f>
        <v>0</v>
      </c>
      <c r="X383" s="112" cm="1">
        <f t="array" ref="X383">IF(U383="",0,_xlfn.XLOOKUP(E383&amp;U383&amp;F383,tab_act&amp;tab_mod&amp;tab_act1,tab_mc)*V383*T383/MGMT)</f>
        <v>0</v>
      </c>
      <c r="Y383" s="112" cm="1">
        <f t="array" ref="Y383">IF(U383="",0,_xlfn.XLOOKUP(E383&amp;U383&amp;F383,tab_act&amp;tab_mod&amp;tab_act1,tab_sor)*V383*T383/MGMT)</f>
        <v>0</v>
      </c>
      <c r="Z383" s="112" cm="1">
        <f t="array" ref="Z383">IF(U383="",0,_xlfn.XLOOKUP(E383&amp;U383&amp;F383,tab_act&amp;tab_mod&amp;tab_act1,tab_mg)*V383*T383/MGMT)</f>
        <v>0</v>
      </c>
      <c r="AA383" s="113" cm="1">
        <f t="array" ref="AA383">IF(U383="",0,IF(U383="hybrid-Sch",_xlfn.XLOOKUP(E383&amp;U383&amp;F383,tab_act&amp;tab_mod&amp;tab_act1,tab_ls)*SchLS*T383/MGMT,_xlfn.XLOOKUP(E383&amp;U383&amp;F383,tab_act&amp;tab_mod&amp;tab_act1,tab_ls)*V383*T383/MGMT))</f>
        <v>0</v>
      </c>
      <c r="AB383" s="113" cm="1">
        <f t="array" ref="AB383">IF(U383="",0,_xlfn.XLOOKUP(E383&amp;U383&amp;F383,tab_act&amp;tab_mod&amp;tab_act1,tab_hu)*V383*T383/MGMT)</f>
        <v>0.21840000000000001</v>
      </c>
      <c r="AC383" s="113" cm="1">
        <f t="array" ref="AC383">IF(U383="",0,_xlfn.XLOOKUP(E383&amp;U383&amp;F383,tab_act&amp;tab_mod&amp;tab_act1,tab_mnp)*V383*T383/MGMT)</f>
        <v>0</v>
      </c>
      <c r="AD383" s="113" cm="1">
        <f t="array" ref="AD383">IF(U383="",0,_xlfn.XLOOKUP(E383&amp;U383&amp;F383,tab_act&amp;tab_mod&amp;tab_act1,tab_Psup)*V383*T383/MGMT)</f>
        <v>0</v>
      </c>
      <c r="AE383" s="113" cm="1">
        <f t="array" ref="AE383">IF(U383="",0,_xlfn.XLOOKUP(E383&amp;U383&amp;F383,tab_act&amp;tab_mod&amp;tab_act1,tab_csb1)*V383*T383/MGMT)</f>
        <v>2.1840000000000002</v>
      </c>
      <c r="AF383" s="113" cm="1">
        <f t="array" ref="AF383">IF(U383="",0,_xlfn.XLOOKUP(E383&amp;U383&amp;F383,tab_act&amp;tab_mod&amp;tab_act1,tab_csb2)*V383*T383/MGMT)</f>
        <v>0</v>
      </c>
      <c r="AG383" s="113" cm="1">
        <f t="array" ref="AG383">IF(U383="",0,_xlfn.XLOOKUP(E383&amp;U383&amp;F383,tab_act&amp;tab_mod&amp;tab_act1,tab_pdoz)*V383*T383/MGMT)</f>
        <v>0</v>
      </c>
      <c r="AH383" s="113" cm="1">
        <f t="array" ref="AH383">IF(U383="",0,_xlfn.XLOOKUP(E383&amp;U383&amp;F383,tab_act&amp;tab_mod&amp;tab_act1,tab_lns)*V383*T383/MGMT)</f>
        <v>0</v>
      </c>
      <c r="AI383" s="114">
        <f t="shared" si="27"/>
        <v>2.4024000000000001</v>
      </c>
      <c r="AJ383" s="115" cm="1">
        <f t="array" ref="AJ383">IF(U383="",0,_xlfn.XLOOKUP(E383&amp;U383&amp;F383,tab_act&amp;tab_mod&amp;tab_act1,tab_cash)*T383)</f>
        <v>0</v>
      </c>
      <c r="AK383" s="148" cm="1">
        <f t="array" ref="AK383">IF(B383="",0,IF(C383="",0,AJ383/_xlfn.XLOOKUP(B383&amp;C383,RMth&amp;RYr,RAr)))</f>
        <v>0</v>
      </c>
      <c r="AL383" s="90"/>
      <c r="AM383" s="90"/>
      <c r="AN383" s="141" t="s">
        <v>248</v>
      </c>
    </row>
    <row r="384" spans="2:40" x14ac:dyDescent="0.35">
      <c r="B384" s="50" t="s">
        <v>130</v>
      </c>
      <c r="C384" s="44">
        <v>2023</v>
      </c>
      <c r="D384" s="44" t="s">
        <v>100</v>
      </c>
      <c r="E384" s="15" t="s">
        <v>39</v>
      </c>
      <c r="F384" s="15" t="s">
        <v>117</v>
      </c>
      <c r="G384" s="15" t="s">
        <v>159</v>
      </c>
      <c r="H384" s="44"/>
      <c r="I384" s="15" t="s">
        <v>213</v>
      </c>
      <c r="J384" s="15" t="s">
        <v>91</v>
      </c>
      <c r="K384" s="15" t="s">
        <v>97</v>
      </c>
      <c r="L384" s="15" t="s">
        <v>212</v>
      </c>
      <c r="M384" s="15" t="s">
        <v>158</v>
      </c>
      <c r="N384" s="15" t="s">
        <v>68</v>
      </c>
      <c r="O384" s="15" t="s">
        <v>102</v>
      </c>
      <c r="P384" s="15" t="s">
        <v>231</v>
      </c>
      <c r="Q384" s="135"/>
      <c r="R384" s="42">
        <v>864</v>
      </c>
      <c r="S384" s="42">
        <f t="shared" ref="S384:S415" si="30">SUM(Q384:R384)</f>
        <v>864</v>
      </c>
      <c r="T384" s="43">
        <f t="shared" ref="T384:T415" si="31">IF(E384="Sch",S384,IF(E384="nutrition",S384,S384/5))</f>
        <v>864</v>
      </c>
      <c r="U384" s="15" t="s">
        <v>41</v>
      </c>
      <c r="V384" s="150">
        <v>30</v>
      </c>
      <c r="W384" s="111" cm="1">
        <f t="array" ref="W384">IF(U384="",0,_xlfn.XLOOKUP(E384&amp;U384&amp;F384,tab_act&amp;tab_mod&amp;tab_act1,tab_riz)*V384*T384/MGMT)</f>
        <v>0</v>
      </c>
      <c r="X384" s="112" cm="1">
        <f t="array" ref="X384">IF(U384="",0,_xlfn.XLOOKUP(E384&amp;U384&amp;F384,tab_act&amp;tab_mod&amp;tab_act1,tab_mc)*V384*T384/MGMT)</f>
        <v>0</v>
      </c>
      <c r="Y384" s="112" cm="1">
        <f t="array" ref="Y384">IF(U384="",0,_xlfn.XLOOKUP(E384&amp;U384&amp;F384,tab_act&amp;tab_mod&amp;tab_act1,tab_sor)*V384*T384/MGMT)</f>
        <v>0</v>
      </c>
      <c r="Z384" s="112" cm="1">
        <f t="array" ref="Z384">IF(U384="",0,_xlfn.XLOOKUP(E384&amp;U384&amp;F384,tab_act&amp;tab_mod&amp;tab_act1,tab_mg)*V384*T384/MGMT)</f>
        <v>0</v>
      </c>
      <c r="AA384" s="113" cm="1">
        <f t="array" ref="AA384">IF(U384="",0,IF(U384="hybrid-Sch",_xlfn.XLOOKUP(E384&amp;U384&amp;F384,tab_act&amp;tab_mod&amp;tab_act1,tab_ls)*SchLS*T384/MGMT,_xlfn.XLOOKUP(E384&amp;U384&amp;F384,tab_act&amp;tab_mod&amp;tab_act1,tab_ls)*V384*T384/MGMT))</f>
        <v>0</v>
      </c>
      <c r="AB384" s="113" cm="1">
        <f t="array" ref="AB384">IF(U384="",0,_xlfn.XLOOKUP(E384&amp;U384&amp;F384,tab_act&amp;tab_mod&amp;tab_act1,tab_hu)*V384*T384/MGMT)</f>
        <v>0.51839999999999997</v>
      </c>
      <c r="AC384" s="113" cm="1">
        <f t="array" ref="AC384">IF(U384="",0,_xlfn.XLOOKUP(E384&amp;U384&amp;F384,tab_act&amp;tab_mod&amp;tab_act1,tab_mnp)*V384*T384/MGMT)</f>
        <v>0</v>
      </c>
      <c r="AD384" s="113" cm="1">
        <f t="array" ref="AD384">IF(U384="",0,_xlfn.XLOOKUP(E384&amp;U384&amp;F384,tab_act&amp;tab_mod&amp;tab_act1,tab_Psup)*V384*T384/MGMT)</f>
        <v>0</v>
      </c>
      <c r="AE384" s="113" cm="1">
        <f t="array" ref="AE384">IF(U384="",0,_xlfn.XLOOKUP(E384&amp;U384&amp;F384,tab_act&amp;tab_mod&amp;tab_act1,tab_csb1)*V384*T384/MGMT)</f>
        <v>5.1840000000000002</v>
      </c>
      <c r="AF384" s="113" cm="1">
        <f t="array" ref="AF384">IF(U384="",0,_xlfn.XLOOKUP(E384&amp;U384&amp;F384,tab_act&amp;tab_mod&amp;tab_act1,tab_csb2)*V384*T384/MGMT)</f>
        <v>0</v>
      </c>
      <c r="AG384" s="113" cm="1">
        <f t="array" ref="AG384">IF(U384="",0,_xlfn.XLOOKUP(E384&amp;U384&amp;F384,tab_act&amp;tab_mod&amp;tab_act1,tab_pdoz)*V384*T384/MGMT)</f>
        <v>0</v>
      </c>
      <c r="AH384" s="113" cm="1">
        <f t="array" ref="AH384">IF(U384="",0,_xlfn.XLOOKUP(E384&amp;U384&amp;F384,tab_act&amp;tab_mod&amp;tab_act1,tab_lns)*V384*T384/MGMT)</f>
        <v>0</v>
      </c>
      <c r="AI384" s="114">
        <f t="shared" ref="AI384:AI447" si="32">SUM(W384:AH384)</f>
        <v>5.7023999999999999</v>
      </c>
      <c r="AJ384" s="115" cm="1">
        <f t="array" ref="AJ384">IF(U384="",0,_xlfn.XLOOKUP(E384&amp;U384&amp;F384,tab_act&amp;tab_mod&amp;tab_act1,tab_cash)*T384)</f>
        <v>0</v>
      </c>
      <c r="AK384" s="148" cm="1">
        <f t="array" ref="AK384">IF(B384="",0,IF(C384="",0,AJ384/_xlfn.XLOOKUP(B384&amp;C384,RMth&amp;RYr,RAr)))</f>
        <v>0</v>
      </c>
      <c r="AL384" s="90"/>
      <c r="AM384" s="90"/>
      <c r="AN384" s="141" t="s">
        <v>248</v>
      </c>
    </row>
    <row r="385" spans="2:40" x14ac:dyDescent="0.35">
      <c r="B385" s="50" t="s">
        <v>130</v>
      </c>
      <c r="C385" s="44">
        <v>2023</v>
      </c>
      <c r="D385" s="44" t="s">
        <v>100</v>
      </c>
      <c r="E385" s="15" t="s">
        <v>39</v>
      </c>
      <c r="F385" s="15" t="s">
        <v>117</v>
      </c>
      <c r="G385" s="15" t="s">
        <v>159</v>
      </c>
      <c r="H385" s="44"/>
      <c r="I385" s="15" t="s">
        <v>213</v>
      </c>
      <c r="J385" s="15" t="s">
        <v>91</v>
      </c>
      <c r="K385" s="15" t="s">
        <v>97</v>
      </c>
      <c r="L385" s="15" t="s">
        <v>212</v>
      </c>
      <c r="M385" s="15" t="s">
        <v>158</v>
      </c>
      <c r="N385" s="15" t="s">
        <v>68</v>
      </c>
      <c r="O385" s="15" t="s">
        <v>102</v>
      </c>
      <c r="P385" s="15" t="s">
        <v>232</v>
      </c>
      <c r="Q385" s="135"/>
      <c r="R385" s="42">
        <v>584</v>
      </c>
      <c r="S385" s="42">
        <f t="shared" si="30"/>
        <v>584</v>
      </c>
      <c r="T385" s="43">
        <f t="shared" si="31"/>
        <v>584</v>
      </c>
      <c r="U385" s="15" t="s">
        <v>41</v>
      </c>
      <c r="V385" s="150">
        <v>30</v>
      </c>
      <c r="W385" s="111" cm="1">
        <f t="array" ref="W385">IF(U385="",0,_xlfn.XLOOKUP(E385&amp;U385&amp;F385,tab_act&amp;tab_mod&amp;tab_act1,tab_riz)*V385*T385/MGMT)</f>
        <v>0</v>
      </c>
      <c r="X385" s="112" cm="1">
        <f t="array" ref="X385">IF(U385="",0,_xlfn.XLOOKUP(E385&amp;U385&amp;F385,tab_act&amp;tab_mod&amp;tab_act1,tab_mc)*V385*T385/MGMT)</f>
        <v>0</v>
      </c>
      <c r="Y385" s="112" cm="1">
        <f t="array" ref="Y385">IF(U385="",0,_xlfn.XLOOKUP(E385&amp;U385&amp;F385,tab_act&amp;tab_mod&amp;tab_act1,tab_sor)*V385*T385/MGMT)</f>
        <v>0</v>
      </c>
      <c r="Z385" s="112" cm="1">
        <f t="array" ref="Z385">IF(U385="",0,_xlfn.XLOOKUP(E385&amp;U385&amp;F385,tab_act&amp;tab_mod&amp;tab_act1,tab_mg)*V385*T385/MGMT)</f>
        <v>0</v>
      </c>
      <c r="AA385" s="113" cm="1">
        <f t="array" ref="AA385">IF(U385="",0,IF(U385="hybrid-Sch",_xlfn.XLOOKUP(E385&amp;U385&amp;F385,tab_act&amp;tab_mod&amp;tab_act1,tab_ls)*SchLS*T385/MGMT,_xlfn.XLOOKUP(E385&amp;U385&amp;F385,tab_act&amp;tab_mod&amp;tab_act1,tab_ls)*V385*T385/MGMT))</f>
        <v>0</v>
      </c>
      <c r="AB385" s="113" cm="1">
        <f t="array" ref="AB385">IF(U385="",0,_xlfn.XLOOKUP(E385&amp;U385&amp;F385,tab_act&amp;tab_mod&amp;tab_act1,tab_hu)*V385*T385/MGMT)</f>
        <v>0.35039999999999999</v>
      </c>
      <c r="AC385" s="113" cm="1">
        <f t="array" ref="AC385">IF(U385="",0,_xlfn.XLOOKUP(E385&amp;U385&amp;F385,tab_act&amp;tab_mod&amp;tab_act1,tab_mnp)*V385*T385/MGMT)</f>
        <v>0</v>
      </c>
      <c r="AD385" s="113" cm="1">
        <f t="array" ref="AD385">IF(U385="",0,_xlfn.XLOOKUP(E385&amp;U385&amp;F385,tab_act&amp;tab_mod&amp;tab_act1,tab_Psup)*V385*T385/MGMT)</f>
        <v>0</v>
      </c>
      <c r="AE385" s="113" cm="1">
        <f t="array" ref="AE385">IF(U385="",0,_xlfn.XLOOKUP(E385&amp;U385&amp;F385,tab_act&amp;tab_mod&amp;tab_act1,tab_csb1)*V385*T385/MGMT)</f>
        <v>3.504</v>
      </c>
      <c r="AF385" s="113" cm="1">
        <f t="array" ref="AF385">IF(U385="",0,_xlfn.XLOOKUP(E385&amp;U385&amp;F385,tab_act&amp;tab_mod&amp;tab_act1,tab_csb2)*V385*T385/MGMT)</f>
        <v>0</v>
      </c>
      <c r="AG385" s="113" cm="1">
        <f t="array" ref="AG385">IF(U385="",0,_xlfn.XLOOKUP(E385&amp;U385&amp;F385,tab_act&amp;tab_mod&amp;tab_act1,tab_pdoz)*V385*T385/MGMT)</f>
        <v>0</v>
      </c>
      <c r="AH385" s="113" cm="1">
        <f t="array" ref="AH385">IF(U385="",0,_xlfn.XLOOKUP(E385&amp;U385&amp;F385,tab_act&amp;tab_mod&amp;tab_act1,tab_lns)*V385*T385/MGMT)</f>
        <v>0</v>
      </c>
      <c r="AI385" s="114">
        <f t="shared" si="32"/>
        <v>3.8544</v>
      </c>
      <c r="AJ385" s="115" cm="1">
        <f t="array" ref="AJ385">IF(U385="",0,_xlfn.XLOOKUP(E385&amp;U385&amp;F385,tab_act&amp;tab_mod&amp;tab_act1,tab_cash)*T385)</f>
        <v>0</v>
      </c>
      <c r="AK385" s="148" cm="1">
        <f t="array" ref="AK385">IF(B385="",0,IF(C385="",0,AJ385/_xlfn.XLOOKUP(B385&amp;C385,RMth&amp;RYr,RAr)))</f>
        <v>0</v>
      </c>
      <c r="AL385" s="90"/>
      <c r="AM385" s="90"/>
      <c r="AN385" s="141" t="s">
        <v>248</v>
      </c>
    </row>
    <row r="386" spans="2:40" x14ac:dyDescent="0.35">
      <c r="B386" s="50" t="s">
        <v>130</v>
      </c>
      <c r="C386" s="44">
        <v>2023</v>
      </c>
      <c r="D386" s="44" t="s">
        <v>100</v>
      </c>
      <c r="E386" s="15" t="s">
        <v>39</v>
      </c>
      <c r="F386" s="15" t="s">
        <v>117</v>
      </c>
      <c r="G386" s="15" t="s">
        <v>159</v>
      </c>
      <c r="H386" s="44"/>
      <c r="I386" s="15" t="s">
        <v>213</v>
      </c>
      <c r="J386" s="15" t="s">
        <v>91</v>
      </c>
      <c r="K386" s="15" t="s">
        <v>97</v>
      </c>
      <c r="L386" s="15" t="s">
        <v>212</v>
      </c>
      <c r="M386" s="15" t="s">
        <v>158</v>
      </c>
      <c r="N386" s="15" t="s">
        <v>68</v>
      </c>
      <c r="O386" s="15" t="s">
        <v>104</v>
      </c>
      <c r="P386" s="15" t="s">
        <v>233</v>
      </c>
      <c r="Q386" s="135"/>
      <c r="R386" s="42">
        <v>1434</v>
      </c>
      <c r="S386" s="42">
        <f t="shared" si="30"/>
        <v>1434</v>
      </c>
      <c r="T386" s="43">
        <f t="shared" si="31"/>
        <v>1434</v>
      </c>
      <c r="U386" s="15" t="s">
        <v>41</v>
      </c>
      <c r="V386" s="150">
        <v>30</v>
      </c>
      <c r="W386" s="111" cm="1">
        <f t="array" ref="W386">IF(U386="",0,_xlfn.XLOOKUP(E386&amp;U386&amp;F386,tab_act&amp;tab_mod&amp;tab_act1,tab_riz)*V386*T386/MGMT)</f>
        <v>0</v>
      </c>
      <c r="X386" s="112" cm="1">
        <f t="array" ref="X386">IF(U386="",0,_xlfn.XLOOKUP(E386&amp;U386&amp;F386,tab_act&amp;tab_mod&amp;tab_act1,tab_mc)*V386*T386/MGMT)</f>
        <v>0</v>
      </c>
      <c r="Y386" s="112" cm="1">
        <f t="array" ref="Y386">IF(U386="",0,_xlfn.XLOOKUP(E386&amp;U386&amp;F386,tab_act&amp;tab_mod&amp;tab_act1,tab_sor)*V386*T386/MGMT)</f>
        <v>0</v>
      </c>
      <c r="Z386" s="112" cm="1">
        <f t="array" ref="Z386">IF(U386="",0,_xlfn.XLOOKUP(E386&amp;U386&amp;F386,tab_act&amp;tab_mod&amp;tab_act1,tab_mg)*V386*T386/MGMT)</f>
        <v>0</v>
      </c>
      <c r="AA386" s="113" cm="1">
        <f t="array" ref="AA386">IF(U386="",0,IF(U386="hybrid-Sch",_xlfn.XLOOKUP(E386&amp;U386&amp;F386,tab_act&amp;tab_mod&amp;tab_act1,tab_ls)*SchLS*T386/MGMT,_xlfn.XLOOKUP(E386&amp;U386&amp;F386,tab_act&amp;tab_mod&amp;tab_act1,tab_ls)*V386*T386/MGMT))</f>
        <v>0</v>
      </c>
      <c r="AB386" s="113" cm="1">
        <f t="array" ref="AB386">IF(U386="",0,_xlfn.XLOOKUP(E386&amp;U386&amp;F386,tab_act&amp;tab_mod&amp;tab_act1,tab_hu)*V386*T386/MGMT)</f>
        <v>0.86040000000000005</v>
      </c>
      <c r="AC386" s="113" cm="1">
        <f t="array" ref="AC386">IF(U386="",0,_xlfn.XLOOKUP(E386&amp;U386&amp;F386,tab_act&amp;tab_mod&amp;tab_act1,tab_mnp)*V386*T386/MGMT)</f>
        <v>0</v>
      </c>
      <c r="AD386" s="113" cm="1">
        <f t="array" ref="AD386">IF(U386="",0,_xlfn.XLOOKUP(E386&amp;U386&amp;F386,tab_act&amp;tab_mod&amp;tab_act1,tab_Psup)*V386*T386/MGMT)</f>
        <v>0</v>
      </c>
      <c r="AE386" s="113" cm="1">
        <f t="array" ref="AE386">IF(U386="",0,_xlfn.XLOOKUP(E386&amp;U386&amp;F386,tab_act&amp;tab_mod&amp;tab_act1,tab_csb1)*V386*T386/MGMT)</f>
        <v>8.6039999999999992</v>
      </c>
      <c r="AF386" s="113" cm="1">
        <f t="array" ref="AF386">IF(U386="",0,_xlfn.XLOOKUP(E386&amp;U386&amp;F386,tab_act&amp;tab_mod&amp;tab_act1,tab_csb2)*V386*T386/MGMT)</f>
        <v>0</v>
      </c>
      <c r="AG386" s="113" cm="1">
        <f t="array" ref="AG386">IF(U386="",0,_xlfn.XLOOKUP(E386&amp;U386&amp;F386,tab_act&amp;tab_mod&amp;tab_act1,tab_pdoz)*V386*T386/MGMT)</f>
        <v>0</v>
      </c>
      <c r="AH386" s="113" cm="1">
        <f t="array" ref="AH386">IF(U386="",0,_xlfn.XLOOKUP(E386&amp;U386&amp;F386,tab_act&amp;tab_mod&amp;tab_act1,tab_lns)*V386*T386/MGMT)</f>
        <v>0</v>
      </c>
      <c r="AI386" s="114">
        <f t="shared" si="32"/>
        <v>9.4643999999999995</v>
      </c>
      <c r="AJ386" s="115" cm="1">
        <f t="array" ref="AJ386">IF(U386="",0,_xlfn.XLOOKUP(E386&amp;U386&amp;F386,tab_act&amp;tab_mod&amp;tab_act1,tab_cash)*T386)</f>
        <v>0</v>
      </c>
      <c r="AK386" s="148" cm="1">
        <f t="array" ref="AK386">IF(B386="",0,IF(C386="",0,AJ386/_xlfn.XLOOKUP(B386&amp;C386,RMth&amp;RYr,RAr)))</f>
        <v>0</v>
      </c>
      <c r="AL386" s="90"/>
      <c r="AM386" s="90"/>
      <c r="AN386" s="141" t="s">
        <v>248</v>
      </c>
    </row>
    <row r="387" spans="2:40" x14ac:dyDescent="0.35">
      <c r="B387" s="50" t="s">
        <v>130</v>
      </c>
      <c r="C387" s="44">
        <v>2023</v>
      </c>
      <c r="D387" s="44" t="s">
        <v>100</v>
      </c>
      <c r="E387" s="15" t="s">
        <v>39</v>
      </c>
      <c r="F387" s="15" t="s">
        <v>117</v>
      </c>
      <c r="G387" s="15" t="s">
        <v>159</v>
      </c>
      <c r="H387" s="44"/>
      <c r="I387" s="15" t="s">
        <v>213</v>
      </c>
      <c r="J387" s="15" t="s">
        <v>91</v>
      </c>
      <c r="K387" s="15" t="s">
        <v>97</v>
      </c>
      <c r="L387" s="15" t="s">
        <v>212</v>
      </c>
      <c r="M387" s="15" t="s">
        <v>158</v>
      </c>
      <c r="N387" s="15" t="s">
        <v>68</v>
      </c>
      <c r="O387" s="15" t="s">
        <v>104</v>
      </c>
      <c r="P387" s="15" t="s">
        <v>234</v>
      </c>
      <c r="Q387" s="135"/>
      <c r="R387" s="42">
        <v>258</v>
      </c>
      <c r="S387" s="42">
        <f t="shared" si="30"/>
        <v>258</v>
      </c>
      <c r="T387" s="43">
        <f t="shared" si="31"/>
        <v>258</v>
      </c>
      <c r="U387" s="15" t="s">
        <v>41</v>
      </c>
      <c r="V387" s="150">
        <v>30</v>
      </c>
      <c r="W387" s="111" cm="1">
        <f t="array" ref="W387">IF(U387="",0,_xlfn.XLOOKUP(E387&amp;U387&amp;F387,tab_act&amp;tab_mod&amp;tab_act1,tab_riz)*V387*T387/MGMT)</f>
        <v>0</v>
      </c>
      <c r="X387" s="112" cm="1">
        <f t="array" ref="X387">IF(U387="",0,_xlfn.XLOOKUP(E387&amp;U387&amp;F387,tab_act&amp;tab_mod&amp;tab_act1,tab_mc)*V387*T387/MGMT)</f>
        <v>0</v>
      </c>
      <c r="Y387" s="112" cm="1">
        <f t="array" ref="Y387">IF(U387="",0,_xlfn.XLOOKUP(E387&amp;U387&amp;F387,tab_act&amp;tab_mod&amp;tab_act1,tab_sor)*V387*T387/MGMT)</f>
        <v>0</v>
      </c>
      <c r="Z387" s="112" cm="1">
        <f t="array" ref="Z387">IF(U387="",0,_xlfn.XLOOKUP(E387&amp;U387&amp;F387,tab_act&amp;tab_mod&amp;tab_act1,tab_mg)*V387*T387/MGMT)</f>
        <v>0</v>
      </c>
      <c r="AA387" s="113" cm="1">
        <f t="array" ref="AA387">IF(U387="",0,IF(U387="hybrid-Sch",_xlfn.XLOOKUP(E387&amp;U387&amp;F387,tab_act&amp;tab_mod&amp;tab_act1,tab_ls)*SchLS*T387/MGMT,_xlfn.XLOOKUP(E387&amp;U387&amp;F387,tab_act&amp;tab_mod&amp;tab_act1,tab_ls)*V387*T387/MGMT))</f>
        <v>0</v>
      </c>
      <c r="AB387" s="113" cm="1">
        <f t="array" ref="AB387">IF(U387="",0,_xlfn.XLOOKUP(E387&amp;U387&amp;F387,tab_act&amp;tab_mod&amp;tab_act1,tab_hu)*V387*T387/MGMT)</f>
        <v>0.15479999999999999</v>
      </c>
      <c r="AC387" s="113" cm="1">
        <f t="array" ref="AC387">IF(U387="",0,_xlfn.XLOOKUP(E387&amp;U387&amp;F387,tab_act&amp;tab_mod&amp;tab_act1,tab_mnp)*V387*T387/MGMT)</f>
        <v>0</v>
      </c>
      <c r="AD387" s="113" cm="1">
        <f t="array" ref="AD387">IF(U387="",0,_xlfn.XLOOKUP(E387&amp;U387&amp;F387,tab_act&amp;tab_mod&amp;tab_act1,tab_Psup)*V387*T387/MGMT)</f>
        <v>0</v>
      </c>
      <c r="AE387" s="113" cm="1">
        <f t="array" ref="AE387">IF(U387="",0,_xlfn.XLOOKUP(E387&amp;U387&amp;F387,tab_act&amp;tab_mod&amp;tab_act1,tab_csb1)*V387*T387/MGMT)</f>
        <v>1.548</v>
      </c>
      <c r="AF387" s="113" cm="1">
        <f t="array" ref="AF387">IF(U387="",0,_xlfn.XLOOKUP(E387&amp;U387&amp;F387,tab_act&amp;tab_mod&amp;tab_act1,tab_csb2)*V387*T387/MGMT)</f>
        <v>0</v>
      </c>
      <c r="AG387" s="113" cm="1">
        <f t="array" ref="AG387">IF(U387="",0,_xlfn.XLOOKUP(E387&amp;U387&amp;F387,tab_act&amp;tab_mod&amp;tab_act1,tab_pdoz)*V387*T387/MGMT)</f>
        <v>0</v>
      </c>
      <c r="AH387" s="113" cm="1">
        <f t="array" ref="AH387">IF(U387="",0,_xlfn.XLOOKUP(E387&amp;U387&amp;F387,tab_act&amp;tab_mod&amp;tab_act1,tab_lns)*V387*T387/MGMT)</f>
        <v>0</v>
      </c>
      <c r="AI387" s="114">
        <f t="shared" si="32"/>
        <v>1.7028000000000001</v>
      </c>
      <c r="AJ387" s="115" cm="1">
        <f t="array" ref="AJ387">IF(U387="",0,_xlfn.XLOOKUP(E387&amp;U387&amp;F387,tab_act&amp;tab_mod&amp;tab_act1,tab_cash)*T387)</f>
        <v>0</v>
      </c>
      <c r="AK387" s="148" cm="1">
        <f t="array" ref="AK387">IF(B387="",0,IF(C387="",0,AJ387/_xlfn.XLOOKUP(B387&amp;C387,RMth&amp;RYr,RAr)))</f>
        <v>0</v>
      </c>
      <c r="AL387" s="90"/>
      <c r="AM387" s="90"/>
      <c r="AN387" s="141" t="s">
        <v>248</v>
      </c>
    </row>
    <row r="388" spans="2:40" x14ac:dyDescent="0.35">
      <c r="B388" s="50" t="s">
        <v>130</v>
      </c>
      <c r="C388" s="44">
        <v>2023</v>
      </c>
      <c r="D388" s="44" t="s">
        <v>100</v>
      </c>
      <c r="E388" s="15" t="s">
        <v>39</v>
      </c>
      <c r="F388" s="15" t="s">
        <v>117</v>
      </c>
      <c r="G388" s="15" t="s">
        <v>159</v>
      </c>
      <c r="H388" s="44"/>
      <c r="I388" s="15" t="s">
        <v>213</v>
      </c>
      <c r="J388" s="15" t="s">
        <v>91</v>
      </c>
      <c r="K388" s="15" t="s">
        <v>97</v>
      </c>
      <c r="L388" s="15" t="s">
        <v>212</v>
      </c>
      <c r="M388" s="15" t="s">
        <v>158</v>
      </c>
      <c r="N388" s="15" t="s">
        <v>68</v>
      </c>
      <c r="O388" s="15" t="s">
        <v>104</v>
      </c>
      <c r="P388" s="15" t="s">
        <v>235</v>
      </c>
      <c r="Q388" s="135"/>
      <c r="R388" s="42">
        <v>342</v>
      </c>
      <c r="S388" s="42">
        <f t="shared" si="30"/>
        <v>342</v>
      </c>
      <c r="T388" s="43">
        <f t="shared" si="31"/>
        <v>342</v>
      </c>
      <c r="U388" s="15" t="s">
        <v>41</v>
      </c>
      <c r="V388" s="150">
        <v>30</v>
      </c>
      <c r="W388" s="111" cm="1">
        <f t="array" ref="W388">IF(U388="",0,_xlfn.XLOOKUP(E388&amp;U388&amp;F388,tab_act&amp;tab_mod&amp;tab_act1,tab_riz)*V388*T388/MGMT)</f>
        <v>0</v>
      </c>
      <c r="X388" s="112" cm="1">
        <f t="array" ref="X388">IF(U388="",0,_xlfn.XLOOKUP(E388&amp;U388&amp;F388,tab_act&amp;tab_mod&amp;tab_act1,tab_mc)*V388*T388/MGMT)</f>
        <v>0</v>
      </c>
      <c r="Y388" s="112" cm="1">
        <f t="array" ref="Y388">IF(U388="",0,_xlfn.XLOOKUP(E388&amp;U388&amp;F388,tab_act&amp;tab_mod&amp;tab_act1,tab_sor)*V388*T388/MGMT)</f>
        <v>0</v>
      </c>
      <c r="Z388" s="112" cm="1">
        <f t="array" ref="Z388">IF(U388="",0,_xlfn.XLOOKUP(E388&amp;U388&amp;F388,tab_act&amp;tab_mod&amp;tab_act1,tab_mg)*V388*T388/MGMT)</f>
        <v>0</v>
      </c>
      <c r="AA388" s="113" cm="1">
        <f t="array" ref="AA388">IF(U388="",0,IF(U388="hybrid-Sch",_xlfn.XLOOKUP(E388&amp;U388&amp;F388,tab_act&amp;tab_mod&amp;tab_act1,tab_ls)*SchLS*T388/MGMT,_xlfn.XLOOKUP(E388&amp;U388&amp;F388,tab_act&amp;tab_mod&amp;tab_act1,tab_ls)*V388*T388/MGMT))</f>
        <v>0</v>
      </c>
      <c r="AB388" s="113" cm="1">
        <f t="array" ref="AB388">IF(U388="",0,_xlfn.XLOOKUP(E388&amp;U388&amp;F388,tab_act&amp;tab_mod&amp;tab_act1,tab_hu)*V388*T388/MGMT)</f>
        <v>0.20519999999999999</v>
      </c>
      <c r="AC388" s="113" cm="1">
        <f t="array" ref="AC388">IF(U388="",0,_xlfn.XLOOKUP(E388&amp;U388&amp;F388,tab_act&amp;tab_mod&amp;tab_act1,tab_mnp)*V388*T388/MGMT)</f>
        <v>0</v>
      </c>
      <c r="AD388" s="113" cm="1">
        <f t="array" ref="AD388">IF(U388="",0,_xlfn.XLOOKUP(E388&amp;U388&amp;F388,tab_act&amp;tab_mod&amp;tab_act1,tab_Psup)*V388*T388/MGMT)</f>
        <v>0</v>
      </c>
      <c r="AE388" s="113" cm="1">
        <f t="array" ref="AE388">IF(U388="",0,_xlfn.XLOOKUP(E388&amp;U388&amp;F388,tab_act&amp;tab_mod&amp;tab_act1,tab_csb1)*V388*T388/MGMT)</f>
        <v>2.052</v>
      </c>
      <c r="AF388" s="113" cm="1">
        <f t="array" ref="AF388">IF(U388="",0,_xlfn.XLOOKUP(E388&amp;U388&amp;F388,tab_act&amp;tab_mod&amp;tab_act1,tab_csb2)*V388*T388/MGMT)</f>
        <v>0</v>
      </c>
      <c r="AG388" s="113" cm="1">
        <f t="array" ref="AG388">IF(U388="",0,_xlfn.XLOOKUP(E388&amp;U388&amp;F388,tab_act&amp;tab_mod&amp;tab_act1,tab_pdoz)*V388*T388/MGMT)</f>
        <v>0</v>
      </c>
      <c r="AH388" s="113" cm="1">
        <f t="array" ref="AH388">IF(U388="",0,_xlfn.XLOOKUP(E388&amp;U388&amp;F388,tab_act&amp;tab_mod&amp;tab_act1,tab_lns)*V388*T388/MGMT)</f>
        <v>0</v>
      </c>
      <c r="AI388" s="114">
        <f t="shared" si="32"/>
        <v>2.2572000000000001</v>
      </c>
      <c r="AJ388" s="115" cm="1">
        <f t="array" ref="AJ388">IF(U388="",0,_xlfn.XLOOKUP(E388&amp;U388&amp;F388,tab_act&amp;tab_mod&amp;tab_act1,tab_cash)*T388)</f>
        <v>0</v>
      </c>
      <c r="AK388" s="148" cm="1">
        <f t="array" ref="AK388">IF(B388="",0,IF(C388="",0,AJ388/_xlfn.XLOOKUP(B388&amp;C388,RMth&amp;RYr,RAr)))</f>
        <v>0</v>
      </c>
      <c r="AL388" s="90"/>
      <c r="AM388" s="90"/>
      <c r="AN388" s="141" t="s">
        <v>248</v>
      </c>
    </row>
    <row r="389" spans="2:40" x14ac:dyDescent="0.35">
      <c r="B389" s="50" t="s">
        <v>130</v>
      </c>
      <c r="C389" s="44">
        <v>2023</v>
      </c>
      <c r="D389" s="44" t="s">
        <v>100</v>
      </c>
      <c r="E389" s="15" t="s">
        <v>39</v>
      </c>
      <c r="F389" s="15" t="s">
        <v>117</v>
      </c>
      <c r="G389" s="15" t="s">
        <v>159</v>
      </c>
      <c r="H389" s="44"/>
      <c r="I389" s="15" t="s">
        <v>213</v>
      </c>
      <c r="J389" s="15" t="s">
        <v>91</v>
      </c>
      <c r="K389" s="15" t="s">
        <v>97</v>
      </c>
      <c r="L389" s="15" t="s">
        <v>212</v>
      </c>
      <c r="M389" s="15" t="s">
        <v>158</v>
      </c>
      <c r="N389" s="15" t="s">
        <v>68</v>
      </c>
      <c r="O389" s="15" t="s">
        <v>104</v>
      </c>
      <c r="P389" s="15" t="s">
        <v>236</v>
      </c>
      <c r="Q389" s="135"/>
      <c r="R389" s="42">
        <v>618</v>
      </c>
      <c r="S389" s="42">
        <f t="shared" si="30"/>
        <v>618</v>
      </c>
      <c r="T389" s="43">
        <f t="shared" si="31"/>
        <v>618</v>
      </c>
      <c r="U389" s="15" t="s">
        <v>41</v>
      </c>
      <c r="V389" s="150">
        <v>30</v>
      </c>
      <c r="W389" s="111" cm="1">
        <f t="array" ref="W389">IF(U389="",0,_xlfn.XLOOKUP(E389&amp;U389&amp;F389,tab_act&amp;tab_mod&amp;tab_act1,tab_riz)*V389*T389/MGMT)</f>
        <v>0</v>
      </c>
      <c r="X389" s="112" cm="1">
        <f t="array" ref="X389">IF(U389="",0,_xlfn.XLOOKUP(E389&amp;U389&amp;F389,tab_act&amp;tab_mod&amp;tab_act1,tab_mc)*V389*T389/MGMT)</f>
        <v>0</v>
      </c>
      <c r="Y389" s="112" cm="1">
        <f t="array" ref="Y389">IF(U389="",0,_xlfn.XLOOKUP(E389&amp;U389&amp;F389,tab_act&amp;tab_mod&amp;tab_act1,tab_sor)*V389*T389/MGMT)</f>
        <v>0</v>
      </c>
      <c r="Z389" s="112" cm="1">
        <f t="array" ref="Z389">IF(U389="",0,_xlfn.XLOOKUP(E389&amp;U389&amp;F389,tab_act&amp;tab_mod&amp;tab_act1,tab_mg)*V389*T389/MGMT)</f>
        <v>0</v>
      </c>
      <c r="AA389" s="113" cm="1">
        <f t="array" ref="AA389">IF(U389="",0,IF(U389="hybrid-Sch",_xlfn.XLOOKUP(E389&amp;U389&amp;F389,tab_act&amp;tab_mod&amp;tab_act1,tab_ls)*SchLS*T389/MGMT,_xlfn.XLOOKUP(E389&amp;U389&amp;F389,tab_act&amp;tab_mod&amp;tab_act1,tab_ls)*V389*T389/MGMT))</f>
        <v>0</v>
      </c>
      <c r="AB389" s="113" cm="1">
        <f t="array" ref="AB389">IF(U389="",0,_xlfn.XLOOKUP(E389&amp;U389&amp;F389,tab_act&amp;tab_mod&amp;tab_act1,tab_hu)*V389*T389/MGMT)</f>
        <v>0.37080000000000002</v>
      </c>
      <c r="AC389" s="113" cm="1">
        <f t="array" ref="AC389">IF(U389="",0,_xlfn.XLOOKUP(E389&amp;U389&amp;F389,tab_act&amp;tab_mod&amp;tab_act1,tab_mnp)*V389*T389/MGMT)</f>
        <v>0</v>
      </c>
      <c r="AD389" s="113" cm="1">
        <f t="array" ref="AD389">IF(U389="",0,_xlfn.XLOOKUP(E389&amp;U389&amp;F389,tab_act&amp;tab_mod&amp;tab_act1,tab_Psup)*V389*T389/MGMT)</f>
        <v>0</v>
      </c>
      <c r="AE389" s="113" cm="1">
        <f t="array" ref="AE389">IF(U389="",0,_xlfn.XLOOKUP(E389&amp;U389&amp;F389,tab_act&amp;tab_mod&amp;tab_act1,tab_csb1)*V389*T389/MGMT)</f>
        <v>3.7080000000000002</v>
      </c>
      <c r="AF389" s="113" cm="1">
        <f t="array" ref="AF389">IF(U389="",0,_xlfn.XLOOKUP(E389&amp;U389&amp;F389,tab_act&amp;tab_mod&amp;tab_act1,tab_csb2)*V389*T389/MGMT)</f>
        <v>0</v>
      </c>
      <c r="AG389" s="113" cm="1">
        <f t="array" ref="AG389">IF(U389="",0,_xlfn.XLOOKUP(E389&amp;U389&amp;F389,tab_act&amp;tab_mod&amp;tab_act1,tab_pdoz)*V389*T389/MGMT)</f>
        <v>0</v>
      </c>
      <c r="AH389" s="113" cm="1">
        <f t="array" ref="AH389">IF(U389="",0,_xlfn.XLOOKUP(E389&amp;U389&amp;F389,tab_act&amp;tab_mod&amp;tab_act1,tab_lns)*V389*T389/MGMT)</f>
        <v>0</v>
      </c>
      <c r="AI389" s="114">
        <f t="shared" si="32"/>
        <v>4.0788000000000002</v>
      </c>
      <c r="AJ389" s="115" cm="1">
        <f t="array" ref="AJ389">IF(U389="",0,_xlfn.XLOOKUP(E389&amp;U389&amp;F389,tab_act&amp;tab_mod&amp;tab_act1,tab_cash)*T389)</f>
        <v>0</v>
      </c>
      <c r="AK389" s="148" cm="1">
        <f t="array" ref="AK389">IF(B389="",0,IF(C389="",0,AJ389/_xlfn.XLOOKUP(B389&amp;C389,RMth&amp;RYr,RAr)))</f>
        <v>0</v>
      </c>
      <c r="AL389" s="90"/>
      <c r="AM389" s="90"/>
      <c r="AN389" s="141" t="s">
        <v>248</v>
      </c>
    </row>
    <row r="390" spans="2:40" x14ac:dyDescent="0.35">
      <c r="B390" s="50" t="s">
        <v>130</v>
      </c>
      <c r="C390" s="44">
        <v>2023</v>
      </c>
      <c r="D390" s="44" t="s">
        <v>100</v>
      </c>
      <c r="E390" s="15" t="s">
        <v>39</v>
      </c>
      <c r="F390" s="15" t="s">
        <v>117</v>
      </c>
      <c r="G390" s="15" t="s">
        <v>159</v>
      </c>
      <c r="H390" s="44"/>
      <c r="I390" s="15" t="s">
        <v>213</v>
      </c>
      <c r="J390" s="15" t="s">
        <v>91</v>
      </c>
      <c r="K390" s="15" t="s">
        <v>97</v>
      </c>
      <c r="L390" s="15" t="s">
        <v>212</v>
      </c>
      <c r="M390" s="15" t="s">
        <v>158</v>
      </c>
      <c r="N390" s="15" t="s">
        <v>68</v>
      </c>
      <c r="O390" s="15" t="s">
        <v>103</v>
      </c>
      <c r="P390" s="15" t="s">
        <v>237</v>
      </c>
      <c r="Q390" s="135"/>
      <c r="R390" s="42">
        <v>454</v>
      </c>
      <c r="S390" s="42">
        <f t="shared" si="30"/>
        <v>454</v>
      </c>
      <c r="T390" s="43">
        <f t="shared" si="31"/>
        <v>454</v>
      </c>
      <c r="U390" s="15" t="s">
        <v>41</v>
      </c>
      <c r="V390" s="150">
        <v>30</v>
      </c>
      <c r="W390" s="111" cm="1">
        <f t="array" ref="W390">IF(U390="",0,_xlfn.XLOOKUP(E390&amp;U390&amp;F390,tab_act&amp;tab_mod&amp;tab_act1,tab_riz)*V390*T390/MGMT)</f>
        <v>0</v>
      </c>
      <c r="X390" s="112" cm="1">
        <f t="array" ref="X390">IF(U390="",0,_xlfn.XLOOKUP(E390&amp;U390&amp;F390,tab_act&amp;tab_mod&amp;tab_act1,tab_mc)*V390*T390/MGMT)</f>
        <v>0</v>
      </c>
      <c r="Y390" s="112" cm="1">
        <f t="array" ref="Y390">IF(U390="",0,_xlfn.XLOOKUP(E390&amp;U390&amp;F390,tab_act&amp;tab_mod&amp;tab_act1,tab_sor)*V390*T390/MGMT)</f>
        <v>0</v>
      </c>
      <c r="Z390" s="112" cm="1">
        <f t="array" ref="Z390">IF(U390="",0,_xlfn.XLOOKUP(E390&amp;U390&amp;F390,tab_act&amp;tab_mod&amp;tab_act1,tab_mg)*V390*T390/MGMT)</f>
        <v>0</v>
      </c>
      <c r="AA390" s="113" cm="1">
        <f t="array" ref="AA390">IF(U390="",0,IF(U390="hybrid-Sch",_xlfn.XLOOKUP(E390&amp;U390&amp;F390,tab_act&amp;tab_mod&amp;tab_act1,tab_ls)*SchLS*T390/MGMT,_xlfn.XLOOKUP(E390&amp;U390&amp;F390,tab_act&amp;tab_mod&amp;tab_act1,tab_ls)*V390*T390/MGMT))</f>
        <v>0</v>
      </c>
      <c r="AB390" s="113" cm="1">
        <f t="array" ref="AB390">IF(U390="",0,_xlfn.XLOOKUP(E390&amp;U390&amp;F390,tab_act&amp;tab_mod&amp;tab_act1,tab_hu)*V390*T390/MGMT)</f>
        <v>0.27239999999999998</v>
      </c>
      <c r="AC390" s="113" cm="1">
        <f t="array" ref="AC390">IF(U390="",0,_xlfn.XLOOKUP(E390&amp;U390&amp;F390,tab_act&amp;tab_mod&amp;tab_act1,tab_mnp)*V390*T390/MGMT)</f>
        <v>0</v>
      </c>
      <c r="AD390" s="113" cm="1">
        <f t="array" ref="AD390">IF(U390="",0,_xlfn.XLOOKUP(E390&amp;U390&amp;F390,tab_act&amp;tab_mod&amp;tab_act1,tab_Psup)*V390*T390/MGMT)</f>
        <v>0</v>
      </c>
      <c r="AE390" s="113" cm="1">
        <f t="array" ref="AE390">IF(U390="",0,_xlfn.XLOOKUP(E390&amp;U390&amp;F390,tab_act&amp;tab_mod&amp;tab_act1,tab_csb1)*V390*T390/MGMT)</f>
        <v>2.7240000000000002</v>
      </c>
      <c r="AF390" s="113" cm="1">
        <f t="array" ref="AF390">IF(U390="",0,_xlfn.XLOOKUP(E390&amp;U390&amp;F390,tab_act&amp;tab_mod&amp;tab_act1,tab_csb2)*V390*T390/MGMT)</f>
        <v>0</v>
      </c>
      <c r="AG390" s="113" cm="1">
        <f t="array" ref="AG390">IF(U390="",0,_xlfn.XLOOKUP(E390&amp;U390&amp;F390,tab_act&amp;tab_mod&amp;tab_act1,tab_pdoz)*V390*T390/MGMT)</f>
        <v>0</v>
      </c>
      <c r="AH390" s="113" cm="1">
        <f t="array" ref="AH390">IF(U390="",0,_xlfn.XLOOKUP(E390&amp;U390&amp;F390,tab_act&amp;tab_mod&amp;tab_act1,tab_lns)*V390*T390/MGMT)</f>
        <v>0</v>
      </c>
      <c r="AI390" s="114">
        <f t="shared" si="32"/>
        <v>2.9964000000000004</v>
      </c>
      <c r="AJ390" s="115" cm="1">
        <f t="array" ref="AJ390">IF(U390="",0,_xlfn.XLOOKUP(E390&amp;U390&amp;F390,tab_act&amp;tab_mod&amp;tab_act1,tab_cash)*T390)</f>
        <v>0</v>
      </c>
      <c r="AK390" s="148" cm="1">
        <f t="array" ref="AK390">IF(B390="",0,IF(C390="",0,AJ390/_xlfn.XLOOKUP(B390&amp;C390,RMth&amp;RYr,RAr)))</f>
        <v>0</v>
      </c>
      <c r="AL390" s="90"/>
      <c r="AM390" s="90"/>
      <c r="AN390" s="141" t="s">
        <v>248</v>
      </c>
    </row>
    <row r="391" spans="2:40" x14ac:dyDescent="0.35">
      <c r="B391" s="50" t="s">
        <v>130</v>
      </c>
      <c r="C391" s="44">
        <v>2023</v>
      </c>
      <c r="D391" s="44" t="s">
        <v>100</v>
      </c>
      <c r="E391" s="15" t="s">
        <v>39</v>
      </c>
      <c r="F391" s="15" t="s">
        <v>117</v>
      </c>
      <c r="G391" s="15" t="s">
        <v>159</v>
      </c>
      <c r="H391" s="44"/>
      <c r="I391" s="15" t="s">
        <v>213</v>
      </c>
      <c r="J391" s="15" t="s">
        <v>91</v>
      </c>
      <c r="K391" s="15" t="s">
        <v>97</v>
      </c>
      <c r="L391" s="15" t="s">
        <v>212</v>
      </c>
      <c r="M391" s="15" t="s">
        <v>158</v>
      </c>
      <c r="N391" s="15" t="s">
        <v>68</v>
      </c>
      <c r="O391" s="15" t="s">
        <v>103</v>
      </c>
      <c r="P391" s="15" t="s">
        <v>238</v>
      </c>
      <c r="Q391" s="135"/>
      <c r="R391" s="42">
        <v>616</v>
      </c>
      <c r="S391" s="42">
        <f t="shared" si="30"/>
        <v>616</v>
      </c>
      <c r="T391" s="43">
        <f t="shared" si="31"/>
        <v>616</v>
      </c>
      <c r="U391" s="15" t="s">
        <v>41</v>
      </c>
      <c r="V391" s="150">
        <v>30</v>
      </c>
      <c r="W391" s="111" cm="1">
        <f t="array" ref="W391">IF(U391="",0,_xlfn.XLOOKUP(E391&amp;U391&amp;F391,tab_act&amp;tab_mod&amp;tab_act1,tab_riz)*V391*T391/MGMT)</f>
        <v>0</v>
      </c>
      <c r="X391" s="112" cm="1">
        <f t="array" ref="X391">IF(U391="",0,_xlfn.XLOOKUP(E391&amp;U391&amp;F391,tab_act&amp;tab_mod&amp;tab_act1,tab_mc)*V391*T391/MGMT)</f>
        <v>0</v>
      </c>
      <c r="Y391" s="112" cm="1">
        <f t="array" ref="Y391">IF(U391="",0,_xlfn.XLOOKUP(E391&amp;U391&amp;F391,tab_act&amp;tab_mod&amp;tab_act1,tab_sor)*V391*T391/MGMT)</f>
        <v>0</v>
      </c>
      <c r="Z391" s="112" cm="1">
        <f t="array" ref="Z391">IF(U391="",0,_xlfn.XLOOKUP(E391&amp;U391&amp;F391,tab_act&amp;tab_mod&amp;tab_act1,tab_mg)*V391*T391/MGMT)</f>
        <v>0</v>
      </c>
      <c r="AA391" s="113" cm="1">
        <f t="array" ref="AA391">IF(U391="",0,IF(U391="hybrid-Sch",_xlfn.XLOOKUP(E391&amp;U391&amp;F391,tab_act&amp;tab_mod&amp;tab_act1,tab_ls)*SchLS*T391/MGMT,_xlfn.XLOOKUP(E391&amp;U391&amp;F391,tab_act&amp;tab_mod&amp;tab_act1,tab_ls)*V391*T391/MGMT))</f>
        <v>0</v>
      </c>
      <c r="AB391" s="113" cm="1">
        <f t="array" ref="AB391">IF(U391="",0,_xlfn.XLOOKUP(E391&amp;U391&amp;F391,tab_act&amp;tab_mod&amp;tab_act1,tab_hu)*V391*T391/MGMT)</f>
        <v>0.36959999999999998</v>
      </c>
      <c r="AC391" s="113" cm="1">
        <f t="array" ref="AC391">IF(U391="",0,_xlfn.XLOOKUP(E391&amp;U391&amp;F391,tab_act&amp;tab_mod&amp;tab_act1,tab_mnp)*V391*T391/MGMT)</f>
        <v>0</v>
      </c>
      <c r="AD391" s="113" cm="1">
        <f t="array" ref="AD391">IF(U391="",0,_xlfn.XLOOKUP(E391&amp;U391&amp;F391,tab_act&amp;tab_mod&amp;tab_act1,tab_Psup)*V391*T391/MGMT)</f>
        <v>0</v>
      </c>
      <c r="AE391" s="113" cm="1">
        <f t="array" ref="AE391">IF(U391="",0,_xlfn.XLOOKUP(E391&amp;U391&amp;F391,tab_act&amp;tab_mod&amp;tab_act1,tab_csb1)*V391*T391/MGMT)</f>
        <v>3.6960000000000002</v>
      </c>
      <c r="AF391" s="113" cm="1">
        <f t="array" ref="AF391">IF(U391="",0,_xlfn.XLOOKUP(E391&amp;U391&amp;F391,tab_act&amp;tab_mod&amp;tab_act1,tab_csb2)*V391*T391/MGMT)</f>
        <v>0</v>
      </c>
      <c r="AG391" s="113" cm="1">
        <f t="array" ref="AG391">IF(U391="",0,_xlfn.XLOOKUP(E391&amp;U391&amp;F391,tab_act&amp;tab_mod&amp;tab_act1,tab_pdoz)*V391*T391/MGMT)</f>
        <v>0</v>
      </c>
      <c r="AH391" s="113" cm="1">
        <f t="array" ref="AH391">IF(U391="",0,_xlfn.XLOOKUP(E391&amp;U391&amp;F391,tab_act&amp;tab_mod&amp;tab_act1,tab_lns)*V391*T391/MGMT)</f>
        <v>0</v>
      </c>
      <c r="AI391" s="114">
        <f t="shared" si="32"/>
        <v>4.0655999999999999</v>
      </c>
      <c r="AJ391" s="115" cm="1">
        <f t="array" ref="AJ391">IF(U391="",0,_xlfn.XLOOKUP(E391&amp;U391&amp;F391,tab_act&amp;tab_mod&amp;tab_act1,tab_cash)*T391)</f>
        <v>0</v>
      </c>
      <c r="AK391" s="148" cm="1">
        <f t="array" ref="AK391">IF(B391="",0,IF(C391="",0,AJ391/_xlfn.XLOOKUP(B391&amp;C391,RMth&amp;RYr,RAr)))</f>
        <v>0</v>
      </c>
      <c r="AL391" s="90"/>
      <c r="AM391" s="90"/>
      <c r="AN391" s="141" t="s">
        <v>248</v>
      </c>
    </row>
    <row r="392" spans="2:40" x14ac:dyDescent="0.35">
      <c r="B392" s="50" t="s">
        <v>130</v>
      </c>
      <c r="C392" s="44">
        <v>2023</v>
      </c>
      <c r="D392" s="44" t="s">
        <v>100</v>
      </c>
      <c r="E392" s="15" t="s">
        <v>39</v>
      </c>
      <c r="F392" s="15" t="s">
        <v>117</v>
      </c>
      <c r="G392" s="15" t="s">
        <v>159</v>
      </c>
      <c r="H392" s="44"/>
      <c r="I392" s="15" t="s">
        <v>213</v>
      </c>
      <c r="J392" s="15" t="s">
        <v>91</v>
      </c>
      <c r="K392" s="15" t="s">
        <v>97</v>
      </c>
      <c r="L392" s="15" t="s">
        <v>212</v>
      </c>
      <c r="M392" s="15" t="s">
        <v>158</v>
      </c>
      <c r="N392" s="15" t="s">
        <v>68</v>
      </c>
      <c r="O392" s="15" t="s">
        <v>103</v>
      </c>
      <c r="P392" s="15" t="s">
        <v>239</v>
      </c>
      <c r="Q392" s="135"/>
      <c r="R392" s="42">
        <v>482</v>
      </c>
      <c r="S392" s="42">
        <f t="shared" si="30"/>
        <v>482</v>
      </c>
      <c r="T392" s="43">
        <f t="shared" si="31"/>
        <v>482</v>
      </c>
      <c r="U392" s="15" t="s">
        <v>41</v>
      </c>
      <c r="V392" s="150">
        <v>30</v>
      </c>
      <c r="W392" s="111" cm="1">
        <f t="array" ref="W392">IF(U392="",0,_xlfn.XLOOKUP(E392&amp;U392&amp;F392,tab_act&amp;tab_mod&amp;tab_act1,tab_riz)*V392*T392/MGMT)</f>
        <v>0</v>
      </c>
      <c r="X392" s="112" cm="1">
        <f t="array" ref="X392">IF(U392="",0,_xlfn.XLOOKUP(E392&amp;U392&amp;F392,tab_act&amp;tab_mod&amp;tab_act1,tab_mc)*V392*T392/MGMT)</f>
        <v>0</v>
      </c>
      <c r="Y392" s="112" cm="1">
        <f t="array" ref="Y392">IF(U392="",0,_xlfn.XLOOKUP(E392&amp;U392&amp;F392,tab_act&amp;tab_mod&amp;tab_act1,tab_sor)*V392*T392/MGMT)</f>
        <v>0</v>
      </c>
      <c r="Z392" s="112" cm="1">
        <f t="array" ref="Z392">IF(U392="",0,_xlfn.XLOOKUP(E392&amp;U392&amp;F392,tab_act&amp;tab_mod&amp;tab_act1,tab_mg)*V392*T392/MGMT)</f>
        <v>0</v>
      </c>
      <c r="AA392" s="113" cm="1">
        <f t="array" ref="AA392">IF(U392="",0,IF(U392="hybrid-Sch",_xlfn.XLOOKUP(E392&amp;U392&amp;F392,tab_act&amp;tab_mod&amp;tab_act1,tab_ls)*SchLS*T392/MGMT,_xlfn.XLOOKUP(E392&amp;U392&amp;F392,tab_act&amp;tab_mod&amp;tab_act1,tab_ls)*V392*T392/MGMT))</f>
        <v>0</v>
      </c>
      <c r="AB392" s="113" cm="1">
        <f t="array" ref="AB392">IF(U392="",0,_xlfn.XLOOKUP(E392&amp;U392&amp;F392,tab_act&amp;tab_mod&amp;tab_act1,tab_hu)*V392*T392/MGMT)</f>
        <v>0.28920000000000001</v>
      </c>
      <c r="AC392" s="113" cm="1">
        <f t="array" ref="AC392">IF(U392="",0,_xlfn.XLOOKUP(E392&amp;U392&amp;F392,tab_act&amp;tab_mod&amp;tab_act1,tab_mnp)*V392*T392/MGMT)</f>
        <v>0</v>
      </c>
      <c r="AD392" s="113" cm="1">
        <f t="array" ref="AD392">IF(U392="",0,_xlfn.XLOOKUP(E392&amp;U392&amp;F392,tab_act&amp;tab_mod&amp;tab_act1,tab_Psup)*V392*T392/MGMT)</f>
        <v>0</v>
      </c>
      <c r="AE392" s="113" cm="1">
        <f t="array" ref="AE392">IF(U392="",0,_xlfn.XLOOKUP(E392&amp;U392&amp;F392,tab_act&amp;tab_mod&amp;tab_act1,tab_csb1)*V392*T392/MGMT)</f>
        <v>2.8919999999999999</v>
      </c>
      <c r="AF392" s="113" cm="1">
        <f t="array" ref="AF392">IF(U392="",0,_xlfn.XLOOKUP(E392&amp;U392&amp;F392,tab_act&amp;tab_mod&amp;tab_act1,tab_csb2)*V392*T392/MGMT)</f>
        <v>0</v>
      </c>
      <c r="AG392" s="113" cm="1">
        <f t="array" ref="AG392">IF(U392="",0,_xlfn.XLOOKUP(E392&amp;U392&amp;F392,tab_act&amp;tab_mod&amp;tab_act1,tab_pdoz)*V392*T392/MGMT)</f>
        <v>0</v>
      </c>
      <c r="AH392" s="113" cm="1">
        <f t="array" ref="AH392">IF(U392="",0,_xlfn.XLOOKUP(E392&amp;U392&amp;F392,tab_act&amp;tab_mod&amp;tab_act1,tab_lns)*V392*T392/MGMT)</f>
        <v>0</v>
      </c>
      <c r="AI392" s="114">
        <f t="shared" si="32"/>
        <v>3.1812</v>
      </c>
      <c r="AJ392" s="115" cm="1">
        <f t="array" ref="AJ392">IF(U392="",0,_xlfn.XLOOKUP(E392&amp;U392&amp;F392,tab_act&amp;tab_mod&amp;tab_act1,tab_cash)*T392)</f>
        <v>0</v>
      </c>
      <c r="AK392" s="148" cm="1">
        <f t="array" ref="AK392">IF(B392="",0,IF(C392="",0,AJ392/_xlfn.XLOOKUP(B392&amp;C392,RMth&amp;RYr,RAr)))</f>
        <v>0</v>
      </c>
      <c r="AL392" s="90"/>
      <c r="AM392" s="90"/>
      <c r="AN392" s="141" t="s">
        <v>248</v>
      </c>
    </row>
    <row r="393" spans="2:40" x14ac:dyDescent="0.35">
      <c r="B393" s="50" t="s">
        <v>130</v>
      </c>
      <c r="C393" s="44">
        <v>2023</v>
      </c>
      <c r="D393" s="44" t="s">
        <v>100</v>
      </c>
      <c r="E393" s="15" t="s">
        <v>39</v>
      </c>
      <c r="F393" s="15" t="s">
        <v>117</v>
      </c>
      <c r="G393" s="15" t="s">
        <v>159</v>
      </c>
      <c r="H393" s="44"/>
      <c r="I393" s="15" t="s">
        <v>213</v>
      </c>
      <c r="J393" s="15" t="s">
        <v>91</v>
      </c>
      <c r="K393" s="15" t="s">
        <v>97</v>
      </c>
      <c r="L393" s="15" t="s">
        <v>212</v>
      </c>
      <c r="M393" s="15" t="s">
        <v>158</v>
      </c>
      <c r="N393" s="15" t="s">
        <v>68</v>
      </c>
      <c r="O393" s="15" t="s">
        <v>103</v>
      </c>
      <c r="P393" s="15" t="s">
        <v>240</v>
      </c>
      <c r="Q393" s="135"/>
      <c r="R393" s="42">
        <v>450</v>
      </c>
      <c r="S393" s="42">
        <f t="shared" si="30"/>
        <v>450</v>
      </c>
      <c r="T393" s="43">
        <f t="shared" si="31"/>
        <v>450</v>
      </c>
      <c r="U393" s="15" t="s">
        <v>41</v>
      </c>
      <c r="V393" s="150">
        <v>30</v>
      </c>
      <c r="W393" s="111" cm="1">
        <f t="array" ref="W393">IF(U393="",0,_xlfn.XLOOKUP(E393&amp;U393&amp;F393,tab_act&amp;tab_mod&amp;tab_act1,tab_riz)*V393*T393/MGMT)</f>
        <v>0</v>
      </c>
      <c r="X393" s="112" cm="1">
        <f t="array" ref="X393">IF(U393="",0,_xlfn.XLOOKUP(E393&amp;U393&amp;F393,tab_act&amp;tab_mod&amp;tab_act1,tab_mc)*V393*T393/MGMT)</f>
        <v>0</v>
      </c>
      <c r="Y393" s="112" cm="1">
        <f t="array" ref="Y393">IF(U393="",0,_xlfn.XLOOKUP(E393&amp;U393&amp;F393,tab_act&amp;tab_mod&amp;tab_act1,tab_sor)*V393*T393/MGMT)</f>
        <v>0</v>
      </c>
      <c r="Z393" s="112" cm="1">
        <f t="array" ref="Z393">IF(U393="",0,_xlfn.XLOOKUP(E393&amp;U393&amp;F393,tab_act&amp;tab_mod&amp;tab_act1,tab_mg)*V393*T393/MGMT)</f>
        <v>0</v>
      </c>
      <c r="AA393" s="113" cm="1">
        <f t="array" ref="AA393">IF(U393="",0,IF(U393="hybrid-Sch",_xlfn.XLOOKUP(E393&amp;U393&amp;F393,tab_act&amp;tab_mod&amp;tab_act1,tab_ls)*SchLS*T393/MGMT,_xlfn.XLOOKUP(E393&amp;U393&amp;F393,tab_act&amp;tab_mod&amp;tab_act1,tab_ls)*V393*T393/MGMT))</f>
        <v>0</v>
      </c>
      <c r="AB393" s="113" cm="1">
        <f t="array" ref="AB393">IF(U393="",0,_xlfn.XLOOKUP(E393&amp;U393&amp;F393,tab_act&amp;tab_mod&amp;tab_act1,tab_hu)*V393*T393/MGMT)</f>
        <v>0.27</v>
      </c>
      <c r="AC393" s="113" cm="1">
        <f t="array" ref="AC393">IF(U393="",0,_xlfn.XLOOKUP(E393&amp;U393&amp;F393,tab_act&amp;tab_mod&amp;tab_act1,tab_mnp)*V393*T393/MGMT)</f>
        <v>0</v>
      </c>
      <c r="AD393" s="113" cm="1">
        <f t="array" ref="AD393">IF(U393="",0,_xlfn.XLOOKUP(E393&amp;U393&amp;F393,tab_act&amp;tab_mod&amp;tab_act1,tab_Psup)*V393*T393/MGMT)</f>
        <v>0</v>
      </c>
      <c r="AE393" s="113" cm="1">
        <f t="array" ref="AE393">IF(U393="",0,_xlfn.XLOOKUP(E393&amp;U393&amp;F393,tab_act&amp;tab_mod&amp;tab_act1,tab_csb1)*V393*T393/MGMT)</f>
        <v>2.7</v>
      </c>
      <c r="AF393" s="113" cm="1">
        <f t="array" ref="AF393">IF(U393="",0,_xlfn.XLOOKUP(E393&amp;U393&amp;F393,tab_act&amp;tab_mod&amp;tab_act1,tab_csb2)*V393*T393/MGMT)</f>
        <v>0</v>
      </c>
      <c r="AG393" s="113" cm="1">
        <f t="array" ref="AG393">IF(U393="",0,_xlfn.XLOOKUP(E393&amp;U393&amp;F393,tab_act&amp;tab_mod&amp;tab_act1,tab_pdoz)*V393*T393/MGMT)</f>
        <v>0</v>
      </c>
      <c r="AH393" s="113" cm="1">
        <f t="array" ref="AH393">IF(U393="",0,_xlfn.XLOOKUP(E393&amp;U393&amp;F393,tab_act&amp;tab_mod&amp;tab_act1,tab_lns)*V393*T393/MGMT)</f>
        <v>0</v>
      </c>
      <c r="AI393" s="114">
        <f t="shared" si="32"/>
        <v>2.97</v>
      </c>
      <c r="AJ393" s="115" cm="1">
        <f t="array" ref="AJ393">IF(U393="",0,_xlfn.XLOOKUP(E393&amp;U393&amp;F393,tab_act&amp;tab_mod&amp;tab_act1,tab_cash)*T393)</f>
        <v>0</v>
      </c>
      <c r="AK393" s="148" cm="1">
        <f t="array" ref="AK393">IF(B393="",0,IF(C393="",0,AJ393/_xlfn.XLOOKUP(B393&amp;C393,RMth&amp;RYr,RAr)))</f>
        <v>0</v>
      </c>
      <c r="AL393" s="90"/>
      <c r="AM393" s="90"/>
      <c r="AN393" s="141" t="s">
        <v>248</v>
      </c>
    </row>
    <row r="394" spans="2:40" x14ac:dyDescent="0.35">
      <c r="B394" s="50" t="s">
        <v>130</v>
      </c>
      <c r="C394" s="44">
        <v>2023</v>
      </c>
      <c r="D394" s="44" t="s">
        <v>100</v>
      </c>
      <c r="E394" s="15" t="s">
        <v>39</v>
      </c>
      <c r="F394" s="15" t="s">
        <v>117</v>
      </c>
      <c r="G394" s="15" t="s">
        <v>159</v>
      </c>
      <c r="H394" s="44"/>
      <c r="I394" s="15" t="s">
        <v>213</v>
      </c>
      <c r="J394" s="15" t="s">
        <v>91</v>
      </c>
      <c r="K394" s="15" t="s">
        <v>97</v>
      </c>
      <c r="L394" s="15" t="s">
        <v>212</v>
      </c>
      <c r="M394" s="15" t="s">
        <v>158</v>
      </c>
      <c r="N394" s="15" t="s">
        <v>68</v>
      </c>
      <c r="O394" s="15" t="s">
        <v>103</v>
      </c>
      <c r="P394" s="15" t="s">
        <v>241</v>
      </c>
      <c r="Q394" s="135"/>
      <c r="R394" s="42">
        <v>338</v>
      </c>
      <c r="S394" s="42">
        <f t="shared" si="30"/>
        <v>338</v>
      </c>
      <c r="T394" s="43">
        <f t="shared" si="31"/>
        <v>338</v>
      </c>
      <c r="U394" s="15" t="s">
        <v>41</v>
      </c>
      <c r="V394" s="150">
        <v>30</v>
      </c>
      <c r="W394" s="111" cm="1">
        <f t="array" ref="W394">IF(U394="",0,_xlfn.XLOOKUP(E394&amp;U394&amp;F394,tab_act&amp;tab_mod&amp;tab_act1,tab_riz)*V394*T394/MGMT)</f>
        <v>0</v>
      </c>
      <c r="X394" s="112" cm="1">
        <f t="array" ref="X394">IF(U394="",0,_xlfn.XLOOKUP(E394&amp;U394&amp;F394,tab_act&amp;tab_mod&amp;tab_act1,tab_mc)*V394*T394/MGMT)</f>
        <v>0</v>
      </c>
      <c r="Y394" s="112" cm="1">
        <f t="array" ref="Y394">IF(U394="",0,_xlfn.XLOOKUP(E394&amp;U394&amp;F394,tab_act&amp;tab_mod&amp;tab_act1,tab_sor)*V394*T394/MGMT)</f>
        <v>0</v>
      </c>
      <c r="Z394" s="112" cm="1">
        <f t="array" ref="Z394">IF(U394="",0,_xlfn.XLOOKUP(E394&amp;U394&amp;F394,tab_act&amp;tab_mod&amp;tab_act1,tab_mg)*V394*T394/MGMT)</f>
        <v>0</v>
      </c>
      <c r="AA394" s="113" cm="1">
        <f t="array" ref="AA394">IF(U394="",0,IF(U394="hybrid-Sch",_xlfn.XLOOKUP(E394&amp;U394&amp;F394,tab_act&amp;tab_mod&amp;tab_act1,tab_ls)*SchLS*T394/MGMT,_xlfn.XLOOKUP(E394&amp;U394&amp;F394,tab_act&amp;tab_mod&amp;tab_act1,tab_ls)*V394*T394/MGMT))</f>
        <v>0</v>
      </c>
      <c r="AB394" s="113" cm="1">
        <f t="array" ref="AB394">IF(U394="",0,_xlfn.XLOOKUP(E394&amp;U394&amp;F394,tab_act&amp;tab_mod&amp;tab_act1,tab_hu)*V394*T394/MGMT)</f>
        <v>0.20280000000000001</v>
      </c>
      <c r="AC394" s="113" cm="1">
        <f t="array" ref="AC394">IF(U394="",0,_xlfn.XLOOKUP(E394&amp;U394&amp;F394,tab_act&amp;tab_mod&amp;tab_act1,tab_mnp)*V394*T394/MGMT)</f>
        <v>0</v>
      </c>
      <c r="AD394" s="113" cm="1">
        <f t="array" ref="AD394">IF(U394="",0,_xlfn.XLOOKUP(E394&amp;U394&amp;F394,tab_act&amp;tab_mod&amp;tab_act1,tab_Psup)*V394*T394/MGMT)</f>
        <v>0</v>
      </c>
      <c r="AE394" s="113" cm="1">
        <f t="array" ref="AE394">IF(U394="",0,_xlfn.XLOOKUP(E394&amp;U394&amp;F394,tab_act&amp;tab_mod&amp;tab_act1,tab_csb1)*V394*T394/MGMT)</f>
        <v>2.028</v>
      </c>
      <c r="AF394" s="113" cm="1">
        <f t="array" ref="AF394">IF(U394="",0,_xlfn.XLOOKUP(E394&amp;U394&amp;F394,tab_act&amp;tab_mod&amp;tab_act1,tab_csb2)*V394*T394/MGMT)</f>
        <v>0</v>
      </c>
      <c r="AG394" s="113" cm="1">
        <f t="array" ref="AG394">IF(U394="",0,_xlfn.XLOOKUP(E394&amp;U394&amp;F394,tab_act&amp;tab_mod&amp;tab_act1,tab_pdoz)*V394*T394/MGMT)</f>
        <v>0</v>
      </c>
      <c r="AH394" s="113" cm="1">
        <f t="array" ref="AH394">IF(U394="",0,_xlfn.XLOOKUP(E394&amp;U394&amp;F394,tab_act&amp;tab_mod&amp;tab_act1,tab_lns)*V394*T394/MGMT)</f>
        <v>0</v>
      </c>
      <c r="AI394" s="114">
        <f t="shared" si="32"/>
        <v>2.2307999999999999</v>
      </c>
      <c r="AJ394" s="115" cm="1">
        <f t="array" ref="AJ394">IF(U394="",0,_xlfn.XLOOKUP(E394&amp;U394&amp;F394,tab_act&amp;tab_mod&amp;tab_act1,tab_cash)*T394)</f>
        <v>0</v>
      </c>
      <c r="AK394" s="148" cm="1">
        <f t="array" ref="AK394">IF(B394="",0,IF(C394="",0,AJ394/_xlfn.XLOOKUP(B394&amp;C394,RMth&amp;RYr,RAr)))</f>
        <v>0</v>
      </c>
      <c r="AL394" s="90"/>
      <c r="AM394" s="90"/>
      <c r="AN394" s="141" t="s">
        <v>248</v>
      </c>
    </row>
    <row r="395" spans="2:40" x14ac:dyDescent="0.35">
      <c r="B395" s="50" t="s">
        <v>130</v>
      </c>
      <c r="C395" s="44">
        <v>2023</v>
      </c>
      <c r="D395" s="44" t="s">
        <v>100</v>
      </c>
      <c r="E395" s="15" t="s">
        <v>39</v>
      </c>
      <c r="F395" s="15" t="s">
        <v>117</v>
      </c>
      <c r="G395" s="15" t="s">
        <v>159</v>
      </c>
      <c r="H395" s="44"/>
      <c r="I395" s="15" t="s">
        <v>213</v>
      </c>
      <c r="J395" s="15" t="s">
        <v>91</v>
      </c>
      <c r="K395" s="15" t="s">
        <v>97</v>
      </c>
      <c r="L395" s="15" t="s">
        <v>212</v>
      </c>
      <c r="M395" s="15" t="s">
        <v>158</v>
      </c>
      <c r="N395" s="15" t="s">
        <v>68</v>
      </c>
      <c r="O395" s="15" t="s">
        <v>103</v>
      </c>
      <c r="P395" s="15" t="s">
        <v>242</v>
      </c>
      <c r="Q395" s="135"/>
      <c r="R395" s="42">
        <v>412</v>
      </c>
      <c r="S395" s="42">
        <f t="shared" si="30"/>
        <v>412</v>
      </c>
      <c r="T395" s="43">
        <f t="shared" si="31"/>
        <v>412</v>
      </c>
      <c r="U395" s="15" t="s">
        <v>41</v>
      </c>
      <c r="V395" s="150">
        <v>30</v>
      </c>
      <c r="W395" s="111" cm="1">
        <f t="array" ref="W395">IF(U395="",0,_xlfn.XLOOKUP(E395&amp;U395&amp;F395,tab_act&amp;tab_mod&amp;tab_act1,tab_riz)*V395*T395/MGMT)</f>
        <v>0</v>
      </c>
      <c r="X395" s="112" cm="1">
        <f t="array" ref="X395">IF(U395="",0,_xlfn.XLOOKUP(E395&amp;U395&amp;F395,tab_act&amp;tab_mod&amp;tab_act1,tab_mc)*V395*T395/MGMT)</f>
        <v>0</v>
      </c>
      <c r="Y395" s="112" cm="1">
        <f t="array" ref="Y395">IF(U395="",0,_xlfn.XLOOKUP(E395&amp;U395&amp;F395,tab_act&amp;tab_mod&amp;tab_act1,tab_sor)*V395*T395/MGMT)</f>
        <v>0</v>
      </c>
      <c r="Z395" s="112" cm="1">
        <f t="array" ref="Z395">IF(U395="",0,_xlfn.XLOOKUP(E395&amp;U395&amp;F395,tab_act&amp;tab_mod&amp;tab_act1,tab_mg)*V395*T395/MGMT)</f>
        <v>0</v>
      </c>
      <c r="AA395" s="113" cm="1">
        <f t="array" ref="AA395">IF(U395="",0,IF(U395="hybrid-Sch",_xlfn.XLOOKUP(E395&amp;U395&amp;F395,tab_act&amp;tab_mod&amp;tab_act1,tab_ls)*SchLS*T395/MGMT,_xlfn.XLOOKUP(E395&amp;U395&amp;F395,tab_act&amp;tab_mod&amp;tab_act1,tab_ls)*V395*T395/MGMT))</f>
        <v>0</v>
      </c>
      <c r="AB395" s="113" cm="1">
        <f t="array" ref="AB395">IF(U395="",0,_xlfn.XLOOKUP(E395&amp;U395&amp;F395,tab_act&amp;tab_mod&amp;tab_act1,tab_hu)*V395*T395/MGMT)</f>
        <v>0.2472</v>
      </c>
      <c r="AC395" s="113" cm="1">
        <f t="array" ref="AC395">IF(U395="",0,_xlfn.XLOOKUP(E395&amp;U395&amp;F395,tab_act&amp;tab_mod&amp;tab_act1,tab_mnp)*V395*T395/MGMT)</f>
        <v>0</v>
      </c>
      <c r="AD395" s="113" cm="1">
        <f t="array" ref="AD395">IF(U395="",0,_xlfn.XLOOKUP(E395&amp;U395&amp;F395,tab_act&amp;tab_mod&amp;tab_act1,tab_Psup)*V395*T395/MGMT)</f>
        <v>0</v>
      </c>
      <c r="AE395" s="113" cm="1">
        <f t="array" ref="AE395">IF(U395="",0,_xlfn.XLOOKUP(E395&amp;U395&amp;F395,tab_act&amp;tab_mod&amp;tab_act1,tab_csb1)*V395*T395/MGMT)</f>
        <v>2.472</v>
      </c>
      <c r="AF395" s="113" cm="1">
        <f t="array" ref="AF395">IF(U395="",0,_xlfn.XLOOKUP(E395&amp;U395&amp;F395,tab_act&amp;tab_mod&amp;tab_act1,tab_csb2)*V395*T395/MGMT)</f>
        <v>0</v>
      </c>
      <c r="AG395" s="113" cm="1">
        <f t="array" ref="AG395">IF(U395="",0,_xlfn.XLOOKUP(E395&amp;U395&amp;F395,tab_act&amp;tab_mod&amp;tab_act1,tab_pdoz)*V395*T395/MGMT)</f>
        <v>0</v>
      </c>
      <c r="AH395" s="113" cm="1">
        <f t="array" ref="AH395">IF(U395="",0,_xlfn.XLOOKUP(E395&amp;U395&amp;F395,tab_act&amp;tab_mod&amp;tab_act1,tab_lns)*V395*T395/MGMT)</f>
        <v>0</v>
      </c>
      <c r="AI395" s="114">
        <f t="shared" si="32"/>
        <v>2.7191999999999998</v>
      </c>
      <c r="AJ395" s="115" cm="1">
        <f t="array" ref="AJ395">IF(U395="",0,_xlfn.XLOOKUP(E395&amp;U395&amp;F395,tab_act&amp;tab_mod&amp;tab_act1,tab_cash)*T395)</f>
        <v>0</v>
      </c>
      <c r="AK395" s="148" cm="1">
        <f t="array" ref="AK395">IF(B395="",0,IF(C395="",0,AJ395/_xlfn.XLOOKUP(B395&amp;C395,RMth&amp;RYr,RAr)))</f>
        <v>0</v>
      </c>
      <c r="AL395" s="90"/>
      <c r="AM395" s="90"/>
      <c r="AN395" s="141" t="s">
        <v>248</v>
      </c>
    </row>
    <row r="396" spans="2:40" x14ac:dyDescent="0.35">
      <c r="B396" s="50" t="s">
        <v>130</v>
      </c>
      <c r="C396" s="44">
        <v>2023</v>
      </c>
      <c r="D396" s="44" t="s">
        <v>100</v>
      </c>
      <c r="E396" s="15" t="s">
        <v>39</v>
      </c>
      <c r="F396" s="15" t="s">
        <v>117</v>
      </c>
      <c r="G396" s="15" t="s">
        <v>159</v>
      </c>
      <c r="H396" s="44"/>
      <c r="I396" s="15" t="s">
        <v>213</v>
      </c>
      <c r="J396" s="15" t="s">
        <v>91</v>
      </c>
      <c r="K396" s="15" t="s">
        <v>97</v>
      </c>
      <c r="L396" s="15" t="s">
        <v>212</v>
      </c>
      <c r="M396" s="15" t="s">
        <v>158</v>
      </c>
      <c r="N396" s="15" t="s">
        <v>68</v>
      </c>
      <c r="O396" s="15" t="s">
        <v>103</v>
      </c>
      <c r="P396" s="15" t="s">
        <v>243</v>
      </c>
      <c r="Q396" s="135"/>
      <c r="R396" s="42">
        <v>448</v>
      </c>
      <c r="S396" s="42">
        <f t="shared" si="30"/>
        <v>448</v>
      </c>
      <c r="T396" s="43">
        <f t="shared" si="31"/>
        <v>448</v>
      </c>
      <c r="U396" s="15" t="s">
        <v>41</v>
      </c>
      <c r="V396" s="150">
        <v>30</v>
      </c>
      <c r="W396" s="111" cm="1">
        <f t="array" ref="W396">IF(U396="",0,_xlfn.XLOOKUP(E396&amp;U396&amp;F396,tab_act&amp;tab_mod&amp;tab_act1,tab_riz)*V396*T396/MGMT)</f>
        <v>0</v>
      </c>
      <c r="X396" s="112" cm="1">
        <f t="array" ref="X396">IF(U396="",0,_xlfn.XLOOKUP(E396&amp;U396&amp;F396,tab_act&amp;tab_mod&amp;tab_act1,tab_mc)*V396*T396/MGMT)</f>
        <v>0</v>
      </c>
      <c r="Y396" s="112" cm="1">
        <f t="array" ref="Y396">IF(U396="",0,_xlfn.XLOOKUP(E396&amp;U396&amp;F396,tab_act&amp;tab_mod&amp;tab_act1,tab_sor)*V396*T396/MGMT)</f>
        <v>0</v>
      </c>
      <c r="Z396" s="112" cm="1">
        <f t="array" ref="Z396">IF(U396="",0,_xlfn.XLOOKUP(E396&amp;U396&amp;F396,tab_act&amp;tab_mod&amp;tab_act1,tab_mg)*V396*T396/MGMT)</f>
        <v>0</v>
      </c>
      <c r="AA396" s="113" cm="1">
        <f t="array" ref="AA396">IF(U396="",0,IF(U396="hybrid-Sch",_xlfn.XLOOKUP(E396&amp;U396&amp;F396,tab_act&amp;tab_mod&amp;tab_act1,tab_ls)*SchLS*T396/MGMT,_xlfn.XLOOKUP(E396&amp;U396&amp;F396,tab_act&amp;tab_mod&amp;tab_act1,tab_ls)*V396*T396/MGMT))</f>
        <v>0</v>
      </c>
      <c r="AB396" s="113" cm="1">
        <f t="array" ref="AB396">IF(U396="",0,_xlfn.XLOOKUP(E396&amp;U396&amp;F396,tab_act&amp;tab_mod&amp;tab_act1,tab_hu)*V396*T396/MGMT)</f>
        <v>0.26879999999999998</v>
      </c>
      <c r="AC396" s="113" cm="1">
        <f t="array" ref="AC396">IF(U396="",0,_xlfn.XLOOKUP(E396&amp;U396&amp;F396,tab_act&amp;tab_mod&amp;tab_act1,tab_mnp)*V396*T396/MGMT)</f>
        <v>0</v>
      </c>
      <c r="AD396" s="113" cm="1">
        <f t="array" ref="AD396">IF(U396="",0,_xlfn.XLOOKUP(E396&amp;U396&amp;F396,tab_act&amp;tab_mod&amp;tab_act1,tab_Psup)*V396*T396/MGMT)</f>
        <v>0</v>
      </c>
      <c r="AE396" s="113" cm="1">
        <f t="array" ref="AE396">IF(U396="",0,_xlfn.XLOOKUP(E396&amp;U396&amp;F396,tab_act&amp;tab_mod&amp;tab_act1,tab_csb1)*V396*T396/MGMT)</f>
        <v>2.6880000000000002</v>
      </c>
      <c r="AF396" s="113" cm="1">
        <f t="array" ref="AF396">IF(U396="",0,_xlfn.XLOOKUP(E396&amp;U396&amp;F396,tab_act&amp;tab_mod&amp;tab_act1,tab_csb2)*V396*T396/MGMT)</f>
        <v>0</v>
      </c>
      <c r="AG396" s="113" cm="1">
        <f t="array" ref="AG396">IF(U396="",0,_xlfn.XLOOKUP(E396&amp;U396&amp;F396,tab_act&amp;tab_mod&amp;tab_act1,tab_pdoz)*V396*T396/MGMT)</f>
        <v>0</v>
      </c>
      <c r="AH396" s="113" cm="1">
        <f t="array" ref="AH396">IF(U396="",0,_xlfn.XLOOKUP(E396&amp;U396&amp;F396,tab_act&amp;tab_mod&amp;tab_act1,tab_lns)*V396*T396/MGMT)</f>
        <v>0</v>
      </c>
      <c r="AI396" s="114">
        <f t="shared" si="32"/>
        <v>2.9568000000000003</v>
      </c>
      <c r="AJ396" s="115" cm="1">
        <f t="array" ref="AJ396">IF(U396="",0,_xlfn.XLOOKUP(E396&amp;U396&amp;F396,tab_act&amp;tab_mod&amp;tab_act1,tab_cash)*T396)</f>
        <v>0</v>
      </c>
      <c r="AK396" s="148" cm="1">
        <f t="array" ref="AK396">IF(B396="",0,IF(C396="",0,AJ396/_xlfn.XLOOKUP(B396&amp;C396,RMth&amp;RYr,RAr)))</f>
        <v>0</v>
      </c>
      <c r="AL396" s="90"/>
      <c r="AM396" s="90"/>
      <c r="AN396" s="141" t="s">
        <v>248</v>
      </c>
    </row>
    <row r="397" spans="2:40" x14ac:dyDescent="0.35">
      <c r="B397" s="116" t="s">
        <v>130</v>
      </c>
      <c r="C397" s="117">
        <v>2023</v>
      </c>
      <c r="D397" s="117" t="s">
        <v>100</v>
      </c>
      <c r="E397" s="118" t="s">
        <v>39</v>
      </c>
      <c r="F397" s="118" t="s">
        <v>117</v>
      </c>
      <c r="G397" s="118" t="s">
        <v>159</v>
      </c>
      <c r="H397" s="117"/>
      <c r="I397" s="118" t="s">
        <v>213</v>
      </c>
      <c r="J397" s="118" t="s">
        <v>91</v>
      </c>
      <c r="K397" s="118" t="s">
        <v>97</v>
      </c>
      <c r="L397" s="118" t="s">
        <v>212</v>
      </c>
      <c r="M397" s="118" t="s">
        <v>158</v>
      </c>
      <c r="N397" s="118" t="s">
        <v>68</v>
      </c>
      <c r="O397" s="118" t="s">
        <v>251</v>
      </c>
      <c r="P397" s="118" t="s">
        <v>251</v>
      </c>
      <c r="Q397" s="136"/>
      <c r="R397" s="136">
        <v>1710</v>
      </c>
      <c r="S397" s="136">
        <f t="shared" si="30"/>
        <v>1710</v>
      </c>
      <c r="T397" s="118">
        <f t="shared" si="31"/>
        <v>1710</v>
      </c>
      <c r="U397" s="118" t="s">
        <v>41</v>
      </c>
      <c r="V397" s="151">
        <v>30</v>
      </c>
      <c r="W397" s="120" cm="1">
        <f t="array" ref="W397">IF(U397="",0,_xlfn.XLOOKUP(E397&amp;U397&amp;F397,tab_act&amp;tab_mod&amp;tab_act1,tab_riz)*V397*T397/MGMT)</f>
        <v>0</v>
      </c>
      <c r="X397" s="121" cm="1">
        <f t="array" ref="X397">IF(U397="",0,_xlfn.XLOOKUP(E397&amp;U397&amp;F397,tab_act&amp;tab_mod&amp;tab_act1,tab_mc)*V397*T397/MGMT)</f>
        <v>0</v>
      </c>
      <c r="Y397" s="121" cm="1">
        <f t="array" ref="Y397">IF(U397="",0,_xlfn.XLOOKUP(E397&amp;U397&amp;F397,tab_act&amp;tab_mod&amp;tab_act1,tab_sor)*V397*T397/MGMT)</f>
        <v>0</v>
      </c>
      <c r="Z397" s="121" cm="1">
        <f t="array" ref="Z397">IF(U397="",0,_xlfn.XLOOKUP(E397&amp;U397&amp;F397,tab_act&amp;tab_mod&amp;tab_act1,tab_mg)*V397*T397/MGMT)</f>
        <v>0</v>
      </c>
      <c r="AA397" s="122" cm="1">
        <f t="array" ref="AA397">IF(U397="",0,IF(U397="hybrid-Sch",_xlfn.XLOOKUP(E397&amp;U397&amp;F397,tab_act&amp;tab_mod&amp;tab_act1,tab_ls)*SchLS*T397/MGMT,_xlfn.XLOOKUP(E397&amp;U397&amp;F397,tab_act&amp;tab_mod&amp;tab_act1,tab_ls)*V397*T397/MGMT))</f>
        <v>0</v>
      </c>
      <c r="AB397" s="122" cm="1">
        <f t="array" ref="AB397">IF(U397="",0,_xlfn.XLOOKUP(E397&amp;U397&amp;F397,tab_act&amp;tab_mod&amp;tab_act1,tab_hu)*V397*T397/MGMT)</f>
        <v>1.026</v>
      </c>
      <c r="AC397" s="122" cm="1">
        <f t="array" ref="AC397">IF(U397="",0,_xlfn.XLOOKUP(E397&amp;U397&amp;F397,tab_act&amp;tab_mod&amp;tab_act1,tab_mnp)*V397*T397/MGMT)</f>
        <v>0</v>
      </c>
      <c r="AD397" s="122" cm="1">
        <f t="array" ref="AD397">IF(U397="",0,_xlfn.XLOOKUP(E397&amp;U397&amp;F397,tab_act&amp;tab_mod&amp;tab_act1,tab_Psup)*V397*T397/MGMT)</f>
        <v>0</v>
      </c>
      <c r="AE397" s="122" cm="1">
        <f t="array" ref="AE397">IF(U397="",0,_xlfn.XLOOKUP(E397&amp;U397&amp;F397,tab_act&amp;tab_mod&amp;tab_act1,tab_csb1)*V397*T397/MGMT)</f>
        <v>10.26</v>
      </c>
      <c r="AF397" s="122" cm="1">
        <f t="array" ref="AF397">IF(U397="",0,_xlfn.XLOOKUP(E397&amp;U397&amp;F397,tab_act&amp;tab_mod&amp;tab_act1,tab_csb2)*V397*T397/MGMT)</f>
        <v>0</v>
      </c>
      <c r="AG397" s="122" cm="1">
        <f t="array" ref="AG397">IF(U397="",0,_xlfn.XLOOKUP(E397&amp;U397&amp;F397,tab_act&amp;tab_mod&amp;tab_act1,tab_pdoz)*V397*T397/MGMT)</f>
        <v>0</v>
      </c>
      <c r="AH397" s="122" cm="1">
        <f t="array" ref="AH397">IF(U397="",0,_xlfn.XLOOKUP(E397&amp;U397&amp;F397,tab_act&amp;tab_mod&amp;tab_act1,tab_lns)*V397*T397/MGMT)</f>
        <v>0</v>
      </c>
      <c r="AI397" s="123">
        <f t="shared" si="32"/>
        <v>11.286</v>
      </c>
      <c r="AJ397" s="124" cm="1">
        <f t="array" ref="AJ397">IF(U397="",0,_xlfn.XLOOKUP(E397&amp;U397&amp;F397,tab_act&amp;tab_mod&amp;tab_act1,tab_cash)*T397)</f>
        <v>0</v>
      </c>
      <c r="AK397" s="139" cm="1">
        <f t="array" ref="AK397">IF(B397="",0,IF(C397="",0,AJ397/_xlfn.XLOOKUP(B397&amp;C397,RMth&amp;RYr,RAr)))</f>
        <v>0</v>
      </c>
      <c r="AL397" s="90"/>
      <c r="AM397" s="90"/>
      <c r="AN397" s="141" t="s">
        <v>248</v>
      </c>
    </row>
    <row r="398" spans="2:40" x14ac:dyDescent="0.35">
      <c r="B398" s="116" t="s">
        <v>130</v>
      </c>
      <c r="C398" s="117">
        <v>2023</v>
      </c>
      <c r="D398" s="117" t="s">
        <v>100</v>
      </c>
      <c r="E398" s="118" t="s">
        <v>39</v>
      </c>
      <c r="F398" s="118" t="s">
        <v>117</v>
      </c>
      <c r="G398" s="118" t="s">
        <v>159</v>
      </c>
      <c r="H398" s="117"/>
      <c r="I398" s="118" t="s">
        <v>213</v>
      </c>
      <c r="J398" s="118" t="s">
        <v>91</v>
      </c>
      <c r="K398" s="118" t="s">
        <v>97</v>
      </c>
      <c r="L398" s="118" t="s">
        <v>246</v>
      </c>
      <c r="M398" s="118" t="s">
        <v>91</v>
      </c>
      <c r="N398" s="118" t="s">
        <v>68</v>
      </c>
      <c r="O398" s="118" t="s">
        <v>247</v>
      </c>
      <c r="P398" s="118" t="s">
        <v>247</v>
      </c>
      <c r="Q398" s="136"/>
      <c r="R398" s="136">
        <v>1610</v>
      </c>
      <c r="S398" s="136">
        <f t="shared" si="30"/>
        <v>1610</v>
      </c>
      <c r="T398" s="118">
        <f t="shared" si="31"/>
        <v>1610</v>
      </c>
      <c r="U398" s="118" t="s">
        <v>41</v>
      </c>
      <c r="V398" s="151">
        <v>30</v>
      </c>
      <c r="W398" s="120" cm="1">
        <f t="array" ref="W398">IF(U398="",0,_xlfn.XLOOKUP(E398&amp;U398&amp;F398,tab_act&amp;tab_mod&amp;tab_act1,tab_riz)*V398*T398/MGMT)</f>
        <v>0</v>
      </c>
      <c r="X398" s="121" cm="1">
        <f t="array" ref="X398">IF(U398="",0,_xlfn.XLOOKUP(E398&amp;U398&amp;F398,tab_act&amp;tab_mod&amp;tab_act1,tab_mc)*V398*T398/MGMT)</f>
        <v>0</v>
      </c>
      <c r="Y398" s="121" cm="1">
        <f t="array" ref="Y398">IF(U398="",0,_xlfn.XLOOKUP(E398&amp;U398&amp;F398,tab_act&amp;tab_mod&amp;tab_act1,tab_sor)*V398*T398/MGMT)</f>
        <v>0</v>
      </c>
      <c r="Z398" s="121" cm="1">
        <f t="array" ref="Z398">IF(U398="",0,_xlfn.XLOOKUP(E398&amp;U398&amp;F398,tab_act&amp;tab_mod&amp;tab_act1,tab_mg)*V398*T398/MGMT)</f>
        <v>0</v>
      </c>
      <c r="AA398" s="122" cm="1">
        <f t="array" ref="AA398">IF(U398="",0,IF(U398="hybrid-Sch",_xlfn.XLOOKUP(E398&amp;U398&amp;F398,tab_act&amp;tab_mod&amp;tab_act1,tab_ls)*SchLS*T398/MGMT,_xlfn.XLOOKUP(E398&amp;U398&amp;F398,tab_act&amp;tab_mod&amp;tab_act1,tab_ls)*V398*T398/MGMT))</f>
        <v>0</v>
      </c>
      <c r="AB398" s="122" cm="1">
        <f t="array" ref="AB398">IF(U398="",0,_xlfn.XLOOKUP(E398&amp;U398&amp;F398,tab_act&amp;tab_mod&amp;tab_act1,tab_hu)*V398*T398/MGMT)</f>
        <v>0.96599999999999997</v>
      </c>
      <c r="AC398" s="122" cm="1">
        <f t="array" ref="AC398">IF(U398="",0,_xlfn.XLOOKUP(E398&amp;U398&amp;F398,tab_act&amp;tab_mod&amp;tab_act1,tab_mnp)*V398*T398/MGMT)</f>
        <v>0</v>
      </c>
      <c r="AD398" s="122" cm="1">
        <f t="array" ref="AD398">IF(U398="",0,_xlfn.XLOOKUP(E398&amp;U398&amp;F398,tab_act&amp;tab_mod&amp;tab_act1,tab_Psup)*V398*T398/MGMT)</f>
        <v>0</v>
      </c>
      <c r="AE398" s="122" cm="1">
        <f t="array" ref="AE398">IF(U398="",0,_xlfn.XLOOKUP(E398&amp;U398&amp;F398,tab_act&amp;tab_mod&amp;tab_act1,tab_csb1)*V398*T398/MGMT)</f>
        <v>9.66</v>
      </c>
      <c r="AF398" s="122" cm="1">
        <f t="array" ref="AF398">IF(U398="",0,_xlfn.XLOOKUP(E398&amp;U398&amp;F398,tab_act&amp;tab_mod&amp;tab_act1,tab_csb2)*V398*T398/MGMT)</f>
        <v>0</v>
      </c>
      <c r="AG398" s="122" cm="1">
        <f t="array" ref="AG398">IF(U398="",0,_xlfn.XLOOKUP(E398&amp;U398&amp;F398,tab_act&amp;tab_mod&amp;tab_act1,tab_pdoz)*V398*T398/MGMT)</f>
        <v>0</v>
      </c>
      <c r="AH398" s="122" cm="1">
        <f t="array" ref="AH398">IF(U398="",0,_xlfn.XLOOKUP(E398&amp;U398&amp;F398,tab_act&amp;tab_mod&amp;tab_act1,tab_lns)*V398*T398/MGMT)</f>
        <v>0</v>
      </c>
      <c r="AI398" s="123">
        <f t="shared" si="32"/>
        <v>10.625999999999999</v>
      </c>
      <c r="AJ398" s="124" cm="1">
        <f t="array" ref="AJ398">IF(U398="",0,_xlfn.XLOOKUP(E398&amp;U398&amp;F398,tab_act&amp;tab_mod&amp;tab_act1,tab_cash)*T398)</f>
        <v>0</v>
      </c>
      <c r="AK398" s="139" cm="1">
        <f t="array" ref="AK398">IF(B398="",0,IF(C398="",0,AJ398/_xlfn.XLOOKUP(B398&amp;C398,RMth&amp;RYr,RAr)))</f>
        <v>0</v>
      </c>
      <c r="AL398" s="90"/>
      <c r="AM398" s="90"/>
      <c r="AN398" s="141" t="s">
        <v>248</v>
      </c>
    </row>
    <row r="399" spans="2:40" x14ac:dyDescent="0.35">
      <c r="B399" s="50" t="s">
        <v>130</v>
      </c>
      <c r="C399" s="44">
        <v>2023</v>
      </c>
      <c r="D399" s="44" t="s">
        <v>100</v>
      </c>
      <c r="E399" s="15" t="s">
        <v>39</v>
      </c>
      <c r="F399" s="108" t="s">
        <v>22</v>
      </c>
      <c r="G399" s="15" t="s">
        <v>159</v>
      </c>
      <c r="H399" s="44"/>
      <c r="I399" s="15" t="s">
        <v>94</v>
      </c>
      <c r="J399" s="15" t="s">
        <v>94</v>
      </c>
      <c r="K399" s="15" t="s">
        <v>160</v>
      </c>
      <c r="L399" s="15" t="s">
        <v>95</v>
      </c>
      <c r="M399" s="15" t="s">
        <v>94</v>
      </c>
      <c r="N399" s="15" t="s">
        <v>67</v>
      </c>
      <c r="O399" s="15" t="s">
        <v>161</v>
      </c>
      <c r="P399" s="43" t="s">
        <v>162</v>
      </c>
      <c r="Q399" s="42">
        <v>245.3</v>
      </c>
      <c r="R399" s="42">
        <v>199.1</v>
      </c>
      <c r="S399" s="42">
        <f t="shared" si="30"/>
        <v>444.4</v>
      </c>
      <c r="T399" s="43">
        <f t="shared" si="31"/>
        <v>444.4</v>
      </c>
      <c r="U399" s="15" t="s">
        <v>41</v>
      </c>
      <c r="V399" s="150">
        <v>30</v>
      </c>
      <c r="W399" s="111" cm="1">
        <f t="array" ref="W399">IF(U399="",0,_xlfn.XLOOKUP(E399&amp;U399&amp;F399,tab_act&amp;tab_mod&amp;tab_act1,tab_riz)*V399*T399/MGMT)</f>
        <v>0</v>
      </c>
      <c r="X399" s="112" cm="1">
        <f t="array" ref="X399">IF(U399="",0,_xlfn.XLOOKUP(E399&amp;U399&amp;F399,tab_act&amp;tab_mod&amp;tab_act1,tab_mc)*V399*T399/MGMT)</f>
        <v>0</v>
      </c>
      <c r="Y399" s="112" cm="1">
        <f t="array" ref="Y399">IF(U399="",0,_xlfn.XLOOKUP(E399&amp;U399&amp;F399,tab_act&amp;tab_mod&amp;tab_act1,tab_sor)*V399*T399/MGMT)</f>
        <v>0</v>
      </c>
      <c r="Z399" s="112" cm="1">
        <f t="array" ref="Z399">IF(U399="",0,_xlfn.XLOOKUP(E399&amp;U399&amp;F399,tab_act&amp;tab_mod&amp;tab_act1,tab_mg)*V399*T399/MGMT)</f>
        <v>0</v>
      </c>
      <c r="AA399" s="113" cm="1">
        <f t="array" ref="AA399">IF(U399="",0,IF(U399="hybrid-Sch",_xlfn.XLOOKUP(E399&amp;U399&amp;F399,tab_act&amp;tab_mod&amp;tab_act1,tab_ls)*SchLS*T399/MGMT,_xlfn.XLOOKUP(E399&amp;U399&amp;F399,tab_act&amp;tab_mod&amp;tab_act1,tab_ls)*V399*T399/MGMT))</f>
        <v>0</v>
      </c>
      <c r="AB399" s="113" cm="1">
        <f t="array" ref="AB399">IF(U399="",0,_xlfn.XLOOKUP(E399&amp;U399&amp;F399,tab_act&amp;tab_mod&amp;tab_act1,tab_hu)*V399*T399/MGMT)</f>
        <v>0</v>
      </c>
      <c r="AC399" s="113" cm="1">
        <f t="array" ref="AC399">IF(U399="",0,_xlfn.XLOOKUP(E399&amp;U399&amp;F399,tab_act&amp;tab_mod&amp;tab_act1,tab_mnp)*V399*T399/MGMT)</f>
        <v>0</v>
      </c>
      <c r="AD399" s="113" cm="1">
        <f t="array" ref="AD399">IF(U399="",0,_xlfn.XLOOKUP(E399&amp;U399&amp;F399,tab_act&amp;tab_mod&amp;tab_act1,tab_Psup)*V399*T399/MGMT)</f>
        <v>0</v>
      </c>
      <c r="AE399" s="113" cm="1">
        <f t="array" ref="AE399">IF(U399="",0,_xlfn.XLOOKUP(E399&amp;U399&amp;F399,tab_act&amp;tab_mod&amp;tab_act1,tab_csb1)*V399*T399/MGMT)</f>
        <v>0</v>
      </c>
      <c r="AF399" s="113" cm="1">
        <f t="array" ref="AF399">IF(U399="",0,_xlfn.XLOOKUP(E399&amp;U399&amp;F399,tab_act&amp;tab_mod&amp;tab_act1,tab_csb2)*V399*T399/MGMT)</f>
        <v>0</v>
      </c>
      <c r="AG399" s="113" cm="1">
        <f t="array" ref="AG399">IF(U399="",0,_xlfn.XLOOKUP(E399&amp;U399&amp;F399,tab_act&amp;tab_mod&amp;tab_act1,tab_pdoz)*V399*T399/MGMT)</f>
        <v>0.66659999999999997</v>
      </c>
      <c r="AH399" s="113" cm="1">
        <f t="array" ref="AH399">IF(U399="",0,_xlfn.XLOOKUP(E399&amp;U399&amp;F399,tab_act&amp;tab_mod&amp;tab_act1,tab_lns)*V399*T399/MGMT)</f>
        <v>0</v>
      </c>
      <c r="AI399" s="114">
        <f t="shared" si="32"/>
        <v>0.66659999999999997</v>
      </c>
      <c r="AJ399" s="115" cm="1">
        <f t="array" ref="AJ399">IF(U399="",0,_xlfn.XLOOKUP(E399&amp;U399&amp;F399,tab_act&amp;tab_mod&amp;tab_act1,tab_cash)*T399)</f>
        <v>0</v>
      </c>
      <c r="AK399" s="148" cm="1">
        <f t="array" ref="AK399">IF(B399="",0,IF(C399="",0,AJ399/_xlfn.XLOOKUP(B399&amp;C399,RMth&amp;RYr,RAr)))</f>
        <v>0</v>
      </c>
      <c r="AL399" s="90"/>
      <c r="AM399" s="90"/>
      <c r="AN399" s="141" t="s">
        <v>248</v>
      </c>
    </row>
    <row r="400" spans="2:40" x14ac:dyDescent="0.35">
      <c r="B400" s="50" t="s">
        <v>130</v>
      </c>
      <c r="C400" s="44">
        <v>2023</v>
      </c>
      <c r="D400" s="44" t="s">
        <v>100</v>
      </c>
      <c r="E400" s="15" t="s">
        <v>39</v>
      </c>
      <c r="F400" s="108" t="s">
        <v>22</v>
      </c>
      <c r="G400" s="15" t="s">
        <v>159</v>
      </c>
      <c r="H400" s="44"/>
      <c r="I400" s="15" t="s">
        <v>94</v>
      </c>
      <c r="J400" s="15" t="s">
        <v>94</v>
      </c>
      <c r="K400" s="15" t="s">
        <v>160</v>
      </c>
      <c r="L400" s="15" t="s">
        <v>95</v>
      </c>
      <c r="M400" s="15" t="s">
        <v>94</v>
      </c>
      <c r="N400" s="15" t="s">
        <v>67</v>
      </c>
      <c r="O400" s="15" t="s">
        <v>161</v>
      </c>
      <c r="P400" s="43" t="s">
        <v>163</v>
      </c>
      <c r="Q400" s="42">
        <v>35.200000000000003</v>
      </c>
      <c r="R400" s="42">
        <v>31.9</v>
      </c>
      <c r="S400" s="42">
        <f t="shared" si="30"/>
        <v>67.099999999999994</v>
      </c>
      <c r="T400" s="43">
        <f t="shared" si="31"/>
        <v>67.099999999999994</v>
      </c>
      <c r="U400" s="15" t="s">
        <v>41</v>
      </c>
      <c r="V400" s="150">
        <v>30</v>
      </c>
      <c r="W400" s="111" cm="1">
        <f t="array" ref="W400">IF(U400="",0,_xlfn.XLOOKUP(E400&amp;U400&amp;F400,tab_act&amp;tab_mod&amp;tab_act1,tab_riz)*V400*T400/MGMT)</f>
        <v>0</v>
      </c>
      <c r="X400" s="112" cm="1">
        <f t="array" ref="X400">IF(U400="",0,_xlfn.XLOOKUP(E400&amp;U400&amp;F400,tab_act&amp;tab_mod&amp;tab_act1,tab_mc)*V400*T400/MGMT)</f>
        <v>0</v>
      </c>
      <c r="Y400" s="112" cm="1">
        <f t="array" ref="Y400">IF(U400="",0,_xlfn.XLOOKUP(E400&amp;U400&amp;F400,tab_act&amp;tab_mod&amp;tab_act1,tab_sor)*V400*T400/MGMT)</f>
        <v>0</v>
      </c>
      <c r="Z400" s="112" cm="1">
        <f t="array" ref="Z400">IF(U400="",0,_xlfn.XLOOKUP(E400&amp;U400&amp;F400,tab_act&amp;tab_mod&amp;tab_act1,tab_mg)*V400*T400/MGMT)</f>
        <v>0</v>
      </c>
      <c r="AA400" s="113" cm="1">
        <f t="array" ref="AA400">IF(U400="",0,IF(U400="hybrid-Sch",_xlfn.XLOOKUP(E400&amp;U400&amp;F400,tab_act&amp;tab_mod&amp;tab_act1,tab_ls)*SchLS*T400/MGMT,_xlfn.XLOOKUP(E400&amp;U400&amp;F400,tab_act&amp;tab_mod&amp;tab_act1,tab_ls)*V400*T400/MGMT))</f>
        <v>0</v>
      </c>
      <c r="AB400" s="113" cm="1">
        <f t="array" ref="AB400">IF(U400="",0,_xlfn.XLOOKUP(E400&amp;U400&amp;F400,tab_act&amp;tab_mod&amp;tab_act1,tab_hu)*V400*T400/MGMT)</f>
        <v>0</v>
      </c>
      <c r="AC400" s="113" cm="1">
        <f t="array" ref="AC400">IF(U400="",0,_xlfn.XLOOKUP(E400&amp;U400&amp;F400,tab_act&amp;tab_mod&amp;tab_act1,tab_mnp)*V400*T400/MGMT)</f>
        <v>0</v>
      </c>
      <c r="AD400" s="113" cm="1">
        <f t="array" ref="AD400">IF(U400="",0,_xlfn.XLOOKUP(E400&amp;U400&amp;F400,tab_act&amp;tab_mod&amp;tab_act1,tab_Psup)*V400*T400/MGMT)</f>
        <v>0</v>
      </c>
      <c r="AE400" s="113" cm="1">
        <f t="array" ref="AE400">IF(U400="",0,_xlfn.XLOOKUP(E400&amp;U400&amp;F400,tab_act&amp;tab_mod&amp;tab_act1,tab_csb1)*V400*T400/MGMT)</f>
        <v>0</v>
      </c>
      <c r="AF400" s="113" cm="1">
        <f t="array" ref="AF400">IF(U400="",0,_xlfn.XLOOKUP(E400&amp;U400&amp;F400,tab_act&amp;tab_mod&amp;tab_act1,tab_csb2)*V400*T400/MGMT)</f>
        <v>0</v>
      </c>
      <c r="AG400" s="113" cm="1">
        <f t="array" ref="AG400">IF(U400="",0,_xlfn.XLOOKUP(E400&amp;U400&amp;F400,tab_act&amp;tab_mod&amp;tab_act1,tab_pdoz)*V400*T400/MGMT)</f>
        <v>0.10064999999999999</v>
      </c>
      <c r="AH400" s="113" cm="1">
        <f t="array" ref="AH400">IF(U400="",0,_xlfn.XLOOKUP(E400&amp;U400&amp;F400,tab_act&amp;tab_mod&amp;tab_act1,tab_lns)*V400*T400/MGMT)</f>
        <v>0</v>
      </c>
      <c r="AI400" s="114">
        <f t="shared" si="32"/>
        <v>0.10064999999999999</v>
      </c>
      <c r="AJ400" s="115" cm="1">
        <f t="array" ref="AJ400">IF(U400="",0,_xlfn.XLOOKUP(E400&amp;U400&amp;F400,tab_act&amp;tab_mod&amp;tab_act1,tab_cash)*T400)</f>
        <v>0</v>
      </c>
      <c r="AK400" s="148" cm="1">
        <f t="array" ref="AK400">IF(B400="",0,IF(C400="",0,AJ400/_xlfn.XLOOKUP(B400&amp;C400,RMth&amp;RYr,RAr)))</f>
        <v>0</v>
      </c>
      <c r="AL400" s="90"/>
      <c r="AM400" s="90"/>
      <c r="AN400" s="141" t="s">
        <v>248</v>
      </c>
    </row>
    <row r="401" spans="2:40" x14ac:dyDescent="0.35">
      <c r="B401" s="50" t="s">
        <v>130</v>
      </c>
      <c r="C401" s="44">
        <v>2023</v>
      </c>
      <c r="D401" s="44" t="s">
        <v>100</v>
      </c>
      <c r="E401" s="15" t="s">
        <v>39</v>
      </c>
      <c r="F401" s="108" t="s">
        <v>22</v>
      </c>
      <c r="G401" s="15" t="s">
        <v>159</v>
      </c>
      <c r="H401" s="44"/>
      <c r="I401" s="15" t="s">
        <v>94</v>
      </c>
      <c r="J401" s="15" t="s">
        <v>94</v>
      </c>
      <c r="K401" s="15" t="s">
        <v>160</v>
      </c>
      <c r="L401" s="15" t="s">
        <v>95</v>
      </c>
      <c r="M401" s="15" t="s">
        <v>94</v>
      </c>
      <c r="N401" s="15" t="s">
        <v>67</v>
      </c>
      <c r="O401" s="15" t="s">
        <v>161</v>
      </c>
      <c r="P401" s="43" t="s">
        <v>164</v>
      </c>
      <c r="Q401" s="42">
        <v>121</v>
      </c>
      <c r="R401" s="42">
        <v>108.9</v>
      </c>
      <c r="S401" s="42">
        <f t="shared" si="30"/>
        <v>229.9</v>
      </c>
      <c r="T401" s="43">
        <f t="shared" si="31"/>
        <v>229.9</v>
      </c>
      <c r="U401" s="15" t="s">
        <v>41</v>
      </c>
      <c r="V401" s="150">
        <v>30</v>
      </c>
      <c r="W401" s="111" cm="1">
        <f t="array" ref="W401">IF(U401="",0,_xlfn.XLOOKUP(E401&amp;U401&amp;F401,tab_act&amp;tab_mod&amp;tab_act1,tab_riz)*V401*T401/MGMT)</f>
        <v>0</v>
      </c>
      <c r="X401" s="112" cm="1">
        <f t="array" ref="X401">IF(U401="",0,_xlfn.XLOOKUP(E401&amp;U401&amp;F401,tab_act&amp;tab_mod&amp;tab_act1,tab_mc)*V401*T401/MGMT)</f>
        <v>0</v>
      </c>
      <c r="Y401" s="112" cm="1">
        <f t="array" ref="Y401">IF(U401="",0,_xlfn.XLOOKUP(E401&amp;U401&amp;F401,tab_act&amp;tab_mod&amp;tab_act1,tab_sor)*V401*T401/MGMT)</f>
        <v>0</v>
      </c>
      <c r="Z401" s="112" cm="1">
        <f t="array" ref="Z401">IF(U401="",0,_xlfn.XLOOKUP(E401&amp;U401&amp;F401,tab_act&amp;tab_mod&amp;tab_act1,tab_mg)*V401*T401/MGMT)</f>
        <v>0</v>
      </c>
      <c r="AA401" s="113" cm="1">
        <f t="array" ref="AA401">IF(U401="",0,IF(U401="hybrid-Sch",_xlfn.XLOOKUP(E401&amp;U401&amp;F401,tab_act&amp;tab_mod&amp;tab_act1,tab_ls)*SchLS*T401/MGMT,_xlfn.XLOOKUP(E401&amp;U401&amp;F401,tab_act&amp;tab_mod&amp;tab_act1,tab_ls)*V401*T401/MGMT))</f>
        <v>0</v>
      </c>
      <c r="AB401" s="113" cm="1">
        <f t="array" ref="AB401">IF(U401="",0,_xlfn.XLOOKUP(E401&amp;U401&amp;F401,tab_act&amp;tab_mod&amp;tab_act1,tab_hu)*V401*T401/MGMT)</f>
        <v>0</v>
      </c>
      <c r="AC401" s="113" cm="1">
        <f t="array" ref="AC401">IF(U401="",0,_xlfn.XLOOKUP(E401&amp;U401&amp;F401,tab_act&amp;tab_mod&amp;tab_act1,tab_mnp)*V401*T401/MGMT)</f>
        <v>0</v>
      </c>
      <c r="AD401" s="113" cm="1">
        <f t="array" ref="AD401">IF(U401="",0,_xlfn.XLOOKUP(E401&amp;U401&amp;F401,tab_act&amp;tab_mod&amp;tab_act1,tab_Psup)*V401*T401/MGMT)</f>
        <v>0</v>
      </c>
      <c r="AE401" s="113" cm="1">
        <f t="array" ref="AE401">IF(U401="",0,_xlfn.XLOOKUP(E401&amp;U401&amp;F401,tab_act&amp;tab_mod&amp;tab_act1,tab_csb1)*V401*T401/MGMT)</f>
        <v>0</v>
      </c>
      <c r="AF401" s="113" cm="1">
        <f t="array" ref="AF401">IF(U401="",0,_xlfn.XLOOKUP(E401&amp;U401&amp;F401,tab_act&amp;tab_mod&amp;tab_act1,tab_csb2)*V401*T401/MGMT)</f>
        <v>0</v>
      </c>
      <c r="AG401" s="113" cm="1">
        <f t="array" ref="AG401">IF(U401="",0,_xlfn.XLOOKUP(E401&amp;U401&amp;F401,tab_act&amp;tab_mod&amp;tab_act1,tab_pdoz)*V401*T401/MGMT)</f>
        <v>0.34484999999999999</v>
      </c>
      <c r="AH401" s="113" cm="1">
        <f t="array" ref="AH401">IF(U401="",0,_xlfn.XLOOKUP(E401&amp;U401&amp;F401,tab_act&amp;tab_mod&amp;tab_act1,tab_lns)*V401*T401/MGMT)</f>
        <v>0</v>
      </c>
      <c r="AI401" s="114">
        <f t="shared" si="32"/>
        <v>0.34484999999999999</v>
      </c>
      <c r="AJ401" s="115" cm="1">
        <f t="array" ref="AJ401">IF(U401="",0,_xlfn.XLOOKUP(E401&amp;U401&amp;F401,tab_act&amp;tab_mod&amp;tab_act1,tab_cash)*T401)</f>
        <v>0</v>
      </c>
      <c r="AK401" s="148" cm="1">
        <f t="array" ref="AK401">IF(B401="",0,IF(C401="",0,AJ401/_xlfn.XLOOKUP(B401&amp;C401,RMth&amp;RYr,RAr)))</f>
        <v>0</v>
      </c>
      <c r="AL401" s="90"/>
      <c r="AM401" s="90"/>
      <c r="AN401" s="141" t="s">
        <v>248</v>
      </c>
    </row>
    <row r="402" spans="2:40" x14ac:dyDescent="0.35">
      <c r="B402" s="50" t="s">
        <v>130</v>
      </c>
      <c r="C402" s="44">
        <v>2023</v>
      </c>
      <c r="D402" s="44" t="s">
        <v>100</v>
      </c>
      <c r="E402" s="15" t="s">
        <v>39</v>
      </c>
      <c r="F402" s="108" t="s">
        <v>22</v>
      </c>
      <c r="G402" s="15" t="s">
        <v>159</v>
      </c>
      <c r="H402" s="44"/>
      <c r="I402" s="15" t="s">
        <v>94</v>
      </c>
      <c r="J402" s="15" t="s">
        <v>94</v>
      </c>
      <c r="K402" s="15" t="s">
        <v>160</v>
      </c>
      <c r="L402" s="15" t="s">
        <v>95</v>
      </c>
      <c r="M402" s="15" t="s">
        <v>94</v>
      </c>
      <c r="N402" s="15" t="s">
        <v>67</v>
      </c>
      <c r="O402" s="15" t="s">
        <v>161</v>
      </c>
      <c r="P402" s="43" t="s">
        <v>165</v>
      </c>
      <c r="Q402" s="42">
        <v>91.3</v>
      </c>
      <c r="R402" s="42">
        <v>97.9</v>
      </c>
      <c r="S402" s="42">
        <f t="shared" si="30"/>
        <v>189.2</v>
      </c>
      <c r="T402" s="43">
        <f t="shared" si="31"/>
        <v>189.2</v>
      </c>
      <c r="U402" s="15" t="s">
        <v>41</v>
      </c>
      <c r="V402" s="150">
        <v>30</v>
      </c>
      <c r="W402" s="111" cm="1">
        <f t="array" ref="W402">IF(U402="",0,_xlfn.XLOOKUP(E402&amp;U402&amp;F402,tab_act&amp;tab_mod&amp;tab_act1,tab_riz)*V402*T402/MGMT)</f>
        <v>0</v>
      </c>
      <c r="X402" s="112" cm="1">
        <f t="array" ref="X402">IF(U402="",0,_xlfn.XLOOKUP(E402&amp;U402&amp;F402,tab_act&amp;tab_mod&amp;tab_act1,tab_mc)*V402*T402/MGMT)</f>
        <v>0</v>
      </c>
      <c r="Y402" s="112" cm="1">
        <f t="array" ref="Y402">IF(U402="",0,_xlfn.XLOOKUP(E402&amp;U402&amp;F402,tab_act&amp;tab_mod&amp;tab_act1,tab_sor)*V402*T402/MGMT)</f>
        <v>0</v>
      </c>
      <c r="Z402" s="112" cm="1">
        <f t="array" ref="Z402">IF(U402="",0,_xlfn.XLOOKUP(E402&amp;U402&amp;F402,tab_act&amp;tab_mod&amp;tab_act1,tab_mg)*V402*T402/MGMT)</f>
        <v>0</v>
      </c>
      <c r="AA402" s="113" cm="1">
        <f t="array" ref="AA402">IF(U402="",0,IF(U402="hybrid-Sch",_xlfn.XLOOKUP(E402&amp;U402&amp;F402,tab_act&amp;tab_mod&amp;tab_act1,tab_ls)*SchLS*T402/MGMT,_xlfn.XLOOKUP(E402&amp;U402&amp;F402,tab_act&amp;tab_mod&amp;tab_act1,tab_ls)*V402*T402/MGMT))</f>
        <v>0</v>
      </c>
      <c r="AB402" s="113" cm="1">
        <f t="array" ref="AB402">IF(U402="",0,_xlfn.XLOOKUP(E402&amp;U402&amp;F402,tab_act&amp;tab_mod&amp;tab_act1,tab_hu)*V402*T402/MGMT)</f>
        <v>0</v>
      </c>
      <c r="AC402" s="113" cm="1">
        <f t="array" ref="AC402">IF(U402="",0,_xlfn.XLOOKUP(E402&amp;U402&amp;F402,tab_act&amp;tab_mod&amp;tab_act1,tab_mnp)*V402*T402/MGMT)</f>
        <v>0</v>
      </c>
      <c r="AD402" s="113" cm="1">
        <f t="array" ref="AD402">IF(U402="",0,_xlfn.XLOOKUP(E402&amp;U402&amp;F402,tab_act&amp;tab_mod&amp;tab_act1,tab_Psup)*V402*T402/MGMT)</f>
        <v>0</v>
      </c>
      <c r="AE402" s="113" cm="1">
        <f t="array" ref="AE402">IF(U402="",0,_xlfn.XLOOKUP(E402&amp;U402&amp;F402,tab_act&amp;tab_mod&amp;tab_act1,tab_csb1)*V402*T402/MGMT)</f>
        <v>0</v>
      </c>
      <c r="AF402" s="113" cm="1">
        <f t="array" ref="AF402">IF(U402="",0,_xlfn.XLOOKUP(E402&amp;U402&amp;F402,tab_act&amp;tab_mod&amp;tab_act1,tab_csb2)*V402*T402/MGMT)</f>
        <v>0</v>
      </c>
      <c r="AG402" s="113" cm="1">
        <f t="array" ref="AG402">IF(U402="",0,_xlfn.XLOOKUP(E402&amp;U402&amp;F402,tab_act&amp;tab_mod&amp;tab_act1,tab_pdoz)*V402*T402/MGMT)</f>
        <v>0.2838</v>
      </c>
      <c r="AH402" s="113" cm="1">
        <f t="array" ref="AH402">IF(U402="",0,_xlfn.XLOOKUP(E402&amp;U402&amp;F402,tab_act&amp;tab_mod&amp;tab_act1,tab_lns)*V402*T402/MGMT)</f>
        <v>0</v>
      </c>
      <c r="AI402" s="114">
        <f t="shared" si="32"/>
        <v>0.2838</v>
      </c>
      <c r="AJ402" s="115" cm="1">
        <f t="array" ref="AJ402">IF(U402="",0,_xlfn.XLOOKUP(E402&amp;U402&amp;F402,tab_act&amp;tab_mod&amp;tab_act1,tab_cash)*T402)</f>
        <v>0</v>
      </c>
      <c r="AK402" s="148" cm="1">
        <f t="array" ref="AK402">IF(B402="",0,IF(C402="",0,AJ402/_xlfn.XLOOKUP(B402&amp;C402,RMth&amp;RYr,RAr)))</f>
        <v>0</v>
      </c>
      <c r="AL402" s="90"/>
      <c r="AM402" s="90"/>
      <c r="AN402" s="141" t="s">
        <v>248</v>
      </c>
    </row>
    <row r="403" spans="2:40" x14ac:dyDescent="0.35">
      <c r="B403" s="50" t="s">
        <v>130</v>
      </c>
      <c r="C403" s="44">
        <v>2023</v>
      </c>
      <c r="D403" s="44" t="s">
        <v>100</v>
      </c>
      <c r="E403" s="15" t="s">
        <v>39</v>
      </c>
      <c r="F403" s="108" t="s">
        <v>22</v>
      </c>
      <c r="G403" s="15" t="s">
        <v>159</v>
      </c>
      <c r="H403" s="44"/>
      <c r="I403" s="15" t="s">
        <v>94</v>
      </c>
      <c r="J403" s="15" t="s">
        <v>94</v>
      </c>
      <c r="K403" s="15" t="s">
        <v>160</v>
      </c>
      <c r="L403" s="15" t="s">
        <v>95</v>
      </c>
      <c r="M403" s="15" t="s">
        <v>94</v>
      </c>
      <c r="N403" s="15" t="s">
        <v>67</v>
      </c>
      <c r="O403" s="15" t="s">
        <v>161</v>
      </c>
      <c r="P403" s="43" t="s">
        <v>161</v>
      </c>
      <c r="Q403" s="42">
        <v>293.7</v>
      </c>
      <c r="R403" s="42">
        <v>223.3</v>
      </c>
      <c r="S403" s="42">
        <f t="shared" si="30"/>
        <v>517</v>
      </c>
      <c r="T403" s="43">
        <f t="shared" si="31"/>
        <v>517</v>
      </c>
      <c r="U403" s="15" t="s">
        <v>41</v>
      </c>
      <c r="V403" s="150">
        <v>30</v>
      </c>
      <c r="W403" s="111" cm="1">
        <f t="array" ref="W403">IF(U403="",0,_xlfn.XLOOKUP(E403&amp;U403&amp;F403,tab_act&amp;tab_mod&amp;tab_act1,tab_riz)*V403*T403/MGMT)</f>
        <v>0</v>
      </c>
      <c r="X403" s="112" cm="1">
        <f t="array" ref="X403">IF(U403="",0,_xlfn.XLOOKUP(E403&amp;U403&amp;F403,tab_act&amp;tab_mod&amp;tab_act1,tab_mc)*V403*T403/MGMT)</f>
        <v>0</v>
      </c>
      <c r="Y403" s="112" cm="1">
        <f t="array" ref="Y403">IF(U403="",0,_xlfn.XLOOKUP(E403&amp;U403&amp;F403,tab_act&amp;tab_mod&amp;tab_act1,tab_sor)*V403*T403/MGMT)</f>
        <v>0</v>
      </c>
      <c r="Z403" s="112" cm="1">
        <f t="array" ref="Z403">IF(U403="",0,_xlfn.XLOOKUP(E403&amp;U403&amp;F403,tab_act&amp;tab_mod&amp;tab_act1,tab_mg)*V403*T403/MGMT)</f>
        <v>0</v>
      </c>
      <c r="AA403" s="113" cm="1">
        <f t="array" ref="AA403">IF(U403="",0,IF(U403="hybrid-Sch",_xlfn.XLOOKUP(E403&amp;U403&amp;F403,tab_act&amp;tab_mod&amp;tab_act1,tab_ls)*SchLS*T403/MGMT,_xlfn.XLOOKUP(E403&amp;U403&amp;F403,tab_act&amp;tab_mod&amp;tab_act1,tab_ls)*V403*T403/MGMT))</f>
        <v>0</v>
      </c>
      <c r="AB403" s="113" cm="1">
        <f t="array" ref="AB403">IF(U403="",0,_xlfn.XLOOKUP(E403&amp;U403&amp;F403,tab_act&amp;tab_mod&amp;tab_act1,tab_hu)*V403*T403/MGMT)</f>
        <v>0</v>
      </c>
      <c r="AC403" s="113" cm="1">
        <f t="array" ref="AC403">IF(U403="",0,_xlfn.XLOOKUP(E403&amp;U403&amp;F403,tab_act&amp;tab_mod&amp;tab_act1,tab_mnp)*V403*T403/MGMT)</f>
        <v>0</v>
      </c>
      <c r="AD403" s="113" cm="1">
        <f t="array" ref="AD403">IF(U403="",0,_xlfn.XLOOKUP(E403&amp;U403&amp;F403,tab_act&amp;tab_mod&amp;tab_act1,tab_Psup)*V403*T403/MGMT)</f>
        <v>0</v>
      </c>
      <c r="AE403" s="113" cm="1">
        <f t="array" ref="AE403">IF(U403="",0,_xlfn.XLOOKUP(E403&amp;U403&amp;F403,tab_act&amp;tab_mod&amp;tab_act1,tab_csb1)*V403*T403/MGMT)</f>
        <v>0</v>
      </c>
      <c r="AF403" s="113" cm="1">
        <f t="array" ref="AF403">IF(U403="",0,_xlfn.XLOOKUP(E403&amp;U403&amp;F403,tab_act&amp;tab_mod&amp;tab_act1,tab_csb2)*V403*T403/MGMT)</f>
        <v>0</v>
      </c>
      <c r="AG403" s="113" cm="1">
        <f t="array" ref="AG403">IF(U403="",0,_xlfn.XLOOKUP(E403&amp;U403&amp;F403,tab_act&amp;tab_mod&amp;tab_act1,tab_pdoz)*V403*T403/MGMT)</f>
        <v>0.77549999999999997</v>
      </c>
      <c r="AH403" s="113" cm="1">
        <f t="array" ref="AH403">IF(U403="",0,_xlfn.XLOOKUP(E403&amp;U403&amp;F403,tab_act&amp;tab_mod&amp;tab_act1,tab_lns)*V403*T403/MGMT)</f>
        <v>0</v>
      </c>
      <c r="AI403" s="114">
        <f t="shared" si="32"/>
        <v>0.77549999999999997</v>
      </c>
      <c r="AJ403" s="115" cm="1">
        <f t="array" ref="AJ403">IF(U403="",0,_xlfn.XLOOKUP(E403&amp;U403&amp;F403,tab_act&amp;tab_mod&amp;tab_act1,tab_cash)*T403)</f>
        <v>0</v>
      </c>
      <c r="AK403" s="148" cm="1">
        <f t="array" ref="AK403">IF(B403="",0,IF(C403="",0,AJ403/_xlfn.XLOOKUP(B403&amp;C403,RMth&amp;RYr,RAr)))</f>
        <v>0</v>
      </c>
      <c r="AL403" s="90"/>
      <c r="AM403" s="90"/>
      <c r="AN403" s="141" t="s">
        <v>248</v>
      </c>
    </row>
    <row r="404" spans="2:40" x14ac:dyDescent="0.35">
      <c r="B404" s="50" t="s">
        <v>130</v>
      </c>
      <c r="C404" s="44">
        <v>2023</v>
      </c>
      <c r="D404" s="44" t="s">
        <v>100</v>
      </c>
      <c r="E404" s="15" t="s">
        <v>39</v>
      </c>
      <c r="F404" s="108" t="s">
        <v>22</v>
      </c>
      <c r="G404" s="15" t="s">
        <v>159</v>
      </c>
      <c r="H404" s="44"/>
      <c r="I404" s="15" t="s">
        <v>94</v>
      </c>
      <c r="J404" s="15" t="s">
        <v>94</v>
      </c>
      <c r="K404" s="15" t="s">
        <v>160</v>
      </c>
      <c r="L404" s="15" t="s">
        <v>95</v>
      </c>
      <c r="M404" s="15" t="s">
        <v>94</v>
      </c>
      <c r="N404" s="15" t="s">
        <v>67</v>
      </c>
      <c r="O404" s="15" t="s">
        <v>161</v>
      </c>
      <c r="P404" s="43" t="s">
        <v>166</v>
      </c>
      <c r="Q404" s="42">
        <v>111.1</v>
      </c>
      <c r="R404" s="42">
        <v>97.9</v>
      </c>
      <c r="S404" s="42">
        <f t="shared" si="30"/>
        <v>209</v>
      </c>
      <c r="T404" s="43">
        <f t="shared" si="31"/>
        <v>209</v>
      </c>
      <c r="U404" s="15" t="s">
        <v>41</v>
      </c>
      <c r="V404" s="150">
        <v>30</v>
      </c>
      <c r="W404" s="111" cm="1">
        <f t="array" ref="W404">IF(U404="",0,_xlfn.XLOOKUP(E404&amp;U404&amp;F404,tab_act&amp;tab_mod&amp;tab_act1,tab_riz)*V404*T404/MGMT)</f>
        <v>0</v>
      </c>
      <c r="X404" s="112" cm="1">
        <f t="array" ref="X404">IF(U404="",0,_xlfn.XLOOKUP(E404&amp;U404&amp;F404,tab_act&amp;tab_mod&amp;tab_act1,tab_mc)*V404*T404/MGMT)</f>
        <v>0</v>
      </c>
      <c r="Y404" s="112" cm="1">
        <f t="array" ref="Y404">IF(U404="",0,_xlfn.XLOOKUP(E404&amp;U404&amp;F404,tab_act&amp;tab_mod&amp;tab_act1,tab_sor)*V404*T404/MGMT)</f>
        <v>0</v>
      </c>
      <c r="Z404" s="112" cm="1">
        <f t="array" ref="Z404">IF(U404="",0,_xlfn.XLOOKUP(E404&amp;U404&amp;F404,tab_act&amp;tab_mod&amp;tab_act1,tab_mg)*V404*T404/MGMT)</f>
        <v>0</v>
      </c>
      <c r="AA404" s="113" cm="1">
        <f t="array" ref="AA404">IF(U404="",0,IF(U404="hybrid-Sch",_xlfn.XLOOKUP(E404&amp;U404&amp;F404,tab_act&amp;tab_mod&amp;tab_act1,tab_ls)*SchLS*T404/MGMT,_xlfn.XLOOKUP(E404&amp;U404&amp;F404,tab_act&amp;tab_mod&amp;tab_act1,tab_ls)*V404*T404/MGMT))</f>
        <v>0</v>
      </c>
      <c r="AB404" s="113" cm="1">
        <f t="array" ref="AB404">IF(U404="",0,_xlfn.XLOOKUP(E404&amp;U404&amp;F404,tab_act&amp;tab_mod&amp;tab_act1,tab_hu)*V404*T404/MGMT)</f>
        <v>0</v>
      </c>
      <c r="AC404" s="113" cm="1">
        <f t="array" ref="AC404">IF(U404="",0,_xlfn.XLOOKUP(E404&amp;U404&amp;F404,tab_act&amp;tab_mod&amp;tab_act1,tab_mnp)*V404*T404/MGMT)</f>
        <v>0</v>
      </c>
      <c r="AD404" s="113" cm="1">
        <f t="array" ref="AD404">IF(U404="",0,_xlfn.XLOOKUP(E404&amp;U404&amp;F404,tab_act&amp;tab_mod&amp;tab_act1,tab_Psup)*V404*T404/MGMT)</f>
        <v>0</v>
      </c>
      <c r="AE404" s="113" cm="1">
        <f t="array" ref="AE404">IF(U404="",0,_xlfn.XLOOKUP(E404&amp;U404&amp;F404,tab_act&amp;tab_mod&amp;tab_act1,tab_csb1)*V404*T404/MGMT)</f>
        <v>0</v>
      </c>
      <c r="AF404" s="113" cm="1">
        <f t="array" ref="AF404">IF(U404="",0,_xlfn.XLOOKUP(E404&amp;U404&amp;F404,tab_act&amp;tab_mod&amp;tab_act1,tab_csb2)*V404*T404/MGMT)</f>
        <v>0</v>
      </c>
      <c r="AG404" s="113" cm="1">
        <f t="array" ref="AG404">IF(U404="",0,_xlfn.XLOOKUP(E404&amp;U404&amp;F404,tab_act&amp;tab_mod&amp;tab_act1,tab_pdoz)*V404*T404/MGMT)</f>
        <v>0.3135</v>
      </c>
      <c r="AH404" s="113" cm="1">
        <f t="array" ref="AH404">IF(U404="",0,_xlfn.XLOOKUP(E404&amp;U404&amp;F404,tab_act&amp;tab_mod&amp;tab_act1,tab_lns)*V404*T404/MGMT)</f>
        <v>0</v>
      </c>
      <c r="AI404" s="114">
        <f t="shared" si="32"/>
        <v>0.3135</v>
      </c>
      <c r="AJ404" s="115" cm="1">
        <f t="array" ref="AJ404">IF(U404="",0,_xlfn.XLOOKUP(E404&amp;U404&amp;F404,tab_act&amp;tab_mod&amp;tab_act1,tab_cash)*T404)</f>
        <v>0</v>
      </c>
      <c r="AK404" s="148" cm="1">
        <f t="array" ref="AK404">IF(B404="",0,IF(C404="",0,AJ404/_xlfn.XLOOKUP(B404&amp;C404,RMth&amp;RYr,RAr)))</f>
        <v>0</v>
      </c>
      <c r="AL404" s="90"/>
      <c r="AM404" s="90"/>
      <c r="AN404" s="141" t="s">
        <v>248</v>
      </c>
    </row>
    <row r="405" spans="2:40" x14ac:dyDescent="0.35">
      <c r="B405" s="50" t="s">
        <v>130</v>
      </c>
      <c r="C405" s="44">
        <v>2023</v>
      </c>
      <c r="D405" s="44" t="s">
        <v>100</v>
      </c>
      <c r="E405" s="15" t="s">
        <v>39</v>
      </c>
      <c r="F405" s="108" t="s">
        <v>22</v>
      </c>
      <c r="G405" s="15" t="s">
        <v>159</v>
      </c>
      <c r="H405" s="44"/>
      <c r="I405" s="15" t="s">
        <v>94</v>
      </c>
      <c r="J405" s="15" t="s">
        <v>94</v>
      </c>
      <c r="K405" s="15" t="s">
        <v>160</v>
      </c>
      <c r="L405" s="15" t="s">
        <v>95</v>
      </c>
      <c r="M405" s="15" t="s">
        <v>94</v>
      </c>
      <c r="N405" s="15" t="s">
        <v>67</v>
      </c>
      <c r="O405" s="15" t="s">
        <v>161</v>
      </c>
      <c r="P405" s="43" t="s">
        <v>167</v>
      </c>
      <c r="Q405" s="42">
        <v>36.299999999999997</v>
      </c>
      <c r="R405" s="42">
        <v>59.4</v>
      </c>
      <c r="S405" s="42">
        <f t="shared" si="30"/>
        <v>95.699999999999989</v>
      </c>
      <c r="T405" s="43">
        <f t="shared" si="31"/>
        <v>95.699999999999989</v>
      </c>
      <c r="U405" s="15" t="s">
        <v>41</v>
      </c>
      <c r="V405" s="150">
        <v>30</v>
      </c>
      <c r="W405" s="111" cm="1">
        <f t="array" ref="W405">IF(U405="",0,_xlfn.XLOOKUP(E405&amp;U405&amp;F405,tab_act&amp;tab_mod&amp;tab_act1,tab_riz)*V405*T405/MGMT)</f>
        <v>0</v>
      </c>
      <c r="X405" s="112" cm="1">
        <f t="array" ref="X405">IF(U405="",0,_xlfn.XLOOKUP(E405&amp;U405&amp;F405,tab_act&amp;tab_mod&amp;tab_act1,tab_mc)*V405*T405/MGMT)</f>
        <v>0</v>
      </c>
      <c r="Y405" s="112" cm="1">
        <f t="array" ref="Y405">IF(U405="",0,_xlfn.XLOOKUP(E405&amp;U405&amp;F405,tab_act&amp;tab_mod&amp;tab_act1,tab_sor)*V405*T405/MGMT)</f>
        <v>0</v>
      </c>
      <c r="Z405" s="112" cm="1">
        <f t="array" ref="Z405">IF(U405="",0,_xlfn.XLOOKUP(E405&amp;U405&amp;F405,tab_act&amp;tab_mod&amp;tab_act1,tab_mg)*V405*T405/MGMT)</f>
        <v>0</v>
      </c>
      <c r="AA405" s="113" cm="1">
        <f t="array" ref="AA405">IF(U405="",0,IF(U405="hybrid-Sch",_xlfn.XLOOKUP(E405&amp;U405&amp;F405,tab_act&amp;tab_mod&amp;tab_act1,tab_ls)*SchLS*T405/MGMT,_xlfn.XLOOKUP(E405&amp;U405&amp;F405,tab_act&amp;tab_mod&amp;tab_act1,tab_ls)*V405*T405/MGMT))</f>
        <v>0</v>
      </c>
      <c r="AB405" s="113" cm="1">
        <f t="array" ref="AB405">IF(U405="",0,_xlfn.XLOOKUP(E405&amp;U405&amp;F405,tab_act&amp;tab_mod&amp;tab_act1,tab_hu)*V405*T405/MGMT)</f>
        <v>0</v>
      </c>
      <c r="AC405" s="113" cm="1">
        <f t="array" ref="AC405">IF(U405="",0,_xlfn.XLOOKUP(E405&amp;U405&amp;F405,tab_act&amp;tab_mod&amp;tab_act1,tab_mnp)*V405*T405/MGMT)</f>
        <v>0</v>
      </c>
      <c r="AD405" s="113" cm="1">
        <f t="array" ref="AD405">IF(U405="",0,_xlfn.XLOOKUP(E405&amp;U405&amp;F405,tab_act&amp;tab_mod&amp;tab_act1,tab_Psup)*V405*T405/MGMT)</f>
        <v>0</v>
      </c>
      <c r="AE405" s="113" cm="1">
        <f t="array" ref="AE405">IF(U405="",0,_xlfn.XLOOKUP(E405&amp;U405&amp;F405,tab_act&amp;tab_mod&amp;tab_act1,tab_csb1)*V405*T405/MGMT)</f>
        <v>0</v>
      </c>
      <c r="AF405" s="113" cm="1">
        <f t="array" ref="AF405">IF(U405="",0,_xlfn.XLOOKUP(E405&amp;U405&amp;F405,tab_act&amp;tab_mod&amp;tab_act1,tab_csb2)*V405*T405/MGMT)</f>
        <v>0</v>
      </c>
      <c r="AG405" s="113" cm="1">
        <f t="array" ref="AG405">IF(U405="",0,_xlfn.XLOOKUP(E405&amp;U405&amp;F405,tab_act&amp;tab_mod&amp;tab_act1,tab_pdoz)*V405*T405/MGMT)</f>
        <v>0.14354999999999998</v>
      </c>
      <c r="AH405" s="113" cm="1">
        <f t="array" ref="AH405">IF(U405="",0,_xlfn.XLOOKUP(E405&amp;U405&amp;F405,tab_act&amp;tab_mod&amp;tab_act1,tab_lns)*V405*T405/MGMT)</f>
        <v>0</v>
      </c>
      <c r="AI405" s="114">
        <f t="shared" si="32"/>
        <v>0.14354999999999998</v>
      </c>
      <c r="AJ405" s="115" cm="1">
        <f t="array" ref="AJ405">IF(U405="",0,_xlfn.XLOOKUP(E405&amp;U405&amp;F405,tab_act&amp;tab_mod&amp;tab_act1,tab_cash)*T405)</f>
        <v>0</v>
      </c>
      <c r="AK405" s="148" cm="1">
        <f t="array" ref="AK405">IF(B405="",0,IF(C405="",0,AJ405/_xlfn.XLOOKUP(B405&amp;C405,RMth&amp;RYr,RAr)))</f>
        <v>0</v>
      </c>
      <c r="AL405" s="90"/>
      <c r="AM405" s="90"/>
      <c r="AN405" s="141" t="s">
        <v>248</v>
      </c>
    </row>
    <row r="406" spans="2:40" x14ac:dyDescent="0.35">
      <c r="B406" s="50" t="s">
        <v>130</v>
      </c>
      <c r="C406" s="44">
        <v>2023</v>
      </c>
      <c r="D406" s="44" t="s">
        <v>100</v>
      </c>
      <c r="E406" s="15" t="s">
        <v>39</v>
      </c>
      <c r="F406" s="108" t="s">
        <v>22</v>
      </c>
      <c r="G406" s="15" t="s">
        <v>159</v>
      </c>
      <c r="H406" s="44"/>
      <c r="I406" s="15" t="s">
        <v>94</v>
      </c>
      <c r="J406" s="15" t="s">
        <v>94</v>
      </c>
      <c r="K406" s="15" t="s">
        <v>160</v>
      </c>
      <c r="L406" s="15" t="s">
        <v>95</v>
      </c>
      <c r="M406" s="15" t="s">
        <v>94</v>
      </c>
      <c r="N406" s="15" t="s">
        <v>67</v>
      </c>
      <c r="O406" s="15" t="s">
        <v>161</v>
      </c>
      <c r="P406" s="43" t="s">
        <v>168</v>
      </c>
      <c r="Q406" s="42">
        <v>23.1</v>
      </c>
      <c r="R406" s="42">
        <v>25.3</v>
      </c>
      <c r="S406" s="42">
        <f t="shared" si="30"/>
        <v>48.400000000000006</v>
      </c>
      <c r="T406" s="43">
        <f t="shared" si="31"/>
        <v>48.400000000000006</v>
      </c>
      <c r="U406" s="15" t="s">
        <v>41</v>
      </c>
      <c r="V406" s="150">
        <v>30</v>
      </c>
      <c r="W406" s="111" cm="1">
        <f t="array" ref="W406">IF(U406="",0,_xlfn.XLOOKUP(E406&amp;U406&amp;F406,tab_act&amp;tab_mod&amp;tab_act1,tab_riz)*V406*T406/MGMT)</f>
        <v>0</v>
      </c>
      <c r="X406" s="112" cm="1">
        <f t="array" ref="X406">IF(U406="",0,_xlfn.XLOOKUP(E406&amp;U406&amp;F406,tab_act&amp;tab_mod&amp;tab_act1,tab_mc)*V406*T406/MGMT)</f>
        <v>0</v>
      </c>
      <c r="Y406" s="112" cm="1">
        <f t="array" ref="Y406">IF(U406="",0,_xlfn.XLOOKUP(E406&amp;U406&amp;F406,tab_act&amp;tab_mod&amp;tab_act1,tab_sor)*V406*T406/MGMT)</f>
        <v>0</v>
      </c>
      <c r="Z406" s="112" cm="1">
        <f t="array" ref="Z406">IF(U406="",0,_xlfn.XLOOKUP(E406&amp;U406&amp;F406,tab_act&amp;tab_mod&amp;tab_act1,tab_mg)*V406*T406/MGMT)</f>
        <v>0</v>
      </c>
      <c r="AA406" s="113" cm="1">
        <f t="array" ref="AA406">IF(U406="",0,IF(U406="hybrid-Sch",_xlfn.XLOOKUP(E406&amp;U406&amp;F406,tab_act&amp;tab_mod&amp;tab_act1,tab_ls)*SchLS*T406/MGMT,_xlfn.XLOOKUP(E406&amp;U406&amp;F406,tab_act&amp;tab_mod&amp;tab_act1,tab_ls)*V406*T406/MGMT))</f>
        <v>0</v>
      </c>
      <c r="AB406" s="113" cm="1">
        <f t="array" ref="AB406">IF(U406="",0,_xlfn.XLOOKUP(E406&amp;U406&amp;F406,tab_act&amp;tab_mod&amp;tab_act1,tab_hu)*V406*T406/MGMT)</f>
        <v>0</v>
      </c>
      <c r="AC406" s="113" cm="1">
        <f t="array" ref="AC406">IF(U406="",0,_xlfn.XLOOKUP(E406&amp;U406&amp;F406,tab_act&amp;tab_mod&amp;tab_act1,tab_mnp)*V406*T406/MGMT)</f>
        <v>0</v>
      </c>
      <c r="AD406" s="113" cm="1">
        <f t="array" ref="AD406">IF(U406="",0,_xlfn.XLOOKUP(E406&amp;U406&amp;F406,tab_act&amp;tab_mod&amp;tab_act1,tab_Psup)*V406*T406/MGMT)</f>
        <v>0</v>
      </c>
      <c r="AE406" s="113" cm="1">
        <f t="array" ref="AE406">IF(U406="",0,_xlfn.XLOOKUP(E406&amp;U406&amp;F406,tab_act&amp;tab_mod&amp;tab_act1,tab_csb1)*V406*T406/MGMT)</f>
        <v>0</v>
      </c>
      <c r="AF406" s="113" cm="1">
        <f t="array" ref="AF406">IF(U406="",0,_xlfn.XLOOKUP(E406&amp;U406&amp;F406,tab_act&amp;tab_mod&amp;tab_act1,tab_csb2)*V406*T406/MGMT)</f>
        <v>0</v>
      </c>
      <c r="AG406" s="113" cm="1">
        <f t="array" ref="AG406">IF(U406="",0,_xlfn.XLOOKUP(E406&amp;U406&amp;F406,tab_act&amp;tab_mod&amp;tab_act1,tab_pdoz)*V406*T406/MGMT)</f>
        <v>7.2600000000000012E-2</v>
      </c>
      <c r="AH406" s="113" cm="1">
        <f t="array" ref="AH406">IF(U406="",0,_xlfn.XLOOKUP(E406&amp;U406&amp;F406,tab_act&amp;tab_mod&amp;tab_act1,tab_lns)*V406*T406/MGMT)</f>
        <v>0</v>
      </c>
      <c r="AI406" s="114">
        <f t="shared" si="32"/>
        <v>7.2600000000000012E-2</v>
      </c>
      <c r="AJ406" s="115" cm="1">
        <f t="array" ref="AJ406">IF(U406="",0,_xlfn.XLOOKUP(E406&amp;U406&amp;F406,tab_act&amp;tab_mod&amp;tab_act1,tab_cash)*T406)</f>
        <v>0</v>
      </c>
      <c r="AK406" s="148" cm="1">
        <f t="array" ref="AK406">IF(B406="",0,IF(C406="",0,AJ406/_xlfn.XLOOKUP(B406&amp;C406,RMth&amp;RYr,RAr)))</f>
        <v>0</v>
      </c>
      <c r="AL406" s="90"/>
      <c r="AM406" s="90"/>
      <c r="AN406" s="141" t="s">
        <v>248</v>
      </c>
    </row>
    <row r="407" spans="2:40" x14ac:dyDescent="0.35">
      <c r="B407" s="50" t="s">
        <v>130</v>
      </c>
      <c r="C407" s="44">
        <v>2023</v>
      </c>
      <c r="D407" s="44" t="s">
        <v>100</v>
      </c>
      <c r="E407" s="15" t="s">
        <v>39</v>
      </c>
      <c r="F407" s="108" t="s">
        <v>22</v>
      </c>
      <c r="G407" s="15" t="s">
        <v>159</v>
      </c>
      <c r="H407" s="44"/>
      <c r="I407" s="15" t="s">
        <v>94</v>
      </c>
      <c r="J407" s="15" t="s">
        <v>94</v>
      </c>
      <c r="K407" s="15" t="s">
        <v>160</v>
      </c>
      <c r="L407" s="15" t="s">
        <v>95</v>
      </c>
      <c r="M407" s="15" t="s">
        <v>94</v>
      </c>
      <c r="N407" s="15" t="s">
        <v>67</v>
      </c>
      <c r="O407" s="15" t="s">
        <v>161</v>
      </c>
      <c r="P407" s="43" t="s">
        <v>169</v>
      </c>
      <c r="Q407" s="42">
        <v>146.30000000000001</v>
      </c>
      <c r="R407" s="42">
        <v>113.3</v>
      </c>
      <c r="S407" s="42">
        <f t="shared" si="30"/>
        <v>259.60000000000002</v>
      </c>
      <c r="T407" s="43">
        <f t="shared" si="31"/>
        <v>259.60000000000002</v>
      </c>
      <c r="U407" s="15" t="s">
        <v>41</v>
      </c>
      <c r="V407" s="150">
        <v>30</v>
      </c>
      <c r="W407" s="111" cm="1">
        <f t="array" ref="W407">IF(U407="",0,_xlfn.XLOOKUP(E407&amp;U407&amp;F407,tab_act&amp;tab_mod&amp;tab_act1,tab_riz)*V407*T407/MGMT)</f>
        <v>0</v>
      </c>
      <c r="X407" s="112" cm="1">
        <f t="array" ref="X407">IF(U407="",0,_xlfn.XLOOKUP(E407&amp;U407&amp;F407,tab_act&amp;tab_mod&amp;tab_act1,tab_mc)*V407*T407/MGMT)</f>
        <v>0</v>
      </c>
      <c r="Y407" s="112" cm="1">
        <f t="array" ref="Y407">IF(U407="",0,_xlfn.XLOOKUP(E407&amp;U407&amp;F407,tab_act&amp;tab_mod&amp;tab_act1,tab_sor)*V407*T407/MGMT)</f>
        <v>0</v>
      </c>
      <c r="Z407" s="112" cm="1">
        <f t="array" ref="Z407">IF(U407="",0,_xlfn.XLOOKUP(E407&amp;U407&amp;F407,tab_act&amp;tab_mod&amp;tab_act1,tab_mg)*V407*T407/MGMT)</f>
        <v>0</v>
      </c>
      <c r="AA407" s="113" cm="1">
        <f t="array" ref="AA407">IF(U407="",0,IF(U407="hybrid-Sch",_xlfn.XLOOKUP(E407&amp;U407&amp;F407,tab_act&amp;tab_mod&amp;tab_act1,tab_ls)*SchLS*T407/MGMT,_xlfn.XLOOKUP(E407&amp;U407&amp;F407,tab_act&amp;tab_mod&amp;tab_act1,tab_ls)*V407*T407/MGMT))</f>
        <v>0</v>
      </c>
      <c r="AB407" s="113" cm="1">
        <f t="array" ref="AB407">IF(U407="",0,_xlfn.XLOOKUP(E407&amp;U407&amp;F407,tab_act&amp;tab_mod&amp;tab_act1,tab_hu)*V407*T407/MGMT)</f>
        <v>0</v>
      </c>
      <c r="AC407" s="113" cm="1">
        <f t="array" ref="AC407">IF(U407="",0,_xlfn.XLOOKUP(E407&amp;U407&amp;F407,tab_act&amp;tab_mod&amp;tab_act1,tab_mnp)*V407*T407/MGMT)</f>
        <v>0</v>
      </c>
      <c r="AD407" s="113" cm="1">
        <f t="array" ref="AD407">IF(U407="",0,_xlfn.XLOOKUP(E407&amp;U407&amp;F407,tab_act&amp;tab_mod&amp;tab_act1,tab_Psup)*V407*T407/MGMT)</f>
        <v>0</v>
      </c>
      <c r="AE407" s="113" cm="1">
        <f t="array" ref="AE407">IF(U407="",0,_xlfn.XLOOKUP(E407&amp;U407&amp;F407,tab_act&amp;tab_mod&amp;tab_act1,tab_csb1)*V407*T407/MGMT)</f>
        <v>0</v>
      </c>
      <c r="AF407" s="113" cm="1">
        <f t="array" ref="AF407">IF(U407="",0,_xlfn.XLOOKUP(E407&amp;U407&amp;F407,tab_act&amp;tab_mod&amp;tab_act1,tab_csb2)*V407*T407/MGMT)</f>
        <v>0</v>
      </c>
      <c r="AG407" s="113" cm="1">
        <f t="array" ref="AG407">IF(U407="",0,_xlfn.XLOOKUP(E407&amp;U407&amp;F407,tab_act&amp;tab_mod&amp;tab_act1,tab_pdoz)*V407*T407/MGMT)</f>
        <v>0.38940000000000008</v>
      </c>
      <c r="AH407" s="113" cm="1">
        <f t="array" ref="AH407">IF(U407="",0,_xlfn.XLOOKUP(E407&amp;U407&amp;F407,tab_act&amp;tab_mod&amp;tab_act1,tab_lns)*V407*T407/MGMT)</f>
        <v>0</v>
      </c>
      <c r="AI407" s="114">
        <f t="shared" si="32"/>
        <v>0.38940000000000008</v>
      </c>
      <c r="AJ407" s="115" cm="1">
        <f t="array" ref="AJ407">IF(U407="",0,_xlfn.XLOOKUP(E407&amp;U407&amp;F407,tab_act&amp;tab_mod&amp;tab_act1,tab_cash)*T407)</f>
        <v>0</v>
      </c>
      <c r="AK407" s="148" cm="1">
        <f t="array" ref="AK407">IF(B407="",0,IF(C407="",0,AJ407/_xlfn.XLOOKUP(B407&amp;C407,RMth&amp;RYr,RAr)))</f>
        <v>0</v>
      </c>
      <c r="AL407" s="90"/>
      <c r="AM407" s="90"/>
      <c r="AN407" s="141" t="s">
        <v>248</v>
      </c>
    </row>
    <row r="408" spans="2:40" x14ac:dyDescent="0.35">
      <c r="B408" s="50" t="s">
        <v>130</v>
      </c>
      <c r="C408" s="44">
        <v>2023</v>
      </c>
      <c r="D408" s="44" t="s">
        <v>100</v>
      </c>
      <c r="E408" s="15" t="s">
        <v>39</v>
      </c>
      <c r="F408" s="108" t="s">
        <v>22</v>
      </c>
      <c r="G408" s="15" t="s">
        <v>159</v>
      </c>
      <c r="H408" s="44"/>
      <c r="I408" s="15" t="s">
        <v>94</v>
      </c>
      <c r="J408" s="15" t="s">
        <v>94</v>
      </c>
      <c r="K408" s="15" t="s">
        <v>160</v>
      </c>
      <c r="L408" s="15" t="s">
        <v>95</v>
      </c>
      <c r="M408" s="15" t="s">
        <v>94</v>
      </c>
      <c r="N408" s="15" t="s">
        <v>67</v>
      </c>
      <c r="O408" s="15" t="s">
        <v>161</v>
      </c>
      <c r="P408" s="43" t="s">
        <v>170</v>
      </c>
      <c r="Q408" s="42">
        <v>129.80000000000001</v>
      </c>
      <c r="R408" s="42">
        <v>86.9</v>
      </c>
      <c r="S408" s="42">
        <f t="shared" si="30"/>
        <v>216.70000000000002</v>
      </c>
      <c r="T408" s="43">
        <f t="shared" si="31"/>
        <v>216.70000000000002</v>
      </c>
      <c r="U408" s="15" t="s">
        <v>41</v>
      </c>
      <c r="V408" s="150">
        <v>30</v>
      </c>
      <c r="W408" s="111" cm="1">
        <f t="array" ref="W408">IF(U408="",0,_xlfn.XLOOKUP(E408&amp;U408&amp;F408,tab_act&amp;tab_mod&amp;tab_act1,tab_riz)*V408*T408/MGMT)</f>
        <v>0</v>
      </c>
      <c r="X408" s="112" cm="1">
        <f t="array" ref="X408">IF(U408="",0,_xlfn.XLOOKUP(E408&amp;U408&amp;F408,tab_act&amp;tab_mod&amp;tab_act1,tab_mc)*V408*T408/MGMT)</f>
        <v>0</v>
      </c>
      <c r="Y408" s="112" cm="1">
        <f t="array" ref="Y408">IF(U408="",0,_xlfn.XLOOKUP(E408&amp;U408&amp;F408,tab_act&amp;tab_mod&amp;tab_act1,tab_sor)*V408*T408/MGMT)</f>
        <v>0</v>
      </c>
      <c r="Z408" s="112" cm="1">
        <f t="array" ref="Z408">IF(U408="",0,_xlfn.XLOOKUP(E408&amp;U408&amp;F408,tab_act&amp;tab_mod&amp;tab_act1,tab_mg)*V408*T408/MGMT)</f>
        <v>0</v>
      </c>
      <c r="AA408" s="113" cm="1">
        <f t="array" ref="AA408">IF(U408="",0,IF(U408="hybrid-Sch",_xlfn.XLOOKUP(E408&amp;U408&amp;F408,tab_act&amp;tab_mod&amp;tab_act1,tab_ls)*SchLS*T408/MGMT,_xlfn.XLOOKUP(E408&amp;U408&amp;F408,tab_act&amp;tab_mod&amp;tab_act1,tab_ls)*V408*T408/MGMT))</f>
        <v>0</v>
      </c>
      <c r="AB408" s="113" cm="1">
        <f t="array" ref="AB408">IF(U408="",0,_xlfn.XLOOKUP(E408&amp;U408&amp;F408,tab_act&amp;tab_mod&amp;tab_act1,tab_hu)*V408*T408/MGMT)</f>
        <v>0</v>
      </c>
      <c r="AC408" s="113" cm="1">
        <f t="array" ref="AC408">IF(U408="",0,_xlfn.XLOOKUP(E408&amp;U408&amp;F408,tab_act&amp;tab_mod&amp;tab_act1,tab_mnp)*V408*T408/MGMT)</f>
        <v>0</v>
      </c>
      <c r="AD408" s="113" cm="1">
        <f t="array" ref="AD408">IF(U408="",0,_xlfn.XLOOKUP(E408&amp;U408&amp;F408,tab_act&amp;tab_mod&amp;tab_act1,tab_Psup)*V408*T408/MGMT)</f>
        <v>0</v>
      </c>
      <c r="AE408" s="113" cm="1">
        <f t="array" ref="AE408">IF(U408="",0,_xlfn.XLOOKUP(E408&amp;U408&amp;F408,tab_act&amp;tab_mod&amp;tab_act1,tab_csb1)*V408*T408/MGMT)</f>
        <v>0</v>
      </c>
      <c r="AF408" s="113" cm="1">
        <f t="array" ref="AF408">IF(U408="",0,_xlfn.XLOOKUP(E408&amp;U408&amp;F408,tab_act&amp;tab_mod&amp;tab_act1,tab_csb2)*V408*T408/MGMT)</f>
        <v>0</v>
      </c>
      <c r="AG408" s="113" cm="1">
        <f t="array" ref="AG408">IF(U408="",0,_xlfn.XLOOKUP(E408&amp;U408&amp;F408,tab_act&amp;tab_mod&amp;tab_act1,tab_pdoz)*V408*T408/MGMT)</f>
        <v>0.32505000000000001</v>
      </c>
      <c r="AH408" s="113" cm="1">
        <f t="array" ref="AH408">IF(U408="",0,_xlfn.XLOOKUP(E408&amp;U408&amp;F408,tab_act&amp;tab_mod&amp;tab_act1,tab_lns)*V408*T408/MGMT)</f>
        <v>0</v>
      </c>
      <c r="AI408" s="114">
        <f t="shared" si="32"/>
        <v>0.32505000000000001</v>
      </c>
      <c r="AJ408" s="115" cm="1">
        <f t="array" ref="AJ408">IF(U408="",0,_xlfn.XLOOKUP(E408&amp;U408&amp;F408,tab_act&amp;tab_mod&amp;tab_act1,tab_cash)*T408)</f>
        <v>0</v>
      </c>
      <c r="AK408" s="148" cm="1">
        <f t="array" ref="AK408">IF(B408="",0,IF(C408="",0,AJ408/_xlfn.XLOOKUP(B408&amp;C408,RMth&amp;RYr,RAr)))</f>
        <v>0</v>
      </c>
      <c r="AL408" s="90"/>
      <c r="AM408" s="90"/>
      <c r="AN408" s="141" t="s">
        <v>248</v>
      </c>
    </row>
    <row r="409" spans="2:40" x14ac:dyDescent="0.35">
      <c r="B409" s="50" t="s">
        <v>130</v>
      </c>
      <c r="C409" s="44">
        <v>2023</v>
      </c>
      <c r="D409" s="44" t="s">
        <v>100</v>
      </c>
      <c r="E409" s="15" t="s">
        <v>39</v>
      </c>
      <c r="F409" s="108" t="s">
        <v>22</v>
      </c>
      <c r="G409" s="15" t="s">
        <v>159</v>
      </c>
      <c r="H409" s="44"/>
      <c r="I409" s="15" t="s">
        <v>94</v>
      </c>
      <c r="J409" s="15" t="s">
        <v>94</v>
      </c>
      <c r="K409" s="15" t="s">
        <v>160</v>
      </c>
      <c r="L409" s="15" t="s">
        <v>95</v>
      </c>
      <c r="M409" s="15" t="s">
        <v>94</v>
      </c>
      <c r="N409" s="15" t="s">
        <v>67</v>
      </c>
      <c r="O409" s="15" t="s">
        <v>161</v>
      </c>
      <c r="P409" s="43" t="s">
        <v>171</v>
      </c>
      <c r="Q409" s="42">
        <v>35.200000000000003</v>
      </c>
      <c r="R409" s="42">
        <v>29.7</v>
      </c>
      <c r="S409" s="42">
        <f t="shared" si="30"/>
        <v>64.900000000000006</v>
      </c>
      <c r="T409" s="43">
        <f t="shared" si="31"/>
        <v>64.900000000000006</v>
      </c>
      <c r="U409" s="15" t="s">
        <v>41</v>
      </c>
      <c r="V409" s="150">
        <v>30</v>
      </c>
      <c r="W409" s="111" cm="1">
        <f t="array" ref="W409">IF(U409="",0,_xlfn.XLOOKUP(E409&amp;U409&amp;F409,tab_act&amp;tab_mod&amp;tab_act1,tab_riz)*V409*T409/MGMT)</f>
        <v>0</v>
      </c>
      <c r="X409" s="112" cm="1">
        <f t="array" ref="X409">IF(U409="",0,_xlfn.XLOOKUP(E409&amp;U409&amp;F409,tab_act&amp;tab_mod&amp;tab_act1,tab_mc)*V409*T409/MGMT)</f>
        <v>0</v>
      </c>
      <c r="Y409" s="112" cm="1">
        <f t="array" ref="Y409">IF(U409="",0,_xlfn.XLOOKUP(E409&amp;U409&amp;F409,tab_act&amp;tab_mod&amp;tab_act1,tab_sor)*V409*T409/MGMT)</f>
        <v>0</v>
      </c>
      <c r="Z409" s="112" cm="1">
        <f t="array" ref="Z409">IF(U409="",0,_xlfn.XLOOKUP(E409&amp;U409&amp;F409,tab_act&amp;tab_mod&amp;tab_act1,tab_mg)*V409*T409/MGMT)</f>
        <v>0</v>
      </c>
      <c r="AA409" s="113" cm="1">
        <f t="array" ref="AA409">IF(U409="",0,IF(U409="hybrid-Sch",_xlfn.XLOOKUP(E409&amp;U409&amp;F409,tab_act&amp;tab_mod&amp;tab_act1,tab_ls)*SchLS*T409/MGMT,_xlfn.XLOOKUP(E409&amp;U409&amp;F409,tab_act&amp;tab_mod&amp;tab_act1,tab_ls)*V409*T409/MGMT))</f>
        <v>0</v>
      </c>
      <c r="AB409" s="113" cm="1">
        <f t="array" ref="AB409">IF(U409="",0,_xlfn.XLOOKUP(E409&amp;U409&amp;F409,tab_act&amp;tab_mod&amp;tab_act1,tab_hu)*V409*T409/MGMT)</f>
        <v>0</v>
      </c>
      <c r="AC409" s="113" cm="1">
        <f t="array" ref="AC409">IF(U409="",0,_xlfn.XLOOKUP(E409&amp;U409&amp;F409,tab_act&amp;tab_mod&amp;tab_act1,tab_mnp)*V409*T409/MGMT)</f>
        <v>0</v>
      </c>
      <c r="AD409" s="113" cm="1">
        <f t="array" ref="AD409">IF(U409="",0,_xlfn.XLOOKUP(E409&amp;U409&amp;F409,tab_act&amp;tab_mod&amp;tab_act1,tab_Psup)*V409*T409/MGMT)</f>
        <v>0</v>
      </c>
      <c r="AE409" s="113" cm="1">
        <f t="array" ref="AE409">IF(U409="",0,_xlfn.XLOOKUP(E409&amp;U409&amp;F409,tab_act&amp;tab_mod&amp;tab_act1,tab_csb1)*V409*T409/MGMT)</f>
        <v>0</v>
      </c>
      <c r="AF409" s="113" cm="1">
        <f t="array" ref="AF409">IF(U409="",0,_xlfn.XLOOKUP(E409&amp;U409&amp;F409,tab_act&amp;tab_mod&amp;tab_act1,tab_csb2)*V409*T409/MGMT)</f>
        <v>0</v>
      </c>
      <c r="AG409" s="113" cm="1">
        <f t="array" ref="AG409">IF(U409="",0,_xlfn.XLOOKUP(E409&amp;U409&amp;F409,tab_act&amp;tab_mod&amp;tab_act1,tab_pdoz)*V409*T409/MGMT)</f>
        <v>9.735000000000002E-2</v>
      </c>
      <c r="AH409" s="113" cm="1">
        <f t="array" ref="AH409">IF(U409="",0,_xlfn.XLOOKUP(E409&amp;U409&amp;F409,tab_act&amp;tab_mod&amp;tab_act1,tab_lns)*V409*T409/MGMT)</f>
        <v>0</v>
      </c>
      <c r="AI409" s="114">
        <f t="shared" si="32"/>
        <v>9.735000000000002E-2</v>
      </c>
      <c r="AJ409" s="115" cm="1">
        <f t="array" ref="AJ409">IF(U409="",0,_xlfn.XLOOKUP(E409&amp;U409&amp;F409,tab_act&amp;tab_mod&amp;tab_act1,tab_cash)*T409)</f>
        <v>0</v>
      </c>
      <c r="AK409" s="148" cm="1">
        <f t="array" ref="AK409">IF(B409="",0,IF(C409="",0,AJ409/_xlfn.XLOOKUP(B409&amp;C409,RMth&amp;RYr,RAr)))</f>
        <v>0</v>
      </c>
      <c r="AL409" s="90"/>
      <c r="AM409" s="90"/>
      <c r="AN409" s="141" t="s">
        <v>248</v>
      </c>
    </row>
    <row r="410" spans="2:40" x14ac:dyDescent="0.35">
      <c r="B410" s="50" t="s">
        <v>130</v>
      </c>
      <c r="C410" s="44">
        <v>2023</v>
      </c>
      <c r="D410" s="44" t="s">
        <v>100</v>
      </c>
      <c r="E410" s="15" t="s">
        <v>39</v>
      </c>
      <c r="F410" s="108" t="s">
        <v>22</v>
      </c>
      <c r="G410" s="15" t="s">
        <v>159</v>
      </c>
      <c r="H410" s="44"/>
      <c r="I410" s="15" t="s">
        <v>94</v>
      </c>
      <c r="J410" s="15" t="s">
        <v>94</v>
      </c>
      <c r="K410" s="15" t="s">
        <v>160</v>
      </c>
      <c r="L410" s="15" t="s">
        <v>95</v>
      </c>
      <c r="M410" s="15" t="s">
        <v>94</v>
      </c>
      <c r="N410" s="15" t="s">
        <v>67</v>
      </c>
      <c r="O410" s="15" t="s">
        <v>161</v>
      </c>
      <c r="P410" s="43" t="s">
        <v>172</v>
      </c>
      <c r="Q410" s="42">
        <v>62.7</v>
      </c>
      <c r="R410" s="42">
        <v>62.7</v>
      </c>
      <c r="S410" s="42">
        <f t="shared" si="30"/>
        <v>125.4</v>
      </c>
      <c r="T410" s="43">
        <f t="shared" si="31"/>
        <v>125.4</v>
      </c>
      <c r="U410" s="15" t="s">
        <v>41</v>
      </c>
      <c r="V410" s="150">
        <v>30</v>
      </c>
      <c r="W410" s="111" cm="1">
        <f t="array" ref="W410">IF(U410="",0,_xlfn.XLOOKUP(E410&amp;U410&amp;F410,tab_act&amp;tab_mod&amp;tab_act1,tab_riz)*V410*T410/MGMT)</f>
        <v>0</v>
      </c>
      <c r="X410" s="112" cm="1">
        <f t="array" ref="X410">IF(U410="",0,_xlfn.XLOOKUP(E410&amp;U410&amp;F410,tab_act&amp;tab_mod&amp;tab_act1,tab_mc)*V410*T410/MGMT)</f>
        <v>0</v>
      </c>
      <c r="Y410" s="112" cm="1">
        <f t="array" ref="Y410">IF(U410="",0,_xlfn.XLOOKUP(E410&amp;U410&amp;F410,tab_act&amp;tab_mod&amp;tab_act1,tab_sor)*V410*T410/MGMT)</f>
        <v>0</v>
      </c>
      <c r="Z410" s="112" cm="1">
        <f t="array" ref="Z410">IF(U410="",0,_xlfn.XLOOKUP(E410&amp;U410&amp;F410,tab_act&amp;tab_mod&amp;tab_act1,tab_mg)*V410*T410/MGMT)</f>
        <v>0</v>
      </c>
      <c r="AA410" s="113" cm="1">
        <f t="array" ref="AA410">IF(U410="",0,IF(U410="hybrid-Sch",_xlfn.XLOOKUP(E410&amp;U410&amp;F410,tab_act&amp;tab_mod&amp;tab_act1,tab_ls)*SchLS*T410/MGMT,_xlfn.XLOOKUP(E410&amp;U410&amp;F410,tab_act&amp;tab_mod&amp;tab_act1,tab_ls)*V410*T410/MGMT))</f>
        <v>0</v>
      </c>
      <c r="AB410" s="113" cm="1">
        <f t="array" ref="AB410">IF(U410="",0,_xlfn.XLOOKUP(E410&amp;U410&amp;F410,tab_act&amp;tab_mod&amp;tab_act1,tab_hu)*V410*T410/MGMT)</f>
        <v>0</v>
      </c>
      <c r="AC410" s="113" cm="1">
        <f t="array" ref="AC410">IF(U410="",0,_xlfn.XLOOKUP(E410&amp;U410&amp;F410,tab_act&amp;tab_mod&amp;tab_act1,tab_mnp)*V410*T410/MGMT)</f>
        <v>0</v>
      </c>
      <c r="AD410" s="113" cm="1">
        <f t="array" ref="AD410">IF(U410="",0,_xlfn.XLOOKUP(E410&amp;U410&amp;F410,tab_act&amp;tab_mod&amp;tab_act1,tab_Psup)*V410*T410/MGMT)</f>
        <v>0</v>
      </c>
      <c r="AE410" s="113" cm="1">
        <f t="array" ref="AE410">IF(U410="",0,_xlfn.XLOOKUP(E410&amp;U410&amp;F410,tab_act&amp;tab_mod&amp;tab_act1,tab_csb1)*V410*T410/MGMT)</f>
        <v>0</v>
      </c>
      <c r="AF410" s="113" cm="1">
        <f t="array" ref="AF410">IF(U410="",0,_xlfn.XLOOKUP(E410&amp;U410&amp;F410,tab_act&amp;tab_mod&amp;tab_act1,tab_csb2)*V410*T410/MGMT)</f>
        <v>0</v>
      </c>
      <c r="AG410" s="113" cm="1">
        <f t="array" ref="AG410">IF(U410="",0,_xlfn.XLOOKUP(E410&amp;U410&amp;F410,tab_act&amp;tab_mod&amp;tab_act1,tab_pdoz)*V410*T410/MGMT)</f>
        <v>0.18809999999999999</v>
      </c>
      <c r="AH410" s="113" cm="1">
        <f t="array" ref="AH410">IF(U410="",0,_xlfn.XLOOKUP(E410&amp;U410&amp;F410,tab_act&amp;tab_mod&amp;tab_act1,tab_lns)*V410*T410/MGMT)</f>
        <v>0</v>
      </c>
      <c r="AI410" s="114">
        <f t="shared" si="32"/>
        <v>0.18809999999999999</v>
      </c>
      <c r="AJ410" s="115" cm="1">
        <f t="array" ref="AJ410">IF(U410="",0,_xlfn.XLOOKUP(E410&amp;U410&amp;F410,tab_act&amp;tab_mod&amp;tab_act1,tab_cash)*T410)</f>
        <v>0</v>
      </c>
      <c r="AK410" s="148" cm="1">
        <f t="array" ref="AK410">IF(B410="",0,IF(C410="",0,AJ410/_xlfn.XLOOKUP(B410&amp;C410,RMth&amp;RYr,RAr)))</f>
        <v>0</v>
      </c>
      <c r="AL410" s="90"/>
      <c r="AM410" s="90"/>
      <c r="AN410" s="141" t="s">
        <v>248</v>
      </c>
    </row>
    <row r="411" spans="2:40" x14ac:dyDescent="0.35">
      <c r="B411" s="50" t="s">
        <v>130</v>
      </c>
      <c r="C411" s="44">
        <v>2023</v>
      </c>
      <c r="D411" s="44" t="s">
        <v>100</v>
      </c>
      <c r="E411" s="15" t="s">
        <v>39</v>
      </c>
      <c r="F411" s="108" t="s">
        <v>22</v>
      </c>
      <c r="G411" s="15" t="s">
        <v>159</v>
      </c>
      <c r="H411" s="44"/>
      <c r="I411" s="15" t="s">
        <v>94</v>
      </c>
      <c r="J411" s="15" t="s">
        <v>94</v>
      </c>
      <c r="K411" s="15" t="s">
        <v>160</v>
      </c>
      <c r="L411" s="15" t="s">
        <v>95</v>
      </c>
      <c r="M411" s="15" t="s">
        <v>94</v>
      </c>
      <c r="N411" s="15" t="s">
        <v>67</v>
      </c>
      <c r="O411" s="15" t="s">
        <v>161</v>
      </c>
      <c r="P411" s="43" t="s">
        <v>173</v>
      </c>
      <c r="Q411" s="42">
        <v>55</v>
      </c>
      <c r="R411" s="42">
        <v>53.9</v>
      </c>
      <c r="S411" s="42">
        <f t="shared" si="30"/>
        <v>108.9</v>
      </c>
      <c r="T411" s="43">
        <f t="shared" si="31"/>
        <v>108.9</v>
      </c>
      <c r="U411" s="15" t="s">
        <v>41</v>
      </c>
      <c r="V411" s="150">
        <v>30</v>
      </c>
      <c r="W411" s="111" cm="1">
        <f t="array" ref="W411">IF(U411="",0,_xlfn.XLOOKUP(E411&amp;U411&amp;F411,tab_act&amp;tab_mod&amp;tab_act1,tab_riz)*V411*T411/MGMT)</f>
        <v>0</v>
      </c>
      <c r="X411" s="112" cm="1">
        <f t="array" ref="X411">IF(U411="",0,_xlfn.XLOOKUP(E411&amp;U411&amp;F411,tab_act&amp;tab_mod&amp;tab_act1,tab_mc)*V411*T411/MGMT)</f>
        <v>0</v>
      </c>
      <c r="Y411" s="112" cm="1">
        <f t="array" ref="Y411">IF(U411="",0,_xlfn.XLOOKUP(E411&amp;U411&amp;F411,tab_act&amp;tab_mod&amp;tab_act1,tab_sor)*V411*T411/MGMT)</f>
        <v>0</v>
      </c>
      <c r="Z411" s="112" cm="1">
        <f t="array" ref="Z411">IF(U411="",0,_xlfn.XLOOKUP(E411&amp;U411&amp;F411,tab_act&amp;tab_mod&amp;tab_act1,tab_mg)*V411*T411/MGMT)</f>
        <v>0</v>
      </c>
      <c r="AA411" s="113" cm="1">
        <f t="array" ref="AA411">IF(U411="",0,IF(U411="hybrid-Sch",_xlfn.XLOOKUP(E411&amp;U411&amp;F411,tab_act&amp;tab_mod&amp;tab_act1,tab_ls)*SchLS*T411/MGMT,_xlfn.XLOOKUP(E411&amp;U411&amp;F411,tab_act&amp;tab_mod&amp;tab_act1,tab_ls)*V411*T411/MGMT))</f>
        <v>0</v>
      </c>
      <c r="AB411" s="113" cm="1">
        <f t="array" ref="AB411">IF(U411="",0,_xlfn.XLOOKUP(E411&amp;U411&amp;F411,tab_act&amp;tab_mod&amp;tab_act1,tab_hu)*V411*T411/MGMT)</f>
        <v>0</v>
      </c>
      <c r="AC411" s="113" cm="1">
        <f t="array" ref="AC411">IF(U411="",0,_xlfn.XLOOKUP(E411&amp;U411&amp;F411,tab_act&amp;tab_mod&amp;tab_act1,tab_mnp)*V411*T411/MGMT)</f>
        <v>0</v>
      </c>
      <c r="AD411" s="113" cm="1">
        <f t="array" ref="AD411">IF(U411="",0,_xlfn.XLOOKUP(E411&amp;U411&amp;F411,tab_act&amp;tab_mod&amp;tab_act1,tab_Psup)*V411*T411/MGMT)</f>
        <v>0</v>
      </c>
      <c r="AE411" s="113" cm="1">
        <f t="array" ref="AE411">IF(U411="",0,_xlfn.XLOOKUP(E411&amp;U411&amp;F411,tab_act&amp;tab_mod&amp;tab_act1,tab_csb1)*V411*T411/MGMT)</f>
        <v>0</v>
      </c>
      <c r="AF411" s="113" cm="1">
        <f t="array" ref="AF411">IF(U411="",0,_xlfn.XLOOKUP(E411&amp;U411&amp;F411,tab_act&amp;tab_mod&amp;tab_act1,tab_csb2)*V411*T411/MGMT)</f>
        <v>0</v>
      </c>
      <c r="AG411" s="113" cm="1">
        <f t="array" ref="AG411">IF(U411="",0,_xlfn.XLOOKUP(E411&amp;U411&amp;F411,tab_act&amp;tab_mod&amp;tab_act1,tab_pdoz)*V411*T411/MGMT)</f>
        <v>0.16335</v>
      </c>
      <c r="AH411" s="113" cm="1">
        <f t="array" ref="AH411">IF(U411="",0,_xlfn.XLOOKUP(E411&amp;U411&amp;F411,tab_act&amp;tab_mod&amp;tab_act1,tab_lns)*V411*T411/MGMT)</f>
        <v>0</v>
      </c>
      <c r="AI411" s="114">
        <f t="shared" si="32"/>
        <v>0.16335</v>
      </c>
      <c r="AJ411" s="115" cm="1">
        <f t="array" ref="AJ411">IF(U411="",0,_xlfn.XLOOKUP(E411&amp;U411&amp;F411,tab_act&amp;tab_mod&amp;tab_act1,tab_cash)*T411)</f>
        <v>0</v>
      </c>
      <c r="AK411" s="148" cm="1">
        <f t="array" ref="AK411">IF(B411="",0,IF(C411="",0,AJ411/_xlfn.XLOOKUP(B411&amp;C411,RMth&amp;RYr,RAr)))</f>
        <v>0</v>
      </c>
      <c r="AL411" s="90"/>
      <c r="AM411" s="90"/>
      <c r="AN411" s="141" t="s">
        <v>248</v>
      </c>
    </row>
    <row r="412" spans="2:40" x14ac:dyDescent="0.35">
      <c r="B412" s="50" t="s">
        <v>130</v>
      </c>
      <c r="C412" s="44">
        <v>2023</v>
      </c>
      <c r="D412" s="44" t="s">
        <v>100</v>
      </c>
      <c r="E412" s="15" t="s">
        <v>39</v>
      </c>
      <c r="F412" s="108" t="s">
        <v>22</v>
      </c>
      <c r="G412" s="15" t="s">
        <v>159</v>
      </c>
      <c r="H412" s="44"/>
      <c r="I412" s="15" t="s">
        <v>94</v>
      </c>
      <c r="J412" s="15" t="s">
        <v>94</v>
      </c>
      <c r="K412" s="15" t="s">
        <v>160</v>
      </c>
      <c r="L412" s="15" t="s">
        <v>95</v>
      </c>
      <c r="M412" s="15" t="s">
        <v>94</v>
      </c>
      <c r="N412" s="15" t="s">
        <v>67</v>
      </c>
      <c r="O412" s="15" t="s">
        <v>161</v>
      </c>
      <c r="P412" s="43" t="s">
        <v>174</v>
      </c>
      <c r="Q412" s="42">
        <v>72.599999999999994</v>
      </c>
      <c r="R412" s="42">
        <v>80.3</v>
      </c>
      <c r="S412" s="42">
        <f t="shared" si="30"/>
        <v>152.89999999999998</v>
      </c>
      <c r="T412" s="43">
        <f t="shared" si="31"/>
        <v>152.89999999999998</v>
      </c>
      <c r="U412" s="15" t="s">
        <v>41</v>
      </c>
      <c r="V412" s="150">
        <v>30</v>
      </c>
      <c r="W412" s="111" cm="1">
        <f t="array" ref="W412">IF(U412="",0,_xlfn.XLOOKUP(E412&amp;U412&amp;F412,tab_act&amp;tab_mod&amp;tab_act1,tab_riz)*V412*T412/MGMT)</f>
        <v>0</v>
      </c>
      <c r="X412" s="112" cm="1">
        <f t="array" ref="X412">IF(U412="",0,_xlfn.XLOOKUP(E412&amp;U412&amp;F412,tab_act&amp;tab_mod&amp;tab_act1,tab_mc)*V412*T412/MGMT)</f>
        <v>0</v>
      </c>
      <c r="Y412" s="112" cm="1">
        <f t="array" ref="Y412">IF(U412="",0,_xlfn.XLOOKUP(E412&amp;U412&amp;F412,tab_act&amp;tab_mod&amp;tab_act1,tab_sor)*V412*T412/MGMT)</f>
        <v>0</v>
      </c>
      <c r="Z412" s="112" cm="1">
        <f t="array" ref="Z412">IF(U412="",0,_xlfn.XLOOKUP(E412&amp;U412&amp;F412,tab_act&amp;tab_mod&amp;tab_act1,tab_mg)*V412*T412/MGMT)</f>
        <v>0</v>
      </c>
      <c r="AA412" s="113" cm="1">
        <f t="array" ref="AA412">IF(U412="",0,IF(U412="hybrid-Sch",_xlfn.XLOOKUP(E412&amp;U412&amp;F412,tab_act&amp;tab_mod&amp;tab_act1,tab_ls)*SchLS*T412/MGMT,_xlfn.XLOOKUP(E412&amp;U412&amp;F412,tab_act&amp;tab_mod&amp;tab_act1,tab_ls)*V412*T412/MGMT))</f>
        <v>0</v>
      </c>
      <c r="AB412" s="113" cm="1">
        <f t="array" ref="AB412">IF(U412="",0,_xlfn.XLOOKUP(E412&amp;U412&amp;F412,tab_act&amp;tab_mod&amp;tab_act1,tab_hu)*V412*T412/MGMT)</f>
        <v>0</v>
      </c>
      <c r="AC412" s="113" cm="1">
        <f t="array" ref="AC412">IF(U412="",0,_xlfn.XLOOKUP(E412&amp;U412&amp;F412,tab_act&amp;tab_mod&amp;tab_act1,tab_mnp)*V412*T412/MGMT)</f>
        <v>0</v>
      </c>
      <c r="AD412" s="113" cm="1">
        <f t="array" ref="AD412">IF(U412="",0,_xlfn.XLOOKUP(E412&amp;U412&amp;F412,tab_act&amp;tab_mod&amp;tab_act1,tab_Psup)*V412*T412/MGMT)</f>
        <v>0</v>
      </c>
      <c r="AE412" s="113" cm="1">
        <f t="array" ref="AE412">IF(U412="",0,_xlfn.XLOOKUP(E412&amp;U412&amp;F412,tab_act&amp;tab_mod&amp;tab_act1,tab_csb1)*V412*T412/MGMT)</f>
        <v>0</v>
      </c>
      <c r="AF412" s="113" cm="1">
        <f t="array" ref="AF412">IF(U412="",0,_xlfn.XLOOKUP(E412&amp;U412&amp;F412,tab_act&amp;tab_mod&amp;tab_act1,tab_csb2)*V412*T412/MGMT)</f>
        <v>0</v>
      </c>
      <c r="AG412" s="113" cm="1">
        <f t="array" ref="AG412">IF(U412="",0,_xlfn.XLOOKUP(E412&amp;U412&amp;F412,tab_act&amp;tab_mod&amp;tab_act1,tab_pdoz)*V412*T412/MGMT)</f>
        <v>0.22934999999999997</v>
      </c>
      <c r="AH412" s="113" cm="1">
        <f t="array" ref="AH412">IF(U412="",0,_xlfn.XLOOKUP(E412&amp;U412&amp;F412,tab_act&amp;tab_mod&amp;tab_act1,tab_lns)*V412*T412/MGMT)</f>
        <v>0</v>
      </c>
      <c r="AI412" s="114">
        <f t="shared" si="32"/>
        <v>0.22934999999999997</v>
      </c>
      <c r="AJ412" s="115" cm="1">
        <f t="array" ref="AJ412">IF(U412="",0,_xlfn.XLOOKUP(E412&amp;U412&amp;F412,tab_act&amp;tab_mod&amp;tab_act1,tab_cash)*T412)</f>
        <v>0</v>
      </c>
      <c r="AK412" s="148" cm="1">
        <f t="array" ref="AK412">IF(B412="",0,IF(C412="",0,AJ412/_xlfn.XLOOKUP(B412&amp;C412,RMth&amp;RYr,RAr)))</f>
        <v>0</v>
      </c>
      <c r="AL412" s="90"/>
      <c r="AM412" s="90"/>
      <c r="AN412" s="141" t="s">
        <v>248</v>
      </c>
    </row>
    <row r="413" spans="2:40" x14ac:dyDescent="0.35">
      <c r="B413" s="50" t="s">
        <v>130</v>
      </c>
      <c r="C413" s="44">
        <v>2023</v>
      </c>
      <c r="D413" s="44" t="s">
        <v>100</v>
      </c>
      <c r="E413" s="15" t="s">
        <v>39</v>
      </c>
      <c r="F413" s="108" t="s">
        <v>22</v>
      </c>
      <c r="G413" s="15" t="s">
        <v>159</v>
      </c>
      <c r="H413" s="44"/>
      <c r="I413" s="15" t="s">
        <v>94</v>
      </c>
      <c r="J413" s="15" t="s">
        <v>94</v>
      </c>
      <c r="K413" s="15" t="s">
        <v>160</v>
      </c>
      <c r="L413" s="15" t="s">
        <v>95</v>
      </c>
      <c r="M413" s="15" t="s">
        <v>94</v>
      </c>
      <c r="N413" s="15" t="s">
        <v>67</v>
      </c>
      <c r="O413" s="15" t="s">
        <v>161</v>
      </c>
      <c r="P413" s="43" t="s">
        <v>175</v>
      </c>
      <c r="Q413" s="42">
        <v>91.3</v>
      </c>
      <c r="R413" s="42">
        <v>85.8</v>
      </c>
      <c r="S413" s="42">
        <f t="shared" si="30"/>
        <v>177.1</v>
      </c>
      <c r="T413" s="43">
        <f t="shared" si="31"/>
        <v>177.1</v>
      </c>
      <c r="U413" s="15" t="s">
        <v>41</v>
      </c>
      <c r="V413" s="150">
        <v>30</v>
      </c>
      <c r="W413" s="111" cm="1">
        <f t="array" ref="W413">IF(U413="",0,_xlfn.XLOOKUP(E413&amp;U413&amp;F413,tab_act&amp;tab_mod&amp;tab_act1,tab_riz)*V413*T413/MGMT)</f>
        <v>0</v>
      </c>
      <c r="X413" s="112" cm="1">
        <f t="array" ref="X413">IF(U413="",0,_xlfn.XLOOKUP(E413&amp;U413&amp;F413,tab_act&amp;tab_mod&amp;tab_act1,tab_mc)*V413*T413/MGMT)</f>
        <v>0</v>
      </c>
      <c r="Y413" s="112" cm="1">
        <f t="array" ref="Y413">IF(U413="",0,_xlfn.XLOOKUP(E413&amp;U413&amp;F413,tab_act&amp;tab_mod&amp;tab_act1,tab_sor)*V413*T413/MGMT)</f>
        <v>0</v>
      </c>
      <c r="Z413" s="112" cm="1">
        <f t="array" ref="Z413">IF(U413="",0,_xlfn.XLOOKUP(E413&amp;U413&amp;F413,tab_act&amp;tab_mod&amp;tab_act1,tab_mg)*V413*T413/MGMT)</f>
        <v>0</v>
      </c>
      <c r="AA413" s="113" cm="1">
        <f t="array" ref="AA413">IF(U413="",0,IF(U413="hybrid-Sch",_xlfn.XLOOKUP(E413&amp;U413&amp;F413,tab_act&amp;tab_mod&amp;tab_act1,tab_ls)*SchLS*T413/MGMT,_xlfn.XLOOKUP(E413&amp;U413&amp;F413,tab_act&amp;tab_mod&amp;tab_act1,tab_ls)*V413*T413/MGMT))</f>
        <v>0</v>
      </c>
      <c r="AB413" s="113" cm="1">
        <f t="array" ref="AB413">IF(U413="",0,_xlfn.XLOOKUP(E413&amp;U413&amp;F413,tab_act&amp;tab_mod&amp;tab_act1,tab_hu)*V413*T413/MGMT)</f>
        <v>0</v>
      </c>
      <c r="AC413" s="113" cm="1">
        <f t="array" ref="AC413">IF(U413="",0,_xlfn.XLOOKUP(E413&amp;U413&amp;F413,tab_act&amp;tab_mod&amp;tab_act1,tab_mnp)*V413*T413/MGMT)</f>
        <v>0</v>
      </c>
      <c r="AD413" s="113" cm="1">
        <f t="array" ref="AD413">IF(U413="",0,_xlfn.XLOOKUP(E413&amp;U413&amp;F413,tab_act&amp;tab_mod&amp;tab_act1,tab_Psup)*V413*T413/MGMT)</f>
        <v>0</v>
      </c>
      <c r="AE413" s="113" cm="1">
        <f t="array" ref="AE413">IF(U413="",0,_xlfn.XLOOKUP(E413&amp;U413&amp;F413,tab_act&amp;tab_mod&amp;tab_act1,tab_csb1)*V413*T413/MGMT)</f>
        <v>0</v>
      </c>
      <c r="AF413" s="113" cm="1">
        <f t="array" ref="AF413">IF(U413="",0,_xlfn.XLOOKUP(E413&amp;U413&amp;F413,tab_act&amp;tab_mod&amp;tab_act1,tab_csb2)*V413*T413/MGMT)</f>
        <v>0</v>
      </c>
      <c r="AG413" s="113" cm="1">
        <f t="array" ref="AG413">IF(U413="",0,_xlfn.XLOOKUP(E413&amp;U413&amp;F413,tab_act&amp;tab_mod&amp;tab_act1,tab_pdoz)*V413*T413/MGMT)</f>
        <v>0.26565</v>
      </c>
      <c r="AH413" s="113" cm="1">
        <f t="array" ref="AH413">IF(U413="",0,_xlfn.XLOOKUP(E413&amp;U413&amp;F413,tab_act&amp;tab_mod&amp;tab_act1,tab_lns)*V413*T413/MGMT)</f>
        <v>0</v>
      </c>
      <c r="AI413" s="114">
        <f t="shared" si="32"/>
        <v>0.26565</v>
      </c>
      <c r="AJ413" s="115" cm="1">
        <f t="array" ref="AJ413">IF(U413="",0,_xlfn.XLOOKUP(E413&amp;U413&amp;F413,tab_act&amp;tab_mod&amp;tab_act1,tab_cash)*T413)</f>
        <v>0</v>
      </c>
      <c r="AK413" s="148" cm="1">
        <f t="array" ref="AK413">IF(B413="",0,IF(C413="",0,AJ413/_xlfn.XLOOKUP(B413&amp;C413,RMth&amp;RYr,RAr)))</f>
        <v>0</v>
      </c>
      <c r="AL413" s="90"/>
      <c r="AM413" s="90"/>
      <c r="AN413" s="141" t="s">
        <v>248</v>
      </c>
    </row>
    <row r="414" spans="2:40" x14ac:dyDescent="0.35">
      <c r="B414" s="50" t="s">
        <v>130</v>
      </c>
      <c r="C414" s="44">
        <v>2023</v>
      </c>
      <c r="D414" s="44" t="s">
        <v>100</v>
      </c>
      <c r="E414" s="15" t="s">
        <v>39</v>
      </c>
      <c r="F414" s="108" t="s">
        <v>22</v>
      </c>
      <c r="G414" s="15" t="s">
        <v>159</v>
      </c>
      <c r="H414" s="44"/>
      <c r="I414" s="15" t="s">
        <v>94</v>
      </c>
      <c r="J414" s="15" t="s">
        <v>94</v>
      </c>
      <c r="K414" s="15" t="s">
        <v>160</v>
      </c>
      <c r="L414" s="15" t="s">
        <v>95</v>
      </c>
      <c r="M414" s="15" t="s">
        <v>94</v>
      </c>
      <c r="N414" s="15" t="s">
        <v>67</v>
      </c>
      <c r="O414" s="15" t="s">
        <v>161</v>
      </c>
      <c r="P414" s="43" t="s">
        <v>176</v>
      </c>
      <c r="Q414" s="42">
        <v>42.9</v>
      </c>
      <c r="R414" s="42">
        <v>51.7</v>
      </c>
      <c r="S414" s="42">
        <f t="shared" si="30"/>
        <v>94.6</v>
      </c>
      <c r="T414" s="43">
        <f t="shared" si="31"/>
        <v>94.6</v>
      </c>
      <c r="U414" s="15" t="s">
        <v>41</v>
      </c>
      <c r="V414" s="150">
        <v>30</v>
      </c>
      <c r="W414" s="111" cm="1">
        <f t="array" ref="W414">IF(U414="",0,_xlfn.XLOOKUP(E414&amp;U414&amp;F414,tab_act&amp;tab_mod&amp;tab_act1,tab_riz)*V414*T414/MGMT)</f>
        <v>0</v>
      </c>
      <c r="X414" s="112" cm="1">
        <f t="array" ref="X414">IF(U414="",0,_xlfn.XLOOKUP(E414&amp;U414&amp;F414,tab_act&amp;tab_mod&amp;tab_act1,tab_mc)*V414*T414/MGMT)</f>
        <v>0</v>
      </c>
      <c r="Y414" s="112" cm="1">
        <f t="array" ref="Y414">IF(U414="",0,_xlfn.XLOOKUP(E414&amp;U414&amp;F414,tab_act&amp;tab_mod&amp;tab_act1,tab_sor)*V414*T414/MGMT)</f>
        <v>0</v>
      </c>
      <c r="Z414" s="112" cm="1">
        <f t="array" ref="Z414">IF(U414="",0,_xlfn.XLOOKUP(E414&amp;U414&amp;F414,tab_act&amp;tab_mod&amp;tab_act1,tab_mg)*V414*T414/MGMT)</f>
        <v>0</v>
      </c>
      <c r="AA414" s="113" cm="1">
        <f t="array" ref="AA414">IF(U414="",0,IF(U414="hybrid-Sch",_xlfn.XLOOKUP(E414&amp;U414&amp;F414,tab_act&amp;tab_mod&amp;tab_act1,tab_ls)*SchLS*T414/MGMT,_xlfn.XLOOKUP(E414&amp;U414&amp;F414,tab_act&amp;tab_mod&amp;tab_act1,tab_ls)*V414*T414/MGMT))</f>
        <v>0</v>
      </c>
      <c r="AB414" s="113" cm="1">
        <f t="array" ref="AB414">IF(U414="",0,_xlfn.XLOOKUP(E414&amp;U414&amp;F414,tab_act&amp;tab_mod&amp;tab_act1,tab_hu)*V414*T414/MGMT)</f>
        <v>0</v>
      </c>
      <c r="AC414" s="113" cm="1">
        <f t="array" ref="AC414">IF(U414="",0,_xlfn.XLOOKUP(E414&amp;U414&amp;F414,tab_act&amp;tab_mod&amp;tab_act1,tab_mnp)*V414*T414/MGMT)</f>
        <v>0</v>
      </c>
      <c r="AD414" s="113" cm="1">
        <f t="array" ref="AD414">IF(U414="",0,_xlfn.XLOOKUP(E414&amp;U414&amp;F414,tab_act&amp;tab_mod&amp;tab_act1,tab_Psup)*V414*T414/MGMT)</f>
        <v>0</v>
      </c>
      <c r="AE414" s="113" cm="1">
        <f t="array" ref="AE414">IF(U414="",0,_xlfn.XLOOKUP(E414&amp;U414&amp;F414,tab_act&amp;tab_mod&amp;tab_act1,tab_csb1)*V414*T414/MGMT)</f>
        <v>0</v>
      </c>
      <c r="AF414" s="113" cm="1">
        <f t="array" ref="AF414">IF(U414="",0,_xlfn.XLOOKUP(E414&amp;U414&amp;F414,tab_act&amp;tab_mod&amp;tab_act1,tab_csb2)*V414*T414/MGMT)</f>
        <v>0</v>
      </c>
      <c r="AG414" s="113" cm="1">
        <f t="array" ref="AG414">IF(U414="",0,_xlfn.XLOOKUP(E414&amp;U414&amp;F414,tab_act&amp;tab_mod&amp;tab_act1,tab_pdoz)*V414*T414/MGMT)</f>
        <v>0.1419</v>
      </c>
      <c r="AH414" s="113" cm="1">
        <f t="array" ref="AH414">IF(U414="",0,_xlfn.XLOOKUP(E414&amp;U414&amp;F414,tab_act&amp;tab_mod&amp;tab_act1,tab_lns)*V414*T414/MGMT)</f>
        <v>0</v>
      </c>
      <c r="AI414" s="114">
        <f t="shared" si="32"/>
        <v>0.1419</v>
      </c>
      <c r="AJ414" s="115" cm="1">
        <f t="array" ref="AJ414">IF(U414="",0,_xlfn.XLOOKUP(E414&amp;U414&amp;F414,tab_act&amp;tab_mod&amp;tab_act1,tab_cash)*T414)</f>
        <v>0</v>
      </c>
      <c r="AK414" s="148" cm="1">
        <f t="array" ref="AK414">IF(B414="",0,IF(C414="",0,AJ414/_xlfn.XLOOKUP(B414&amp;C414,RMth&amp;RYr,RAr)))</f>
        <v>0</v>
      </c>
      <c r="AL414" s="90"/>
      <c r="AM414" s="90"/>
      <c r="AN414" s="141" t="s">
        <v>248</v>
      </c>
    </row>
    <row r="415" spans="2:40" x14ac:dyDescent="0.35">
      <c r="B415" s="50" t="s">
        <v>130</v>
      </c>
      <c r="C415" s="44">
        <v>2023</v>
      </c>
      <c r="D415" s="44" t="s">
        <v>100</v>
      </c>
      <c r="E415" s="15" t="s">
        <v>39</v>
      </c>
      <c r="F415" s="108" t="s">
        <v>22</v>
      </c>
      <c r="G415" s="15" t="s">
        <v>159</v>
      </c>
      <c r="H415" s="44"/>
      <c r="I415" s="15" t="s">
        <v>94</v>
      </c>
      <c r="J415" s="15" t="s">
        <v>94</v>
      </c>
      <c r="K415" s="15" t="s">
        <v>160</v>
      </c>
      <c r="L415" s="15" t="s">
        <v>95</v>
      </c>
      <c r="M415" s="15" t="s">
        <v>94</v>
      </c>
      <c r="N415" s="15" t="s">
        <v>67</v>
      </c>
      <c r="O415" s="15" t="s">
        <v>161</v>
      </c>
      <c r="P415" s="43" t="s">
        <v>177</v>
      </c>
      <c r="Q415" s="42">
        <v>72.599999999999994</v>
      </c>
      <c r="R415" s="42">
        <v>88</v>
      </c>
      <c r="S415" s="42">
        <f t="shared" si="30"/>
        <v>160.6</v>
      </c>
      <c r="T415" s="43">
        <f t="shared" si="31"/>
        <v>160.6</v>
      </c>
      <c r="U415" s="15" t="s">
        <v>41</v>
      </c>
      <c r="V415" s="150">
        <v>30</v>
      </c>
      <c r="W415" s="111" cm="1">
        <f t="array" ref="W415">IF(U415="",0,_xlfn.XLOOKUP(E415&amp;U415&amp;F415,tab_act&amp;tab_mod&amp;tab_act1,tab_riz)*V415*T415/MGMT)</f>
        <v>0</v>
      </c>
      <c r="X415" s="112" cm="1">
        <f t="array" ref="X415">IF(U415="",0,_xlfn.XLOOKUP(E415&amp;U415&amp;F415,tab_act&amp;tab_mod&amp;tab_act1,tab_mc)*V415*T415/MGMT)</f>
        <v>0</v>
      </c>
      <c r="Y415" s="112" cm="1">
        <f t="array" ref="Y415">IF(U415="",0,_xlfn.XLOOKUP(E415&amp;U415&amp;F415,tab_act&amp;tab_mod&amp;tab_act1,tab_sor)*V415*T415/MGMT)</f>
        <v>0</v>
      </c>
      <c r="Z415" s="112" cm="1">
        <f t="array" ref="Z415">IF(U415="",0,_xlfn.XLOOKUP(E415&amp;U415&amp;F415,tab_act&amp;tab_mod&amp;tab_act1,tab_mg)*V415*T415/MGMT)</f>
        <v>0</v>
      </c>
      <c r="AA415" s="113" cm="1">
        <f t="array" ref="AA415">IF(U415="",0,IF(U415="hybrid-Sch",_xlfn.XLOOKUP(E415&amp;U415&amp;F415,tab_act&amp;tab_mod&amp;tab_act1,tab_ls)*SchLS*T415/MGMT,_xlfn.XLOOKUP(E415&amp;U415&amp;F415,tab_act&amp;tab_mod&amp;tab_act1,tab_ls)*V415*T415/MGMT))</f>
        <v>0</v>
      </c>
      <c r="AB415" s="113" cm="1">
        <f t="array" ref="AB415">IF(U415="",0,_xlfn.XLOOKUP(E415&amp;U415&amp;F415,tab_act&amp;tab_mod&amp;tab_act1,tab_hu)*V415*T415/MGMT)</f>
        <v>0</v>
      </c>
      <c r="AC415" s="113" cm="1">
        <f t="array" ref="AC415">IF(U415="",0,_xlfn.XLOOKUP(E415&amp;U415&amp;F415,tab_act&amp;tab_mod&amp;tab_act1,tab_mnp)*V415*T415/MGMT)</f>
        <v>0</v>
      </c>
      <c r="AD415" s="113" cm="1">
        <f t="array" ref="AD415">IF(U415="",0,_xlfn.XLOOKUP(E415&amp;U415&amp;F415,tab_act&amp;tab_mod&amp;tab_act1,tab_Psup)*V415*T415/MGMT)</f>
        <v>0</v>
      </c>
      <c r="AE415" s="113" cm="1">
        <f t="array" ref="AE415">IF(U415="",0,_xlfn.XLOOKUP(E415&amp;U415&amp;F415,tab_act&amp;tab_mod&amp;tab_act1,tab_csb1)*V415*T415/MGMT)</f>
        <v>0</v>
      </c>
      <c r="AF415" s="113" cm="1">
        <f t="array" ref="AF415">IF(U415="",0,_xlfn.XLOOKUP(E415&amp;U415&amp;F415,tab_act&amp;tab_mod&amp;tab_act1,tab_csb2)*V415*T415/MGMT)</f>
        <v>0</v>
      </c>
      <c r="AG415" s="113" cm="1">
        <f t="array" ref="AG415">IF(U415="",0,_xlfn.XLOOKUP(E415&amp;U415&amp;F415,tab_act&amp;tab_mod&amp;tab_act1,tab_pdoz)*V415*T415/MGMT)</f>
        <v>0.2409</v>
      </c>
      <c r="AH415" s="113" cm="1">
        <f t="array" ref="AH415">IF(U415="",0,_xlfn.XLOOKUP(E415&amp;U415&amp;F415,tab_act&amp;tab_mod&amp;tab_act1,tab_lns)*V415*T415/MGMT)</f>
        <v>0</v>
      </c>
      <c r="AI415" s="114">
        <f t="shared" si="32"/>
        <v>0.2409</v>
      </c>
      <c r="AJ415" s="115" cm="1">
        <f t="array" ref="AJ415">IF(U415="",0,_xlfn.XLOOKUP(E415&amp;U415&amp;F415,tab_act&amp;tab_mod&amp;tab_act1,tab_cash)*T415)</f>
        <v>0</v>
      </c>
      <c r="AK415" s="148" cm="1">
        <f t="array" ref="AK415">IF(B415="",0,IF(C415="",0,AJ415/_xlfn.XLOOKUP(B415&amp;C415,RMth&amp;RYr,RAr)))</f>
        <v>0</v>
      </c>
      <c r="AL415" s="90"/>
      <c r="AM415" s="90"/>
      <c r="AN415" s="141" t="s">
        <v>248</v>
      </c>
    </row>
    <row r="416" spans="2:40" x14ac:dyDescent="0.35">
      <c r="B416" s="50" t="s">
        <v>130</v>
      </c>
      <c r="C416" s="44">
        <v>2023</v>
      </c>
      <c r="D416" s="44" t="s">
        <v>100</v>
      </c>
      <c r="E416" s="15" t="s">
        <v>39</v>
      </c>
      <c r="F416" s="143" t="s">
        <v>22</v>
      </c>
      <c r="G416" s="15" t="s">
        <v>159</v>
      </c>
      <c r="H416" s="44"/>
      <c r="I416" s="15" t="s">
        <v>94</v>
      </c>
      <c r="J416" s="15" t="s">
        <v>94</v>
      </c>
      <c r="K416" s="15" t="s">
        <v>160</v>
      </c>
      <c r="L416" s="15" t="s">
        <v>95</v>
      </c>
      <c r="M416" s="15" t="s">
        <v>94</v>
      </c>
      <c r="N416" s="15" t="s">
        <v>67</v>
      </c>
      <c r="O416" s="15" t="s">
        <v>161</v>
      </c>
      <c r="P416" s="43" t="s">
        <v>178</v>
      </c>
      <c r="Q416" s="42">
        <v>152.9</v>
      </c>
      <c r="R416" s="42">
        <v>154</v>
      </c>
      <c r="S416" s="42">
        <f t="shared" ref="S416:S447" si="33">SUM(Q416:R416)</f>
        <v>306.89999999999998</v>
      </c>
      <c r="T416" s="43">
        <f t="shared" ref="T416:T447" si="34">IF(E416="Sch",S416,IF(E416="nutrition",S416,S416/5))</f>
        <v>306.89999999999998</v>
      </c>
      <c r="U416" s="15" t="s">
        <v>41</v>
      </c>
      <c r="V416" s="150">
        <v>30</v>
      </c>
      <c r="W416" s="111" cm="1">
        <f t="array" ref="W416">IF(U416="",0,_xlfn.XLOOKUP(E416&amp;U416&amp;F416,tab_act&amp;tab_mod&amp;tab_act1,tab_riz)*V416*T416/MGMT)</f>
        <v>0</v>
      </c>
      <c r="X416" s="112" cm="1">
        <f t="array" ref="X416">IF(U416="",0,_xlfn.XLOOKUP(E416&amp;U416&amp;F416,tab_act&amp;tab_mod&amp;tab_act1,tab_mc)*V416*T416/MGMT)</f>
        <v>0</v>
      </c>
      <c r="Y416" s="112" cm="1">
        <f t="array" ref="Y416">IF(U416="",0,_xlfn.XLOOKUP(E416&amp;U416&amp;F416,tab_act&amp;tab_mod&amp;tab_act1,tab_sor)*V416*T416/MGMT)</f>
        <v>0</v>
      </c>
      <c r="Z416" s="112" cm="1">
        <f t="array" ref="Z416">IF(U416="",0,_xlfn.XLOOKUP(E416&amp;U416&amp;F416,tab_act&amp;tab_mod&amp;tab_act1,tab_mg)*V416*T416/MGMT)</f>
        <v>0</v>
      </c>
      <c r="AA416" s="113" cm="1">
        <f t="array" ref="AA416">IF(U416="",0,IF(U416="hybrid-Sch",_xlfn.XLOOKUP(E416&amp;U416&amp;F416,tab_act&amp;tab_mod&amp;tab_act1,tab_ls)*SchLS*T416/MGMT,_xlfn.XLOOKUP(E416&amp;U416&amp;F416,tab_act&amp;tab_mod&amp;tab_act1,tab_ls)*V416*T416/MGMT))</f>
        <v>0</v>
      </c>
      <c r="AB416" s="113" cm="1">
        <f t="array" ref="AB416">IF(U416="",0,_xlfn.XLOOKUP(E416&amp;U416&amp;F416,tab_act&amp;tab_mod&amp;tab_act1,tab_hu)*V416*T416/MGMT)</f>
        <v>0</v>
      </c>
      <c r="AC416" s="113" cm="1">
        <f t="array" ref="AC416">IF(U416="",0,_xlfn.XLOOKUP(E416&amp;U416&amp;F416,tab_act&amp;tab_mod&amp;tab_act1,tab_mnp)*V416*T416/MGMT)</f>
        <v>0</v>
      </c>
      <c r="AD416" s="113" cm="1">
        <f t="array" ref="AD416">IF(U416="",0,_xlfn.XLOOKUP(E416&amp;U416&amp;F416,tab_act&amp;tab_mod&amp;tab_act1,tab_Psup)*V416*T416/MGMT)</f>
        <v>0</v>
      </c>
      <c r="AE416" s="113" cm="1">
        <f t="array" ref="AE416">IF(U416="",0,_xlfn.XLOOKUP(E416&amp;U416&amp;F416,tab_act&amp;tab_mod&amp;tab_act1,tab_csb1)*V416*T416/MGMT)</f>
        <v>0</v>
      </c>
      <c r="AF416" s="113" cm="1">
        <f t="array" ref="AF416">IF(U416="",0,_xlfn.XLOOKUP(E416&amp;U416&amp;F416,tab_act&amp;tab_mod&amp;tab_act1,tab_csb2)*V416*T416/MGMT)</f>
        <v>0</v>
      </c>
      <c r="AG416" s="113" cm="1">
        <f t="array" ref="AG416">IF(U416="",0,_xlfn.XLOOKUP(E416&amp;U416&amp;F416,tab_act&amp;tab_mod&amp;tab_act1,tab_pdoz)*V416*T416/MGMT)</f>
        <v>0.46034999999999993</v>
      </c>
      <c r="AH416" s="113" cm="1">
        <f t="array" ref="AH416">IF(U416="",0,_xlfn.XLOOKUP(E416&amp;U416&amp;F416,tab_act&amp;tab_mod&amp;tab_act1,tab_lns)*V416*T416/MGMT)</f>
        <v>0</v>
      </c>
      <c r="AI416" s="114">
        <f t="shared" si="32"/>
        <v>0.46034999999999993</v>
      </c>
      <c r="AJ416" s="115" cm="1">
        <f t="array" ref="AJ416">IF(U416="",0,_xlfn.XLOOKUP(E416&amp;U416&amp;F416,tab_act&amp;tab_mod&amp;tab_act1,tab_cash)*T416)</f>
        <v>0</v>
      </c>
      <c r="AK416" s="148" cm="1">
        <f t="array" ref="AK416">IF(B416="",0,IF(C416="",0,AJ416/_xlfn.XLOOKUP(B416&amp;C416,RMth&amp;RYr,RAr)))</f>
        <v>0</v>
      </c>
      <c r="AL416" s="90"/>
      <c r="AM416" s="90"/>
      <c r="AN416" s="141" t="s">
        <v>248</v>
      </c>
    </row>
    <row r="417" spans="2:40" x14ac:dyDescent="0.35">
      <c r="B417" s="50" t="s">
        <v>130</v>
      </c>
      <c r="C417" s="44">
        <v>2023</v>
      </c>
      <c r="D417" s="44" t="s">
        <v>100</v>
      </c>
      <c r="E417" s="15" t="s">
        <v>39</v>
      </c>
      <c r="F417" s="143" t="s">
        <v>22</v>
      </c>
      <c r="G417" s="15" t="s">
        <v>159</v>
      </c>
      <c r="H417" s="44"/>
      <c r="I417" s="15" t="s">
        <v>94</v>
      </c>
      <c r="J417" s="15" t="s">
        <v>94</v>
      </c>
      <c r="K417" s="15" t="s">
        <v>160</v>
      </c>
      <c r="L417" s="15" t="s">
        <v>95</v>
      </c>
      <c r="M417" s="15" t="s">
        <v>94</v>
      </c>
      <c r="N417" s="15" t="s">
        <v>67</v>
      </c>
      <c r="O417" s="15" t="s">
        <v>161</v>
      </c>
      <c r="P417" s="43" t="s">
        <v>179</v>
      </c>
      <c r="Q417" s="42">
        <v>48.4</v>
      </c>
      <c r="R417" s="42">
        <v>56.1</v>
      </c>
      <c r="S417" s="42">
        <f t="shared" si="33"/>
        <v>104.5</v>
      </c>
      <c r="T417" s="43">
        <f t="shared" si="34"/>
        <v>104.5</v>
      </c>
      <c r="U417" s="15" t="s">
        <v>41</v>
      </c>
      <c r="V417" s="150">
        <v>30</v>
      </c>
      <c r="W417" s="111" cm="1">
        <f t="array" ref="W417">IF(U417="",0,_xlfn.XLOOKUP(E417&amp;U417&amp;F417,tab_act&amp;tab_mod&amp;tab_act1,tab_riz)*V417*T417/MGMT)</f>
        <v>0</v>
      </c>
      <c r="X417" s="112" cm="1">
        <f t="array" ref="X417">IF(U417="",0,_xlfn.XLOOKUP(E417&amp;U417&amp;F417,tab_act&amp;tab_mod&amp;tab_act1,tab_mc)*V417*T417/MGMT)</f>
        <v>0</v>
      </c>
      <c r="Y417" s="112" cm="1">
        <f t="array" ref="Y417">IF(U417="",0,_xlfn.XLOOKUP(E417&amp;U417&amp;F417,tab_act&amp;tab_mod&amp;tab_act1,tab_sor)*V417*T417/MGMT)</f>
        <v>0</v>
      </c>
      <c r="Z417" s="112" cm="1">
        <f t="array" ref="Z417">IF(U417="",0,_xlfn.XLOOKUP(E417&amp;U417&amp;F417,tab_act&amp;tab_mod&amp;tab_act1,tab_mg)*V417*T417/MGMT)</f>
        <v>0</v>
      </c>
      <c r="AA417" s="113" cm="1">
        <f t="array" ref="AA417">IF(U417="",0,IF(U417="hybrid-Sch",_xlfn.XLOOKUP(E417&amp;U417&amp;F417,tab_act&amp;tab_mod&amp;tab_act1,tab_ls)*SchLS*T417/MGMT,_xlfn.XLOOKUP(E417&amp;U417&amp;F417,tab_act&amp;tab_mod&amp;tab_act1,tab_ls)*V417*T417/MGMT))</f>
        <v>0</v>
      </c>
      <c r="AB417" s="113" cm="1">
        <f t="array" ref="AB417">IF(U417="",0,_xlfn.XLOOKUP(E417&amp;U417&amp;F417,tab_act&amp;tab_mod&amp;tab_act1,tab_hu)*V417*T417/MGMT)</f>
        <v>0</v>
      </c>
      <c r="AC417" s="113" cm="1">
        <f t="array" ref="AC417">IF(U417="",0,_xlfn.XLOOKUP(E417&amp;U417&amp;F417,tab_act&amp;tab_mod&amp;tab_act1,tab_mnp)*V417*T417/MGMT)</f>
        <v>0</v>
      </c>
      <c r="AD417" s="113" cm="1">
        <f t="array" ref="AD417">IF(U417="",0,_xlfn.XLOOKUP(E417&amp;U417&amp;F417,tab_act&amp;tab_mod&amp;tab_act1,tab_Psup)*V417*T417/MGMT)</f>
        <v>0</v>
      </c>
      <c r="AE417" s="113" cm="1">
        <f t="array" ref="AE417">IF(U417="",0,_xlfn.XLOOKUP(E417&amp;U417&amp;F417,tab_act&amp;tab_mod&amp;tab_act1,tab_csb1)*V417*T417/MGMT)</f>
        <v>0</v>
      </c>
      <c r="AF417" s="113" cm="1">
        <f t="array" ref="AF417">IF(U417="",0,_xlfn.XLOOKUP(E417&amp;U417&amp;F417,tab_act&amp;tab_mod&amp;tab_act1,tab_csb2)*V417*T417/MGMT)</f>
        <v>0</v>
      </c>
      <c r="AG417" s="113" cm="1">
        <f t="array" ref="AG417">IF(U417="",0,_xlfn.XLOOKUP(E417&amp;U417&amp;F417,tab_act&amp;tab_mod&amp;tab_act1,tab_pdoz)*V417*T417/MGMT)</f>
        <v>0.15675</v>
      </c>
      <c r="AH417" s="113" cm="1">
        <f t="array" ref="AH417">IF(U417="",0,_xlfn.XLOOKUP(E417&amp;U417&amp;F417,tab_act&amp;tab_mod&amp;tab_act1,tab_lns)*V417*T417/MGMT)</f>
        <v>0</v>
      </c>
      <c r="AI417" s="114">
        <f t="shared" si="32"/>
        <v>0.15675</v>
      </c>
      <c r="AJ417" s="115" cm="1">
        <f t="array" ref="AJ417">IF(U417="",0,_xlfn.XLOOKUP(E417&amp;U417&amp;F417,tab_act&amp;tab_mod&amp;tab_act1,tab_cash)*T417)</f>
        <v>0</v>
      </c>
      <c r="AK417" s="148" cm="1">
        <f t="array" ref="AK417">IF(B417="",0,IF(C417="",0,AJ417/_xlfn.XLOOKUP(B417&amp;C417,RMth&amp;RYr,RAr)))</f>
        <v>0</v>
      </c>
      <c r="AL417" s="90"/>
      <c r="AM417" s="90"/>
      <c r="AN417" s="141" t="s">
        <v>248</v>
      </c>
    </row>
    <row r="418" spans="2:40" x14ac:dyDescent="0.35">
      <c r="B418" s="50" t="s">
        <v>130</v>
      </c>
      <c r="C418" s="44">
        <v>2023</v>
      </c>
      <c r="D418" s="44" t="s">
        <v>100</v>
      </c>
      <c r="E418" s="15" t="s">
        <v>39</v>
      </c>
      <c r="F418" s="143" t="s">
        <v>22</v>
      </c>
      <c r="G418" s="15" t="s">
        <v>159</v>
      </c>
      <c r="H418" s="44"/>
      <c r="I418" s="15" t="s">
        <v>94</v>
      </c>
      <c r="J418" s="15" t="s">
        <v>94</v>
      </c>
      <c r="K418" s="15" t="s">
        <v>160</v>
      </c>
      <c r="L418" s="15" t="s">
        <v>95</v>
      </c>
      <c r="M418" s="15" t="s">
        <v>94</v>
      </c>
      <c r="N418" s="15" t="s">
        <v>67</v>
      </c>
      <c r="O418" s="15" t="s">
        <v>161</v>
      </c>
      <c r="P418" s="43" t="s">
        <v>180</v>
      </c>
      <c r="Q418" s="42">
        <v>125.4</v>
      </c>
      <c r="R418" s="42">
        <v>149.6</v>
      </c>
      <c r="S418" s="42">
        <f t="shared" si="33"/>
        <v>275</v>
      </c>
      <c r="T418" s="43">
        <f t="shared" si="34"/>
        <v>275</v>
      </c>
      <c r="U418" s="15" t="s">
        <v>41</v>
      </c>
      <c r="V418" s="150">
        <v>30</v>
      </c>
      <c r="W418" s="111" cm="1">
        <f t="array" ref="W418">IF(U418="",0,_xlfn.XLOOKUP(E418&amp;U418&amp;F418,tab_act&amp;tab_mod&amp;tab_act1,tab_riz)*V418*T418/MGMT)</f>
        <v>0</v>
      </c>
      <c r="X418" s="112" cm="1">
        <f t="array" ref="X418">IF(U418="",0,_xlfn.XLOOKUP(E418&amp;U418&amp;F418,tab_act&amp;tab_mod&amp;tab_act1,tab_mc)*V418*T418/MGMT)</f>
        <v>0</v>
      </c>
      <c r="Y418" s="112" cm="1">
        <f t="array" ref="Y418">IF(U418="",0,_xlfn.XLOOKUP(E418&amp;U418&amp;F418,tab_act&amp;tab_mod&amp;tab_act1,tab_sor)*V418*T418/MGMT)</f>
        <v>0</v>
      </c>
      <c r="Z418" s="112" cm="1">
        <f t="array" ref="Z418">IF(U418="",0,_xlfn.XLOOKUP(E418&amp;U418&amp;F418,tab_act&amp;tab_mod&amp;tab_act1,tab_mg)*V418*T418/MGMT)</f>
        <v>0</v>
      </c>
      <c r="AA418" s="113" cm="1">
        <f t="array" ref="AA418">IF(U418="",0,IF(U418="hybrid-Sch",_xlfn.XLOOKUP(E418&amp;U418&amp;F418,tab_act&amp;tab_mod&amp;tab_act1,tab_ls)*SchLS*T418/MGMT,_xlfn.XLOOKUP(E418&amp;U418&amp;F418,tab_act&amp;tab_mod&amp;tab_act1,tab_ls)*V418*T418/MGMT))</f>
        <v>0</v>
      </c>
      <c r="AB418" s="113" cm="1">
        <f t="array" ref="AB418">IF(U418="",0,_xlfn.XLOOKUP(E418&amp;U418&amp;F418,tab_act&amp;tab_mod&amp;tab_act1,tab_hu)*V418*T418/MGMT)</f>
        <v>0</v>
      </c>
      <c r="AC418" s="113" cm="1">
        <f t="array" ref="AC418">IF(U418="",0,_xlfn.XLOOKUP(E418&amp;U418&amp;F418,tab_act&amp;tab_mod&amp;tab_act1,tab_mnp)*V418*T418/MGMT)</f>
        <v>0</v>
      </c>
      <c r="AD418" s="113" cm="1">
        <f t="array" ref="AD418">IF(U418="",0,_xlfn.XLOOKUP(E418&amp;U418&amp;F418,tab_act&amp;tab_mod&amp;tab_act1,tab_Psup)*V418*T418/MGMT)</f>
        <v>0</v>
      </c>
      <c r="AE418" s="113" cm="1">
        <f t="array" ref="AE418">IF(U418="",0,_xlfn.XLOOKUP(E418&amp;U418&amp;F418,tab_act&amp;tab_mod&amp;tab_act1,tab_csb1)*V418*T418/MGMT)</f>
        <v>0</v>
      </c>
      <c r="AF418" s="113" cm="1">
        <f t="array" ref="AF418">IF(U418="",0,_xlfn.XLOOKUP(E418&amp;U418&amp;F418,tab_act&amp;tab_mod&amp;tab_act1,tab_csb2)*V418*T418/MGMT)</f>
        <v>0</v>
      </c>
      <c r="AG418" s="113" cm="1">
        <f t="array" ref="AG418">IF(U418="",0,_xlfn.XLOOKUP(E418&amp;U418&amp;F418,tab_act&amp;tab_mod&amp;tab_act1,tab_pdoz)*V418*T418/MGMT)</f>
        <v>0.41249999999999998</v>
      </c>
      <c r="AH418" s="113" cm="1">
        <f t="array" ref="AH418">IF(U418="",0,_xlfn.XLOOKUP(E418&amp;U418&amp;F418,tab_act&amp;tab_mod&amp;tab_act1,tab_lns)*V418*T418/MGMT)</f>
        <v>0</v>
      </c>
      <c r="AI418" s="114">
        <f t="shared" si="32"/>
        <v>0.41249999999999998</v>
      </c>
      <c r="AJ418" s="115" cm="1">
        <f t="array" ref="AJ418">IF(U418="",0,_xlfn.XLOOKUP(E418&amp;U418&amp;F418,tab_act&amp;tab_mod&amp;tab_act1,tab_cash)*T418)</f>
        <v>0</v>
      </c>
      <c r="AK418" s="148" cm="1">
        <f t="array" ref="AK418">IF(B418="",0,IF(C418="",0,AJ418/_xlfn.XLOOKUP(B418&amp;C418,RMth&amp;RYr,RAr)))</f>
        <v>0</v>
      </c>
      <c r="AL418" s="90"/>
      <c r="AM418" s="90"/>
      <c r="AN418" s="141" t="s">
        <v>248</v>
      </c>
    </row>
    <row r="419" spans="2:40" x14ac:dyDescent="0.35">
      <c r="B419" s="50" t="s">
        <v>130</v>
      </c>
      <c r="C419" s="44">
        <v>2023</v>
      </c>
      <c r="D419" s="44" t="s">
        <v>100</v>
      </c>
      <c r="E419" s="15" t="s">
        <v>39</v>
      </c>
      <c r="F419" s="143" t="s">
        <v>22</v>
      </c>
      <c r="G419" s="15" t="s">
        <v>159</v>
      </c>
      <c r="H419" s="44"/>
      <c r="I419" s="15" t="s">
        <v>94</v>
      </c>
      <c r="J419" s="15" t="s">
        <v>94</v>
      </c>
      <c r="K419" s="15" t="s">
        <v>160</v>
      </c>
      <c r="L419" s="15" t="s">
        <v>95</v>
      </c>
      <c r="M419" s="15" t="s">
        <v>94</v>
      </c>
      <c r="N419" s="15" t="s">
        <v>67</v>
      </c>
      <c r="O419" s="15" t="s">
        <v>161</v>
      </c>
      <c r="P419" s="43" t="s">
        <v>181</v>
      </c>
      <c r="Q419" s="42">
        <v>48.4</v>
      </c>
      <c r="R419" s="42">
        <v>61.6</v>
      </c>
      <c r="S419" s="42">
        <f t="shared" si="33"/>
        <v>110</v>
      </c>
      <c r="T419" s="43">
        <f t="shared" si="34"/>
        <v>110</v>
      </c>
      <c r="U419" s="15" t="s">
        <v>41</v>
      </c>
      <c r="V419" s="150">
        <v>30</v>
      </c>
      <c r="W419" s="111" cm="1">
        <f t="array" ref="W419">IF(U419="",0,_xlfn.XLOOKUP(E419&amp;U419&amp;F419,tab_act&amp;tab_mod&amp;tab_act1,tab_riz)*V419*T419/MGMT)</f>
        <v>0</v>
      </c>
      <c r="X419" s="112" cm="1">
        <f t="array" ref="X419">IF(U419="",0,_xlfn.XLOOKUP(E419&amp;U419&amp;F419,tab_act&amp;tab_mod&amp;tab_act1,tab_mc)*V419*T419/MGMT)</f>
        <v>0</v>
      </c>
      <c r="Y419" s="112" cm="1">
        <f t="array" ref="Y419">IF(U419="",0,_xlfn.XLOOKUP(E419&amp;U419&amp;F419,tab_act&amp;tab_mod&amp;tab_act1,tab_sor)*V419*T419/MGMT)</f>
        <v>0</v>
      </c>
      <c r="Z419" s="112" cm="1">
        <f t="array" ref="Z419">IF(U419="",0,_xlfn.XLOOKUP(E419&amp;U419&amp;F419,tab_act&amp;tab_mod&amp;tab_act1,tab_mg)*V419*T419/MGMT)</f>
        <v>0</v>
      </c>
      <c r="AA419" s="113" cm="1">
        <f t="array" ref="AA419">IF(U419="",0,IF(U419="hybrid-Sch",_xlfn.XLOOKUP(E419&amp;U419&amp;F419,tab_act&amp;tab_mod&amp;tab_act1,tab_ls)*SchLS*T419/MGMT,_xlfn.XLOOKUP(E419&amp;U419&amp;F419,tab_act&amp;tab_mod&amp;tab_act1,tab_ls)*V419*T419/MGMT))</f>
        <v>0</v>
      </c>
      <c r="AB419" s="113" cm="1">
        <f t="array" ref="AB419">IF(U419="",0,_xlfn.XLOOKUP(E419&amp;U419&amp;F419,tab_act&amp;tab_mod&amp;tab_act1,tab_hu)*V419*T419/MGMT)</f>
        <v>0</v>
      </c>
      <c r="AC419" s="113" cm="1">
        <f t="array" ref="AC419">IF(U419="",0,_xlfn.XLOOKUP(E419&amp;U419&amp;F419,tab_act&amp;tab_mod&amp;tab_act1,tab_mnp)*V419*T419/MGMT)</f>
        <v>0</v>
      </c>
      <c r="AD419" s="113" cm="1">
        <f t="array" ref="AD419">IF(U419="",0,_xlfn.XLOOKUP(E419&amp;U419&amp;F419,tab_act&amp;tab_mod&amp;tab_act1,tab_Psup)*V419*T419/MGMT)</f>
        <v>0</v>
      </c>
      <c r="AE419" s="113" cm="1">
        <f t="array" ref="AE419">IF(U419="",0,_xlfn.XLOOKUP(E419&amp;U419&amp;F419,tab_act&amp;tab_mod&amp;tab_act1,tab_csb1)*V419*T419/MGMT)</f>
        <v>0</v>
      </c>
      <c r="AF419" s="113" cm="1">
        <f t="array" ref="AF419">IF(U419="",0,_xlfn.XLOOKUP(E419&amp;U419&amp;F419,tab_act&amp;tab_mod&amp;tab_act1,tab_csb2)*V419*T419/MGMT)</f>
        <v>0</v>
      </c>
      <c r="AG419" s="113" cm="1">
        <f t="array" ref="AG419">IF(U419="",0,_xlfn.XLOOKUP(E419&amp;U419&amp;F419,tab_act&amp;tab_mod&amp;tab_act1,tab_pdoz)*V419*T419/MGMT)</f>
        <v>0.16500000000000001</v>
      </c>
      <c r="AH419" s="113" cm="1">
        <f t="array" ref="AH419">IF(U419="",0,_xlfn.XLOOKUP(E419&amp;U419&amp;F419,tab_act&amp;tab_mod&amp;tab_act1,tab_lns)*V419*T419/MGMT)</f>
        <v>0</v>
      </c>
      <c r="AI419" s="114">
        <f t="shared" si="32"/>
        <v>0.16500000000000001</v>
      </c>
      <c r="AJ419" s="115" cm="1">
        <f t="array" ref="AJ419">IF(U419="",0,_xlfn.XLOOKUP(E419&amp;U419&amp;F419,tab_act&amp;tab_mod&amp;tab_act1,tab_cash)*T419)</f>
        <v>0</v>
      </c>
      <c r="AK419" s="148" cm="1">
        <f t="array" ref="AK419">IF(B419="",0,IF(C419="",0,AJ419/_xlfn.XLOOKUP(B419&amp;C419,RMth&amp;RYr,RAr)))</f>
        <v>0</v>
      </c>
      <c r="AL419" s="90"/>
      <c r="AM419" s="90"/>
      <c r="AN419" s="141" t="s">
        <v>248</v>
      </c>
    </row>
    <row r="420" spans="2:40" x14ac:dyDescent="0.35">
      <c r="B420" s="50" t="s">
        <v>130</v>
      </c>
      <c r="C420" s="44">
        <v>2023</v>
      </c>
      <c r="D420" s="44" t="s">
        <v>100</v>
      </c>
      <c r="E420" s="15" t="s">
        <v>39</v>
      </c>
      <c r="F420" s="143" t="s">
        <v>22</v>
      </c>
      <c r="G420" s="15" t="s">
        <v>159</v>
      </c>
      <c r="H420" s="44"/>
      <c r="I420" s="15" t="s">
        <v>94</v>
      </c>
      <c r="J420" s="15" t="s">
        <v>94</v>
      </c>
      <c r="K420" s="15" t="s">
        <v>160</v>
      </c>
      <c r="L420" s="15" t="s">
        <v>95</v>
      </c>
      <c r="M420" s="15" t="s">
        <v>94</v>
      </c>
      <c r="N420" s="15" t="s">
        <v>67</v>
      </c>
      <c r="O420" s="15" t="s">
        <v>182</v>
      </c>
      <c r="P420" s="43" t="s">
        <v>183</v>
      </c>
      <c r="Q420" s="42">
        <v>101.2</v>
      </c>
      <c r="R420" s="42">
        <v>78.099999999999994</v>
      </c>
      <c r="S420" s="42">
        <f t="shared" si="33"/>
        <v>179.3</v>
      </c>
      <c r="T420" s="43">
        <f t="shared" si="34"/>
        <v>179.3</v>
      </c>
      <c r="U420" s="15" t="s">
        <v>41</v>
      </c>
      <c r="V420" s="150">
        <v>30</v>
      </c>
      <c r="W420" s="111" cm="1">
        <f t="array" ref="W420">IF(U420="",0,_xlfn.XLOOKUP(E420&amp;U420&amp;F420,tab_act&amp;tab_mod&amp;tab_act1,tab_riz)*V420*T420/MGMT)</f>
        <v>0</v>
      </c>
      <c r="X420" s="112" cm="1">
        <f t="array" ref="X420">IF(U420="",0,_xlfn.XLOOKUP(E420&amp;U420&amp;F420,tab_act&amp;tab_mod&amp;tab_act1,tab_mc)*V420*T420/MGMT)</f>
        <v>0</v>
      </c>
      <c r="Y420" s="112" cm="1">
        <f t="array" ref="Y420">IF(U420="",0,_xlfn.XLOOKUP(E420&amp;U420&amp;F420,tab_act&amp;tab_mod&amp;tab_act1,tab_sor)*V420*T420/MGMT)</f>
        <v>0</v>
      </c>
      <c r="Z420" s="112" cm="1">
        <f t="array" ref="Z420">IF(U420="",0,_xlfn.XLOOKUP(E420&amp;U420&amp;F420,tab_act&amp;tab_mod&amp;tab_act1,tab_mg)*V420*T420/MGMT)</f>
        <v>0</v>
      </c>
      <c r="AA420" s="113" cm="1">
        <f t="array" ref="AA420">IF(U420="",0,IF(U420="hybrid-Sch",_xlfn.XLOOKUP(E420&amp;U420&amp;F420,tab_act&amp;tab_mod&amp;tab_act1,tab_ls)*SchLS*T420/MGMT,_xlfn.XLOOKUP(E420&amp;U420&amp;F420,tab_act&amp;tab_mod&amp;tab_act1,tab_ls)*V420*T420/MGMT))</f>
        <v>0</v>
      </c>
      <c r="AB420" s="113" cm="1">
        <f t="array" ref="AB420">IF(U420="",0,_xlfn.XLOOKUP(E420&amp;U420&amp;F420,tab_act&amp;tab_mod&amp;tab_act1,tab_hu)*V420*T420/MGMT)</f>
        <v>0</v>
      </c>
      <c r="AC420" s="113" cm="1">
        <f t="array" ref="AC420">IF(U420="",0,_xlfn.XLOOKUP(E420&amp;U420&amp;F420,tab_act&amp;tab_mod&amp;tab_act1,tab_mnp)*V420*T420/MGMT)</f>
        <v>0</v>
      </c>
      <c r="AD420" s="113" cm="1">
        <f t="array" ref="AD420">IF(U420="",0,_xlfn.XLOOKUP(E420&amp;U420&amp;F420,tab_act&amp;tab_mod&amp;tab_act1,tab_Psup)*V420*T420/MGMT)</f>
        <v>0</v>
      </c>
      <c r="AE420" s="113" cm="1">
        <f t="array" ref="AE420">IF(U420="",0,_xlfn.XLOOKUP(E420&amp;U420&amp;F420,tab_act&amp;tab_mod&amp;tab_act1,tab_csb1)*V420*T420/MGMT)</f>
        <v>0</v>
      </c>
      <c r="AF420" s="113" cm="1">
        <f t="array" ref="AF420">IF(U420="",0,_xlfn.XLOOKUP(E420&amp;U420&amp;F420,tab_act&amp;tab_mod&amp;tab_act1,tab_csb2)*V420*T420/MGMT)</f>
        <v>0</v>
      </c>
      <c r="AG420" s="113" cm="1">
        <f t="array" ref="AG420">IF(U420="",0,_xlfn.XLOOKUP(E420&amp;U420&amp;F420,tab_act&amp;tab_mod&amp;tab_act1,tab_pdoz)*V420*T420/MGMT)</f>
        <v>0.26895000000000002</v>
      </c>
      <c r="AH420" s="113" cm="1">
        <f t="array" ref="AH420">IF(U420="",0,_xlfn.XLOOKUP(E420&amp;U420&amp;F420,tab_act&amp;tab_mod&amp;tab_act1,tab_lns)*V420*T420/MGMT)</f>
        <v>0</v>
      </c>
      <c r="AI420" s="114">
        <f t="shared" si="32"/>
        <v>0.26895000000000002</v>
      </c>
      <c r="AJ420" s="115" cm="1">
        <f t="array" ref="AJ420">IF(U420="",0,_xlfn.XLOOKUP(E420&amp;U420&amp;F420,tab_act&amp;tab_mod&amp;tab_act1,tab_cash)*T420)</f>
        <v>0</v>
      </c>
      <c r="AK420" s="148" cm="1">
        <f t="array" ref="AK420">IF(B420="",0,IF(C420="",0,AJ420/_xlfn.XLOOKUP(B420&amp;C420,RMth&amp;RYr,RAr)))</f>
        <v>0</v>
      </c>
      <c r="AL420" s="90"/>
      <c r="AM420" s="90"/>
      <c r="AN420" s="141" t="s">
        <v>248</v>
      </c>
    </row>
    <row r="421" spans="2:40" x14ac:dyDescent="0.35">
      <c r="B421" s="50" t="s">
        <v>130</v>
      </c>
      <c r="C421" s="44">
        <v>2023</v>
      </c>
      <c r="D421" s="44" t="s">
        <v>100</v>
      </c>
      <c r="E421" s="15" t="s">
        <v>39</v>
      </c>
      <c r="F421" s="143" t="s">
        <v>22</v>
      </c>
      <c r="G421" s="15" t="s">
        <v>159</v>
      </c>
      <c r="H421" s="44"/>
      <c r="I421" s="15" t="s">
        <v>94</v>
      </c>
      <c r="J421" s="15" t="s">
        <v>94</v>
      </c>
      <c r="K421" s="15" t="s">
        <v>160</v>
      </c>
      <c r="L421" s="15" t="s">
        <v>95</v>
      </c>
      <c r="M421" s="15" t="s">
        <v>94</v>
      </c>
      <c r="N421" s="15" t="s">
        <v>67</v>
      </c>
      <c r="O421" s="15" t="s">
        <v>182</v>
      </c>
      <c r="P421" s="43" t="s">
        <v>184</v>
      </c>
      <c r="Q421" s="42">
        <v>46.2</v>
      </c>
      <c r="R421" s="42">
        <v>57.2</v>
      </c>
      <c r="S421" s="42">
        <f t="shared" si="33"/>
        <v>103.4</v>
      </c>
      <c r="T421" s="43">
        <f t="shared" si="34"/>
        <v>103.4</v>
      </c>
      <c r="U421" s="15" t="s">
        <v>41</v>
      </c>
      <c r="V421" s="150">
        <v>30</v>
      </c>
      <c r="W421" s="111" cm="1">
        <f t="array" ref="W421">IF(U421="",0,_xlfn.XLOOKUP(E421&amp;U421&amp;F421,tab_act&amp;tab_mod&amp;tab_act1,tab_riz)*V421*T421/MGMT)</f>
        <v>0</v>
      </c>
      <c r="X421" s="112" cm="1">
        <f t="array" ref="X421">IF(U421="",0,_xlfn.XLOOKUP(E421&amp;U421&amp;F421,tab_act&amp;tab_mod&amp;tab_act1,tab_mc)*V421*T421/MGMT)</f>
        <v>0</v>
      </c>
      <c r="Y421" s="112" cm="1">
        <f t="array" ref="Y421">IF(U421="",0,_xlfn.XLOOKUP(E421&amp;U421&amp;F421,tab_act&amp;tab_mod&amp;tab_act1,tab_sor)*V421*T421/MGMT)</f>
        <v>0</v>
      </c>
      <c r="Z421" s="112" cm="1">
        <f t="array" ref="Z421">IF(U421="",0,_xlfn.XLOOKUP(E421&amp;U421&amp;F421,tab_act&amp;tab_mod&amp;tab_act1,tab_mg)*V421*T421/MGMT)</f>
        <v>0</v>
      </c>
      <c r="AA421" s="113" cm="1">
        <f t="array" ref="AA421">IF(U421="",0,IF(U421="hybrid-Sch",_xlfn.XLOOKUP(E421&amp;U421&amp;F421,tab_act&amp;tab_mod&amp;tab_act1,tab_ls)*SchLS*T421/MGMT,_xlfn.XLOOKUP(E421&amp;U421&amp;F421,tab_act&amp;tab_mod&amp;tab_act1,tab_ls)*V421*T421/MGMT))</f>
        <v>0</v>
      </c>
      <c r="AB421" s="113" cm="1">
        <f t="array" ref="AB421">IF(U421="",0,_xlfn.XLOOKUP(E421&amp;U421&amp;F421,tab_act&amp;tab_mod&amp;tab_act1,tab_hu)*V421*T421/MGMT)</f>
        <v>0</v>
      </c>
      <c r="AC421" s="113" cm="1">
        <f t="array" ref="AC421">IF(U421="",0,_xlfn.XLOOKUP(E421&amp;U421&amp;F421,tab_act&amp;tab_mod&amp;tab_act1,tab_mnp)*V421*T421/MGMT)</f>
        <v>0</v>
      </c>
      <c r="AD421" s="113" cm="1">
        <f t="array" ref="AD421">IF(U421="",0,_xlfn.XLOOKUP(E421&amp;U421&amp;F421,tab_act&amp;tab_mod&amp;tab_act1,tab_Psup)*V421*T421/MGMT)</f>
        <v>0</v>
      </c>
      <c r="AE421" s="113" cm="1">
        <f t="array" ref="AE421">IF(U421="",0,_xlfn.XLOOKUP(E421&amp;U421&amp;F421,tab_act&amp;tab_mod&amp;tab_act1,tab_csb1)*V421*T421/MGMT)</f>
        <v>0</v>
      </c>
      <c r="AF421" s="113" cm="1">
        <f t="array" ref="AF421">IF(U421="",0,_xlfn.XLOOKUP(E421&amp;U421&amp;F421,tab_act&amp;tab_mod&amp;tab_act1,tab_csb2)*V421*T421/MGMT)</f>
        <v>0</v>
      </c>
      <c r="AG421" s="113" cm="1">
        <f t="array" ref="AG421">IF(U421="",0,_xlfn.XLOOKUP(E421&amp;U421&amp;F421,tab_act&amp;tab_mod&amp;tab_act1,tab_pdoz)*V421*T421/MGMT)</f>
        <v>0.15509999999999999</v>
      </c>
      <c r="AH421" s="113" cm="1">
        <f t="array" ref="AH421">IF(U421="",0,_xlfn.XLOOKUP(E421&amp;U421&amp;F421,tab_act&amp;tab_mod&amp;tab_act1,tab_lns)*V421*T421/MGMT)</f>
        <v>0</v>
      </c>
      <c r="AI421" s="114">
        <f t="shared" si="32"/>
        <v>0.15509999999999999</v>
      </c>
      <c r="AJ421" s="115" cm="1">
        <f t="array" ref="AJ421">IF(U421="",0,_xlfn.XLOOKUP(E421&amp;U421&amp;F421,tab_act&amp;tab_mod&amp;tab_act1,tab_cash)*T421)</f>
        <v>0</v>
      </c>
      <c r="AK421" s="148" cm="1">
        <f t="array" ref="AK421">IF(B421="",0,IF(C421="",0,AJ421/_xlfn.XLOOKUP(B421&amp;C421,RMth&amp;RYr,RAr)))</f>
        <v>0</v>
      </c>
      <c r="AL421" s="90"/>
      <c r="AM421" s="90"/>
      <c r="AN421" s="141" t="s">
        <v>248</v>
      </c>
    </row>
    <row r="422" spans="2:40" x14ac:dyDescent="0.35">
      <c r="B422" s="50" t="s">
        <v>130</v>
      </c>
      <c r="C422" s="44">
        <v>2023</v>
      </c>
      <c r="D422" s="44" t="s">
        <v>100</v>
      </c>
      <c r="E422" s="15" t="s">
        <v>39</v>
      </c>
      <c r="F422" s="143" t="s">
        <v>22</v>
      </c>
      <c r="G422" s="15" t="s">
        <v>159</v>
      </c>
      <c r="H422" s="44"/>
      <c r="I422" s="15" t="s">
        <v>94</v>
      </c>
      <c r="J422" s="15" t="s">
        <v>94</v>
      </c>
      <c r="K422" s="15" t="s">
        <v>160</v>
      </c>
      <c r="L422" s="15" t="s">
        <v>95</v>
      </c>
      <c r="M422" s="15" t="s">
        <v>94</v>
      </c>
      <c r="N422" s="15" t="s">
        <v>67</v>
      </c>
      <c r="O422" s="15" t="s">
        <v>182</v>
      </c>
      <c r="P422" s="43" t="s">
        <v>185</v>
      </c>
      <c r="Q422" s="42">
        <v>136.4</v>
      </c>
      <c r="R422" s="42">
        <v>191.4</v>
      </c>
      <c r="S422" s="42">
        <f t="shared" si="33"/>
        <v>327.8</v>
      </c>
      <c r="T422" s="43">
        <f t="shared" si="34"/>
        <v>327.8</v>
      </c>
      <c r="U422" s="15" t="s">
        <v>41</v>
      </c>
      <c r="V422" s="150">
        <v>30</v>
      </c>
      <c r="W422" s="111" cm="1">
        <f t="array" ref="W422">IF(U422="",0,_xlfn.XLOOKUP(E422&amp;U422&amp;F422,tab_act&amp;tab_mod&amp;tab_act1,tab_riz)*V422*T422/MGMT)</f>
        <v>0</v>
      </c>
      <c r="X422" s="112" cm="1">
        <f t="array" ref="X422">IF(U422="",0,_xlfn.XLOOKUP(E422&amp;U422&amp;F422,tab_act&amp;tab_mod&amp;tab_act1,tab_mc)*V422*T422/MGMT)</f>
        <v>0</v>
      </c>
      <c r="Y422" s="112" cm="1">
        <f t="array" ref="Y422">IF(U422="",0,_xlfn.XLOOKUP(E422&amp;U422&amp;F422,tab_act&amp;tab_mod&amp;tab_act1,tab_sor)*V422*T422/MGMT)</f>
        <v>0</v>
      </c>
      <c r="Z422" s="112" cm="1">
        <f t="array" ref="Z422">IF(U422="",0,_xlfn.XLOOKUP(E422&amp;U422&amp;F422,tab_act&amp;tab_mod&amp;tab_act1,tab_mg)*V422*T422/MGMT)</f>
        <v>0</v>
      </c>
      <c r="AA422" s="113" cm="1">
        <f t="array" ref="AA422">IF(U422="",0,IF(U422="hybrid-Sch",_xlfn.XLOOKUP(E422&amp;U422&amp;F422,tab_act&amp;tab_mod&amp;tab_act1,tab_ls)*SchLS*T422/MGMT,_xlfn.XLOOKUP(E422&amp;U422&amp;F422,tab_act&amp;tab_mod&amp;tab_act1,tab_ls)*V422*T422/MGMT))</f>
        <v>0</v>
      </c>
      <c r="AB422" s="113" cm="1">
        <f t="array" ref="AB422">IF(U422="",0,_xlfn.XLOOKUP(E422&amp;U422&amp;F422,tab_act&amp;tab_mod&amp;tab_act1,tab_hu)*V422*T422/MGMT)</f>
        <v>0</v>
      </c>
      <c r="AC422" s="113" cm="1">
        <f t="array" ref="AC422">IF(U422="",0,_xlfn.XLOOKUP(E422&amp;U422&amp;F422,tab_act&amp;tab_mod&amp;tab_act1,tab_mnp)*V422*T422/MGMT)</f>
        <v>0</v>
      </c>
      <c r="AD422" s="113" cm="1">
        <f t="array" ref="AD422">IF(U422="",0,_xlfn.XLOOKUP(E422&amp;U422&amp;F422,tab_act&amp;tab_mod&amp;tab_act1,tab_Psup)*V422*T422/MGMT)</f>
        <v>0</v>
      </c>
      <c r="AE422" s="113" cm="1">
        <f t="array" ref="AE422">IF(U422="",0,_xlfn.XLOOKUP(E422&amp;U422&amp;F422,tab_act&amp;tab_mod&amp;tab_act1,tab_csb1)*V422*T422/MGMT)</f>
        <v>0</v>
      </c>
      <c r="AF422" s="113" cm="1">
        <f t="array" ref="AF422">IF(U422="",0,_xlfn.XLOOKUP(E422&amp;U422&amp;F422,tab_act&amp;tab_mod&amp;tab_act1,tab_csb2)*V422*T422/MGMT)</f>
        <v>0</v>
      </c>
      <c r="AG422" s="113" cm="1">
        <f t="array" ref="AG422">IF(U422="",0,_xlfn.XLOOKUP(E422&amp;U422&amp;F422,tab_act&amp;tab_mod&amp;tab_act1,tab_pdoz)*V422*T422/MGMT)</f>
        <v>0.49170000000000003</v>
      </c>
      <c r="AH422" s="113" cm="1">
        <f t="array" ref="AH422">IF(U422="",0,_xlfn.XLOOKUP(E422&amp;U422&amp;F422,tab_act&amp;tab_mod&amp;tab_act1,tab_lns)*V422*T422/MGMT)</f>
        <v>0</v>
      </c>
      <c r="AI422" s="114">
        <f t="shared" si="32"/>
        <v>0.49170000000000003</v>
      </c>
      <c r="AJ422" s="115" cm="1">
        <f t="array" ref="AJ422">IF(U422="",0,_xlfn.XLOOKUP(E422&amp;U422&amp;F422,tab_act&amp;tab_mod&amp;tab_act1,tab_cash)*T422)</f>
        <v>0</v>
      </c>
      <c r="AK422" s="148" cm="1">
        <f t="array" ref="AK422">IF(B422="",0,IF(C422="",0,AJ422/_xlfn.XLOOKUP(B422&amp;C422,RMth&amp;RYr,RAr)))</f>
        <v>0</v>
      </c>
      <c r="AL422" s="90"/>
      <c r="AM422" s="90"/>
      <c r="AN422" s="141" t="s">
        <v>248</v>
      </c>
    </row>
    <row r="423" spans="2:40" x14ac:dyDescent="0.35">
      <c r="B423" s="50" t="s">
        <v>130</v>
      </c>
      <c r="C423" s="44">
        <v>2023</v>
      </c>
      <c r="D423" s="44" t="s">
        <v>100</v>
      </c>
      <c r="E423" s="15" t="s">
        <v>39</v>
      </c>
      <c r="F423" s="143" t="s">
        <v>22</v>
      </c>
      <c r="G423" s="15" t="s">
        <v>159</v>
      </c>
      <c r="H423" s="44"/>
      <c r="I423" s="15" t="s">
        <v>94</v>
      </c>
      <c r="J423" s="15" t="s">
        <v>94</v>
      </c>
      <c r="K423" s="15" t="s">
        <v>160</v>
      </c>
      <c r="L423" s="15" t="s">
        <v>95</v>
      </c>
      <c r="M423" s="15" t="s">
        <v>94</v>
      </c>
      <c r="N423" s="15" t="s">
        <v>67</v>
      </c>
      <c r="O423" s="15" t="s">
        <v>182</v>
      </c>
      <c r="P423" s="43" t="s">
        <v>186</v>
      </c>
      <c r="Q423" s="42">
        <v>114.4</v>
      </c>
      <c r="R423" s="42">
        <v>134.19999999999999</v>
      </c>
      <c r="S423" s="42">
        <f t="shared" si="33"/>
        <v>248.6</v>
      </c>
      <c r="T423" s="43">
        <f t="shared" si="34"/>
        <v>248.6</v>
      </c>
      <c r="U423" s="15" t="s">
        <v>41</v>
      </c>
      <c r="V423" s="150">
        <v>30</v>
      </c>
      <c r="W423" s="111" cm="1">
        <f t="array" ref="W423">IF(U423="",0,_xlfn.XLOOKUP(E423&amp;U423&amp;F423,tab_act&amp;tab_mod&amp;tab_act1,tab_riz)*V423*T423/MGMT)</f>
        <v>0</v>
      </c>
      <c r="X423" s="112" cm="1">
        <f t="array" ref="X423">IF(U423="",0,_xlfn.XLOOKUP(E423&amp;U423&amp;F423,tab_act&amp;tab_mod&amp;tab_act1,tab_mc)*V423*T423/MGMT)</f>
        <v>0</v>
      </c>
      <c r="Y423" s="112" cm="1">
        <f t="array" ref="Y423">IF(U423="",0,_xlfn.XLOOKUP(E423&amp;U423&amp;F423,tab_act&amp;tab_mod&amp;tab_act1,tab_sor)*V423*T423/MGMT)</f>
        <v>0</v>
      </c>
      <c r="Z423" s="112" cm="1">
        <f t="array" ref="Z423">IF(U423="",0,_xlfn.XLOOKUP(E423&amp;U423&amp;F423,tab_act&amp;tab_mod&amp;tab_act1,tab_mg)*V423*T423/MGMT)</f>
        <v>0</v>
      </c>
      <c r="AA423" s="113" cm="1">
        <f t="array" ref="AA423">IF(U423="",0,IF(U423="hybrid-Sch",_xlfn.XLOOKUP(E423&amp;U423&amp;F423,tab_act&amp;tab_mod&amp;tab_act1,tab_ls)*SchLS*T423/MGMT,_xlfn.XLOOKUP(E423&amp;U423&amp;F423,tab_act&amp;tab_mod&amp;tab_act1,tab_ls)*V423*T423/MGMT))</f>
        <v>0</v>
      </c>
      <c r="AB423" s="113" cm="1">
        <f t="array" ref="AB423">IF(U423="",0,_xlfn.XLOOKUP(E423&amp;U423&amp;F423,tab_act&amp;tab_mod&amp;tab_act1,tab_hu)*V423*T423/MGMT)</f>
        <v>0</v>
      </c>
      <c r="AC423" s="113" cm="1">
        <f t="array" ref="AC423">IF(U423="",0,_xlfn.XLOOKUP(E423&amp;U423&amp;F423,tab_act&amp;tab_mod&amp;tab_act1,tab_mnp)*V423*T423/MGMT)</f>
        <v>0</v>
      </c>
      <c r="AD423" s="113" cm="1">
        <f t="array" ref="AD423">IF(U423="",0,_xlfn.XLOOKUP(E423&amp;U423&amp;F423,tab_act&amp;tab_mod&amp;tab_act1,tab_Psup)*V423*T423/MGMT)</f>
        <v>0</v>
      </c>
      <c r="AE423" s="113" cm="1">
        <f t="array" ref="AE423">IF(U423="",0,_xlfn.XLOOKUP(E423&amp;U423&amp;F423,tab_act&amp;tab_mod&amp;tab_act1,tab_csb1)*V423*T423/MGMT)</f>
        <v>0</v>
      </c>
      <c r="AF423" s="113" cm="1">
        <f t="array" ref="AF423">IF(U423="",0,_xlfn.XLOOKUP(E423&amp;U423&amp;F423,tab_act&amp;tab_mod&amp;tab_act1,tab_csb2)*V423*T423/MGMT)</f>
        <v>0</v>
      </c>
      <c r="AG423" s="113" cm="1">
        <f t="array" ref="AG423">IF(U423="",0,_xlfn.XLOOKUP(E423&amp;U423&amp;F423,tab_act&amp;tab_mod&amp;tab_act1,tab_pdoz)*V423*T423/MGMT)</f>
        <v>0.37290000000000001</v>
      </c>
      <c r="AH423" s="113" cm="1">
        <f t="array" ref="AH423">IF(U423="",0,_xlfn.XLOOKUP(E423&amp;U423&amp;F423,tab_act&amp;tab_mod&amp;tab_act1,tab_lns)*V423*T423/MGMT)</f>
        <v>0</v>
      </c>
      <c r="AI423" s="114">
        <f t="shared" si="32"/>
        <v>0.37290000000000001</v>
      </c>
      <c r="AJ423" s="115" cm="1">
        <f t="array" ref="AJ423">IF(U423="",0,_xlfn.XLOOKUP(E423&amp;U423&amp;F423,tab_act&amp;tab_mod&amp;tab_act1,tab_cash)*T423)</f>
        <v>0</v>
      </c>
      <c r="AK423" s="148" cm="1">
        <f t="array" ref="AK423">IF(B423="",0,IF(C423="",0,AJ423/_xlfn.XLOOKUP(B423&amp;C423,RMth&amp;RYr,RAr)))</f>
        <v>0</v>
      </c>
      <c r="AL423" s="90"/>
      <c r="AM423" s="90"/>
      <c r="AN423" s="141" t="s">
        <v>248</v>
      </c>
    </row>
    <row r="424" spans="2:40" x14ac:dyDescent="0.35">
      <c r="B424" s="50" t="s">
        <v>130</v>
      </c>
      <c r="C424" s="44">
        <v>2023</v>
      </c>
      <c r="D424" s="44" t="s">
        <v>100</v>
      </c>
      <c r="E424" s="15" t="s">
        <v>39</v>
      </c>
      <c r="F424" s="143" t="s">
        <v>22</v>
      </c>
      <c r="G424" s="15" t="s">
        <v>159</v>
      </c>
      <c r="H424" s="44"/>
      <c r="I424" s="15" t="s">
        <v>94</v>
      </c>
      <c r="J424" s="15" t="s">
        <v>94</v>
      </c>
      <c r="K424" s="15" t="s">
        <v>160</v>
      </c>
      <c r="L424" s="15" t="s">
        <v>95</v>
      </c>
      <c r="M424" s="15" t="s">
        <v>94</v>
      </c>
      <c r="N424" s="15" t="s">
        <v>67</v>
      </c>
      <c r="O424" s="15" t="s">
        <v>182</v>
      </c>
      <c r="P424" s="43" t="s">
        <v>187</v>
      </c>
      <c r="Q424" s="42">
        <v>86.9</v>
      </c>
      <c r="R424" s="42">
        <v>133.1</v>
      </c>
      <c r="S424" s="42">
        <f t="shared" si="33"/>
        <v>220</v>
      </c>
      <c r="T424" s="43">
        <f t="shared" si="34"/>
        <v>220</v>
      </c>
      <c r="U424" s="15" t="s">
        <v>41</v>
      </c>
      <c r="V424" s="150">
        <v>30</v>
      </c>
      <c r="W424" s="111" cm="1">
        <f t="array" ref="W424">IF(U424="",0,_xlfn.XLOOKUP(E424&amp;U424&amp;F424,tab_act&amp;tab_mod&amp;tab_act1,tab_riz)*V424*T424/MGMT)</f>
        <v>0</v>
      </c>
      <c r="X424" s="112" cm="1">
        <f t="array" ref="X424">IF(U424="",0,_xlfn.XLOOKUP(E424&amp;U424&amp;F424,tab_act&amp;tab_mod&amp;tab_act1,tab_mc)*V424*T424/MGMT)</f>
        <v>0</v>
      </c>
      <c r="Y424" s="112" cm="1">
        <f t="array" ref="Y424">IF(U424="",0,_xlfn.XLOOKUP(E424&amp;U424&amp;F424,tab_act&amp;tab_mod&amp;tab_act1,tab_sor)*V424*T424/MGMT)</f>
        <v>0</v>
      </c>
      <c r="Z424" s="112" cm="1">
        <f t="array" ref="Z424">IF(U424="",0,_xlfn.XLOOKUP(E424&amp;U424&amp;F424,tab_act&amp;tab_mod&amp;tab_act1,tab_mg)*V424*T424/MGMT)</f>
        <v>0</v>
      </c>
      <c r="AA424" s="113" cm="1">
        <f t="array" ref="AA424">IF(U424="",0,IF(U424="hybrid-Sch",_xlfn.XLOOKUP(E424&amp;U424&amp;F424,tab_act&amp;tab_mod&amp;tab_act1,tab_ls)*SchLS*T424/MGMT,_xlfn.XLOOKUP(E424&amp;U424&amp;F424,tab_act&amp;tab_mod&amp;tab_act1,tab_ls)*V424*T424/MGMT))</f>
        <v>0</v>
      </c>
      <c r="AB424" s="113" cm="1">
        <f t="array" ref="AB424">IF(U424="",0,_xlfn.XLOOKUP(E424&amp;U424&amp;F424,tab_act&amp;tab_mod&amp;tab_act1,tab_hu)*V424*T424/MGMT)</f>
        <v>0</v>
      </c>
      <c r="AC424" s="113" cm="1">
        <f t="array" ref="AC424">IF(U424="",0,_xlfn.XLOOKUP(E424&amp;U424&amp;F424,tab_act&amp;tab_mod&amp;tab_act1,tab_mnp)*V424*T424/MGMT)</f>
        <v>0</v>
      </c>
      <c r="AD424" s="113" cm="1">
        <f t="array" ref="AD424">IF(U424="",0,_xlfn.XLOOKUP(E424&amp;U424&amp;F424,tab_act&amp;tab_mod&amp;tab_act1,tab_Psup)*V424*T424/MGMT)</f>
        <v>0</v>
      </c>
      <c r="AE424" s="113" cm="1">
        <f t="array" ref="AE424">IF(U424="",0,_xlfn.XLOOKUP(E424&amp;U424&amp;F424,tab_act&amp;tab_mod&amp;tab_act1,tab_csb1)*V424*T424/MGMT)</f>
        <v>0</v>
      </c>
      <c r="AF424" s="113" cm="1">
        <f t="array" ref="AF424">IF(U424="",0,_xlfn.XLOOKUP(E424&amp;U424&amp;F424,tab_act&amp;tab_mod&amp;tab_act1,tab_csb2)*V424*T424/MGMT)</f>
        <v>0</v>
      </c>
      <c r="AG424" s="113" cm="1">
        <f t="array" ref="AG424">IF(U424="",0,_xlfn.XLOOKUP(E424&amp;U424&amp;F424,tab_act&amp;tab_mod&amp;tab_act1,tab_pdoz)*V424*T424/MGMT)</f>
        <v>0.33</v>
      </c>
      <c r="AH424" s="113" cm="1">
        <f t="array" ref="AH424">IF(U424="",0,_xlfn.XLOOKUP(E424&amp;U424&amp;F424,tab_act&amp;tab_mod&amp;tab_act1,tab_lns)*V424*T424/MGMT)</f>
        <v>0</v>
      </c>
      <c r="AI424" s="114">
        <f t="shared" si="32"/>
        <v>0.33</v>
      </c>
      <c r="AJ424" s="115" cm="1">
        <f t="array" ref="AJ424">IF(U424="",0,_xlfn.XLOOKUP(E424&amp;U424&amp;F424,tab_act&amp;tab_mod&amp;tab_act1,tab_cash)*T424)</f>
        <v>0</v>
      </c>
      <c r="AK424" s="148" cm="1">
        <f t="array" ref="AK424">IF(B424="",0,IF(C424="",0,AJ424/_xlfn.XLOOKUP(B424&amp;C424,RMth&amp;RYr,RAr)))</f>
        <v>0</v>
      </c>
      <c r="AL424" s="90"/>
      <c r="AM424" s="90"/>
      <c r="AN424" s="141" t="s">
        <v>248</v>
      </c>
    </row>
    <row r="425" spans="2:40" x14ac:dyDescent="0.35">
      <c r="B425" s="50" t="s">
        <v>130</v>
      </c>
      <c r="C425" s="44">
        <v>2023</v>
      </c>
      <c r="D425" s="44" t="s">
        <v>100</v>
      </c>
      <c r="E425" s="15" t="s">
        <v>39</v>
      </c>
      <c r="F425" s="143" t="s">
        <v>22</v>
      </c>
      <c r="G425" s="15" t="s">
        <v>159</v>
      </c>
      <c r="H425" s="44"/>
      <c r="I425" s="15" t="s">
        <v>94</v>
      </c>
      <c r="J425" s="15" t="s">
        <v>94</v>
      </c>
      <c r="K425" s="15" t="s">
        <v>160</v>
      </c>
      <c r="L425" s="15" t="s">
        <v>95</v>
      </c>
      <c r="M425" s="15" t="s">
        <v>94</v>
      </c>
      <c r="N425" s="15" t="s">
        <v>67</v>
      </c>
      <c r="O425" s="15" t="s">
        <v>182</v>
      </c>
      <c r="P425" s="43" t="s">
        <v>188</v>
      </c>
      <c r="Q425" s="42">
        <v>61.6</v>
      </c>
      <c r="R425" s="42">
        <v>77</v>
      </c>
      <c r="S425" s="42">
        <f t="shared" si="33"/>
        <v>138.6</v>
      </c>
      <c r="T425" s="43">
        <f t="shared" si="34"/>
        <v>138.6</v>
      </c>
      <c r="U425" s="15" t="s">
        <v>41</v>
      </c>
      <c r="V425" s="150">
        <v>30</v>
      </c>
      <c r="W425" s="111" cm="1">
        <f t="array" ref="W425">IF(U425="",0,_xlfn.XLOOKUP(E425&amp;U425&amp;F425,tab_act&amp;tab_mod&amp;tab_act1,tab_riz)*V425*T425/MGMT)</f>
        <v>0</v>
      </c>
      <c r="X425" s="112" cm="1">
        <f t="array" ref="X425">IF(U425="",0,_xlfn.XLOOKUP(E425&amp;U425&amp;F425,tab_act&amp;tab_mod&amp;tab_act1,tab_mc)*V425*T425/MGMT)</f>
        <v>0</v>
      </c>
      <c r="Y425" s="112" cm="1">
        <f t="array" ref="Y425">IF(U425="",0,_xlfn.XLOOKUP(E425&amp;U425&amp;F425,tab_act&amp;tab_mod&amp;tab_act1,tab_sor)*V425*T425/MGMT)</f>
        <v>0</v>
      </c>
      <c r="Z425" s="112" cm="1">
        <f t="array" ref="Z425">IF(U425="",0,_xlfn.XLOOKUP(E425&amp;U425&amp;F425,tab_act&amp;tab_mod&amp;tab_act1,tab_mg)*V425*T425/MGMT)</f>
        <v>0</v>
      </c>
      <c r="AA425" s="113" cm="1">
        <f t="array" ref="AA425">IF(U425="",0,IF(U425="hybrid-Sch",_xlfn.XLOOKUP(E425&amp;U425&amp;F425,tab_act&amp;tab_mod&amp;tab_act1,tab_ls)*SchLS*T425/MGMT,_xlfn.XLOOKUP(E425&amp;U425&amp;F425,tab_act&amp;tab_mod&amp;tab_act1,tab_ls)*V425*T425/MGMT))</f>
        <v>0</v>
      </c>
      <c r="AB425" s="113" cm="1">
        <f t="array" ref="AB425">IF(U425="",0,_xlfn.XLOOKUP(E425&amp;U425&amp;F425,tab_act&amp;tab_mod&amp;tab_act1,tab_hu)*V425*T425/MGMT)</f>
        <v>0</v>
      </c>
      <c r="AC425" s="113" cm="1">
        <f t="array" ref="AC425">IF(U425="",0,_xlfn.XLOOKUP(E425&amp;U425&amp;F425,tab_act&amp;tab_mod&amp;tab_act1,tab_mnp)*V425*T425/MGMT)</f>
        <v>0</v>
      </c>
      <c r="AD425" s="113" cm="1">
        <f t="array" ref="AD425">IF(U425="",0,_xlfn.XLOOKUP(E425&amp;U425&amp;F425,tab_act&amp;tab_mod&amp;tab_act1,tab_Psup)*V425*T425/MGMT)</f>
        <v>0</v>
      </c>
      <c r="AE425" s="113" cm="1">
        <f t="array" ref="AE425">IF(U425="",0,_xlfn.XLOOKUP(E425&amp;U425&amp;F425,tab_act&amp;tab_mod&amp;tab_act1,tab_csb1)*V425*T425/MGMT)</f>
        <v>0</v>
      </c>
      <c r="AF425" s="113" cm="1">
        <f t="array" ref="AF425">IF(U425="",0,_xlfn.XLOOKUP(E425&amp;U425&amp;F425,tab_act&amp;tab_mod&amp;tab_act1,tab_csb2)*V425*T425/MGMT)</f>
        <v>0</v>
      </c>
      <c r="AG425" s="113" cm="1">
        <f t="array" ref="AG425">IF(U425="",0,_xlfn.XLOOKUP(E425&amp;U425&amp;F425,tab_act&amp;tab_mod&amp;tab_act1,tab_pdoz)*V425*T425/MGMT)</f>
        <v>0.2079</v>
      </c>
      <c r="AH425" s="113" cm="1">
        <f t="array" ref="AH425">IF(U425="",0,_xlfn.XLOOKUP(E425&amp;U425&amp;F425,tab_act&amp;tab_mod&amp;tab_act1,tab_lns)*V425*T425/MGMT)</f>
        <v>0</v>
      </c>
      <c r="AI425" s="114">
        <f t="shared" si="32"/>
        <v>0.2079</v>
      </c>
      <c r="AJ425" s="115" cm="1">
        <f t="array" ref="AJ425">IF(U425="",0,_xlfn.XLOOKUP(E425&amp;U425&amp;F425,tab_act&amp;tab_mod&amp;tab_act1,tab_cash)*T425)</f>
        <v>0</v>
      </c>
      <c r="AK425" s="148" cm="1">
        <f t="array" ref="AK425">IF(B425="",0,IF(C425="",0,AJ425/_xlfn.XLOOKUP(B425&amp;C425,RMth&amp;RYr,RAr)))</f>
        <v>0</v>
      </c>
      <c r="AL425" s="90"/>
      <c r="AM425" s="90"/>
      <c r="AN425" s="141" t="s">
        <v>248</v>
      </c>
    </row>
    <row r="426" spans="2:40" x14ac:dyDescent="0.35">
      <c r="B426" s="50" t="s">
        <v>130</v>
      </c>
      <c r="C426" s="44">
        <v>2023</v>
      </c>
      <c r="D426" s="44" t="s">
        <v>100</v>
      </c>
      <c r="E426" s="15" t="s">
        <v>39</v>
      </c>
      <c r="F426" s="143" t="s">
        <v>22</v>
      </c>
      <c r="G426" s="15" t="s">
        <v>159</v>
      </c>
      <c r="H426" s="44"/>
      <c r="I426" s="15" t="s">
        <v>94</v>
      </c>
      <c r="J426" s="15" t="s">
        <v>94</v>
      </c>
      <c r="K426" s="15" t="s">
        <v>160</v>
      </c>
      <c r="L426" s="15" t="s">
        <v>95</v>
      </c>
      <c r="M426" s="15" t="s">
        <v>94</v>
      </c>
      <c r="N426" s="15" t="s">
        <v>67</v>
      </c>
      <c r="O426" s="15" t="s">
        <v>182</v>
      </c>
      <c r="P426" s="43" t="s">
        <v>189</v>
      </c>
      <c r="Q426" s="42">
        <v>77</v>
      </c>
      <c r="R426" s="42">
        <v>82.5</v>
      </c>
      <c r="S426" s="42">
        <f t="shared" si="33"/>
        <v>159.5</v>
      </c>
      <c r="T426" s="43">
        <f t="shared" si="34"/>
        <v>159.5</v>
      </c>
      <c r="U426" s="15" t="s">
        <v>41</v>
      </c>
      <c r="V426" s="150">
        <v>30</v>
      </c>
      <c r="W426" s="111" cm="1">
        <f t="array" ref="W426">IF(U426="",0,_xlfn.XLOOKUP(E426&amp;U426&amp;F426,tab_act&amp;tab_mod&amp;tab_act1,tab_riz)*V426*T426/MGMT)</f>
        <v>0</v>
      </c>
      <c r="X426" s="112" cm="1">
        <f t="array" ref="X426">IF(U426="",0,_xlfn.XLOOKUP(E426&amp;U426&amp;F426,tab_act&amp;tab_mod&amp;tab_act1,tab_mc)*V426*T426/MGMT)</f>
        <v>0</v>
      </c>
      <c r="Y426" s="112" cm="1">
        <f t="array" ref="Y426">IF(U426="",0,_xlfn.XLOOKUP(E426&amp;U426&amp;F426,tab_act&amp;tab_mod&amp;tab_act1,tab_sor)*V426*T426/MGMT)</f>
        <v>0</v>
      </c>
      <c r="Z426" s="112" cm="1">
        <f t="array" ref="Z426">IF(U426="",0,_xlfn.XLOOKUP(E426&amp;U426&amp;F426,tab_act&amp;tab_mod&amp;tab_act1,tab_mg)*V426*T426/MGMT)</f>
        <v>0</v>
      </c>
      <c r="AA426" s="113" cm="1">
        <f t="array" ref="AA426">IF(U426="",0,IF(U426="hybrid-Sch",_xlfn.XLOOKUP(E426&amp;U426&amp;F426,tab_act&amp;tab_mod&amp;tab_act1,tab_ls)*SchLS*T426/MGMT,_xlfn.XLOOKUP(E426&amp;U426&amp;F426,tab_act&amp;tab_mod&amp;tab_act1,tab_ls)*V426*T426/MGMT))</f>
        <v>0</v>
      </c>
      <c r="AB426" s="113" cm="1">
        <f t="array" ref="AB426">IF(U426="",0,_xlfn.XLOOKUP(E426&amp;U426&amp;F426,tab_act&amp;tab_mod&amp;tab_act1,tab_hu)*V426*T426/MGMT)</f>
        <v>0</v>
      </c>
      <c r="AC426" s="113" cm="1">
        <f t="array" ref="AC426">IF(U426="",0,_xlfn.XLOOKUP(E426&amp;U426&amp;F426,tab_act&amp;tab_mod&amp;tab_act1,tab_mnp)*V426*T426/MGMT)</f>
        <v>0</v>
      </c>
      <c r="AD426" s="113" cm="1">
        <f t="array" ref="AD426">IF(U426="",0,_xlfn.XLOOKUP(E426&amp;U426&amp;F426,tab_act&amp;tab_mod&amp;tab_act1,tab_Psup)*V426*T426/MGMT)</f>
        <v>0</v>
      </c>
      <c r="AE426" s="113" cm="1">
        <f t="array" ref="AE426">IF(U426="",0,_xlfn.XLOOKUP(E426&amp;U426&amp;F426,tab_act&amp;tab_mod&amp;tab_act1,tab_csb1)*V426*T426/MGMT)</f>
        <v>0</v>
      </c>
      <c r="AF426" s="113" cm="1">
        <f t="array" ref="AF426">IF(U426="",0,_xlfn.XLOOKUP(E426&amp;U426&amp;F426,tab_act&amp;tab_mod&amp;tab_act1,tab_csb2)*V426*T426/MGMT)</f>
        <v>0</v>
      </c>
      <c r="AG426" s="113" cm="1">
        <f t="array" ref="AG426">IF(U426="",0,_xlfn.XLOOKUP(E426&amp;U426&amp;F426,tab_act&amp;tab_mod&amp;tab_act1,tab_pdoz)*V426*T426/MGMT)</f>
        <v>0.23924999999999999</v>
      </c>
      <c r="AH426" s="113" cm="1">
        <f t="array" ref="AH426">IF(U426="",0,_xlfn.XLOOKUP(E426&amp;U426&amp;F426,tab_act&amp;tab_mod&amp;tab_act1,tab_lns)*V426*T426/MGMT)</f>
        <v>0</v>
      </c>
      <c r="AI426" s="114">
        <f t="shared" si="32"/>
        <v>0.23924999999999999</v>
      </c>
      <c r="AJ426" s="115" cm="1">
        <f t="array" ref="AJ426">IF(U426="",0,_xlfn.XLOOKUP(E426&amp;U426&amp;F426,tab_act&amp;tab_mod&amp;tab_act1,tab_cash)*T426)</f>
        <v>0</v>
      </c>
      <c r="AK426" s="148" cm="1">
        <f t="array" ref="AK426">IF(B426="",0,IF(C426="",0,AJ426/_xlfn.XLOOKUP(B426&amp;C426,RMth&amp;RYr,RAr)))</f>
        <v>0</v>
      </c>
      <c r="AL426" s="90"/>
      <c r="AM426" s="90"/>
      <c r="AN426" s="141" t="s">
        <v>248</v>
      </c>
    </row>
    <row r="427" spans="2:40" x14ac:dyDescent="0.35">
      <c r="B427" s="50" t="s">
        <v>130</v>
      </c>
      <c r="C427" s="44">
        <v>2023</v>
      </c>
      <c r="D427" s="44" t="s">
        <v>100</v>
      </c>
      <c r="E427" s="15" t="s">
        <v>39</v>
      </c>
      <c r="F427" s="143" t="s">
        <v>22</v>
      </c>
      <c r="G427" s="15" t="s">
        <v>159</v>
      </c>
      <c r="H427" s="44"/>
      <c r="I427" s="15" t="s">
        <v>94</v>
      </c>
      <c r="J427" s="15" t="s">
        <v>94</v>
      </c>
      <c r="K427" s="15" t="s">
        <v>160</v>
      </c>
      <c r="L427" s="15" t="s">
        <v>95</v>
      </c>
      <c r="M427" s="15" t="s">
        <v>94</v>
      </c>
      <c r="N427" s="15" t="s">
        <v>67</v>
      </c>
      <c r="O427" s="15" t="s">
        <v>182</v>
      </c>
      <c r="P427" s="43" t="s">
        <v>190</v>
      </c>
      <c r="Q427" s="42">
        <v>250.8</v>
      </c>
      <c r="R427" s="42">
        <v>147.4</v>
      </c>
      <c r="S427" s="42">
        <f t="shared" si="33"/>
        <v>398.20000000000005</v>
      </c>
      <c r="T427" s="43">
        <f t="shared" si="34"/>
        <v>398.20000000000005</v>
      </c>
      <c r="U427" s="15" t="s">
        <v>41</v>
      </c>
      <c r="V427" s="150">
        <v>30</v>
      </c>
      <c r="W427" s="111" cm="1">
        <f t="array" ref="W427">IF(U427="",0,_xlfn.XLOOKUP(E427&amp;U427&amp;F427,tab_act&amp;tab_mod&amp;tab_act1,tab_riz)*V427*T427/MGMT)</f>
        <v>0</v>
      </c>
      <c r="X427" s="112" cm="1">
        <f t="array" ref="X427">IF(U427="",0,_xlfn.XLOOKUP(E427&amp;U427&amp;F427,tab_act&amp;tab_mod&amp;tab_act1,tab_mc)*V427*T427/MGMT)</f>
        <v>0</v>
      </c>
      <c r="Y427" s="112" cm="1">
        <f t="array" ref="Y427">IF(U427="",0,_xlfn.XLOOKUP(E427&amp;U427&amp;F427,tab_act&amp;tab_mod&amp;tab_act1,tab_sor)*V427*T427/MGMT)</f>
        <v>0</v>
      </c>
      <c r="Z427" s="112" cm="1">
        <f t="array" ref="Z427">IF(U427="",0,_xlfn.XLOOKUP(E427&amp;U427&amp;F427,tab_act&amp;tab_mod&amp;tab_act1,tab_mg)*V427*T427/MGMT)</f>
        <v>0</v>
      </c>
      <c r="AA427" s="113" cm="1">
        <f t="array" ref="AA427">IF(U427="",0,IF(U427="hybrid-Sch",_xlfn.XLOOKUP(E427&amp;U427&amp;F427,tab_act&amp;tab_mod&amp;tab_act1,tab_ls)*SchLS*T427/MGMT,_xlfn.XLOOKUP(E427&amp;U427&amp;F427,tab_act&amp;tab_mod&amp;tab_act1,tab_ls)*V427*T427/MGMT))</f>
        <v>0</v>
      </c>
      <c r="AB427" s="113" cm="1">
        <f t="array" ref="AB427">IF(U427="",0,_xlfn.XLOOKUP(E427&amp;U427&amp;F427,tab_act&amp;tab_mod&amp;tab_act1,tab_hu)*V427*T427/MGMT)</f>
        <v>0</v>
      </c>
      <c r="AC427" s="113" cm="1">
        <f t="array" ref="AC427">IF(U427="",0,_xlfn.XLOOKUP(E427&amp;U427&amp;F427,tab_act&amp;tab_mod&amp;tab_act1,tab_mnp)*V427*T427/MGMT)</f>
        <v>0</v>
      </c>
      <c r="AD427" s="113" cm="1">
        <f t="array" ref="AD427">IF(U427="",0,_xlfn.XLOOKUP(E427&amp;U427&amp;F427,tab_act&amp;tab_mod&amp;tab_act1,tab_Psup)*V427*T427/MGMT)</f>
        <v>0</v>
      </c>
      <c r="AE427" s="113" cm="1">
        <f t="array" ref="AE427">IF(U427="",0,_xlfn.XLOOKUP(E427&amp;U427&amp;F427,tab_act&amp;tab_mod&amp;tab_act1,tab_csb1)*V427*T427/MGMT)</f>
        <v>0</v>
      </c>
      <c r="AF427" s="113" cm="1">
        <f t="array" ref="AF427">IF(U427="",0,_xlfn.XLOOKUP(E427&amp;U427&amp;F427,tab_act&amp;tab_mod&amp;tab_act1,tab_csb2)*V427*T427/MGMT)</f>
        <v>0</v>
      </c>
      <c r="AG427" s="113" cm="1">
        <f t="array" ref="AG427">IF(U427="",0,_xlfn.XLOOKUP(E427&amp;U427&amp;F427,tab_act&amp;tab_mod&amp;tab_act1,tab_pdoz)*V427*T427/MGMT)</f>
        <v>0.59730000000000016</v>
      </c>
      <c r="AH427" s="113" cm="1">
        <f t="array" ref="AH427">IF(U427="",0,_xlfn.XLOOKUP(E427&amp;U427&amp;F427,tab_act&amp;tab_mod&amp;tab_act1,tab_lns)*V427*T427/MGMT)</f>
        <v>0</v>
      </c>
      <c r="AI427" s="114">
        <f t="shared" si="32"/>
        <v>0.59730000000000016</v>
      </c>
      <c r="AJ427" s="115" cm="1">
        <f t="array" ref="AJ427">IF(U427="",0,_xlfn.XLOOKUP(E427&amp;U427&amp;F427,tab_act&amp;tab_mod&amp;tab_act1,tab_cash)*T427)</f>
        <v>0</v>
      </c>
      <c r="AK427" s="148" cm="1">
        <f t="array" ref="AK427">IF(B427="",0,IF(C427="",0,AJ427/_xlfn.XLOOKUP(B427&amp;C427,RMth&amp;RYr,RAr)))</f>
        <v>0</v>
      </c>
      <c r="AL427" s="90"/>
      <c r="AM427" s="90"/>
      <c r="AN427" s="141" t="s">
        <v>248</v>
      </c>
    </row>
    <row r="428" spans="2:40" x14ac:dyDescent="0.35">
      <c r="B428" s="50" t="s">
        <v>130</v>
      </c>
      <c r="C428" s="44">
        <v>2023</v>
      </c>
      <c r="D428" s="44" t="s">
        <v>100</v>
      </c>
      <c r="E428" s="15" t="s">
        <v>39</v>
      </c>
      <c r="F428" s="143" t="s">
        <v>22</v>
      </c>
      <c r="G428" s="15" t="s">
        <v>159</v>
      </c>
      <c r="H428" s="44"/>
      <c r="I428" s="15" t="s">
        <v>94</v>
      </c>
      <c r="J428" s="15" t="s">
        <v>94</v>
      </c>
      <c r="K428" s="15" t="s">
        <v>160</v>
      </c>
      <c r="L428" s="15" t="s">
        <v>95</v>
      </c>
      <c r="M428" s="15" t="s">
        <v>94</v>
      </c>
      <c r="N428" s="15" t="s">
        <v>67</v>
      </c>
      <c r="O428" s="15" t="s">
        <v>182</v>
      </c>
      <c r="P428" s="43" t="s">
        <v>191</v>
      </c>
      <c r="Q428" s="42">
        <v>81.400000000000006</v>
      </c>
      <c r="R428" s="42">
        <v>72.599999999999994</v>
      </c>
      <c r="S428" s="42">
        <f t="shared" si="33"/>
        <v>154</v>
      </c>
      <c r="T428" s="43">
        <f t="shared" si="34"/>
        <v>154</v>
      </c>
      <c r="U428" s="15" t="s">
        <v>41</v>
      </c>
      <c r="V428" s="150">
        <v>30</v>
      </c>
      <c r="W428" s="111" cm="1">
        <f t="array" ref="W428">IF(U428="",0,_xlfn.XLOOKUP(E428&amp;U428&amp;F428,tab_act&amp;tab_mod&amp;tab_act1,tab_riz)*V428*T428/MGMT)</f>
        <v>0</v>
      </c>
      <c r="X428" s="112" cm="1">
        <f t="array" ref="X428">IF(U428="",0,_xlfn.XLOOKUP(E428&amp;U428&amp;F428,tab_act&amp;tab_mod&amp;tab_act1,tab_mc)*V428*T428/MGMT)</f>
        <v>0</v>
      </c>
      <c r="Y428" s="112" cm="1">
        <f t="array" ref="Y428">IF(U428="",0,_xlfn.XLOOKUP(E428&amp;U428&amp;F428,tab_act&amp;tab_mod&amp;tab_act1,tab_sor)*V428*T428/MGMT)</f>
        <v>0</v>
      </c>
      <c r="Z428" s="112" cm="1">
        <f t="array" ref="Z428">IF(U428="",0,_xlfn.XLOOKUP(E428&amp;U428&amp;F428,tab_act&amp;tab_mod&amp;tab_act1,tab_mg)*V428*T428/MGMT)</f>
        <v>0</v>
      </c>
      <c r="AA428" s="113" cm="1">
        <f t="array" ref="AA428">IF(U428="",0,IF(U428="hybrid-Sch",_xlfn.XLOOKUP(E428&amp;U428&amp;F428,tab_act&amp;tab_mod&amp;tab_act1,tab_ls)*SchLS*T428/MGMT,_xlfn.XLOOKUP(E428&amp;U428&amp;F428,tab_act&amp;tab_mod&amp;tab_act1,tab_ls)*V428*T428/MGMT))</f>
        <v>0</v>
      </c>
      <c r="AB428" s="113" cm="1">
        <f t="array" ref="AB428">IF(U428="",0,_xlfn.XLOOKUP(E428&amp;U428&amp;F428,tab_act&amp;tab_mod&amp;tab_act1,tab_hu)*V428*T428/MGMT)</f>
        <v>0</v>
      </c>
      <c r="AC428" s="113" cm="1">
        <f t="array" ref="AC428">IF(U428="",0,_xlfn.XLOOKUP(E428&amp;U428&amp;F428,tab_act&amp;tab_mod&amp;tab_act1,tab_mnp)*V428*T428/MGMT)</f>
        <v>0</v>
      </c>
      <c r="AD428" s="113" cm="1">
        <f t="array" ref="AD428">IF(U428="",0,_xlfn.XLOOKUP(E428&amp;U428&amp;F428,tab_act&amp;tab_mod&amp;tab_act1,tab_Psup)*V428*T428/MGMT)</f>
        <v>0</v>
      </c>
      <c r="AE428" s="113" cm="1">
        <f t="array" ref="AE428">IF(U428="",0,_xlfn.XLOOKUP(E428&amp;U428&amp;F428,tab_act&amp;tab_mod&amp;tab_act1,tab_csb1)*V428*T428/MGMT)</f>
        <v>0</v>
      </c>
      <c r="AF428" s="113" cm="1">
        <f t="array" ref="AF428">IF(U428="",0,_xlfn.XLOOKUP(E428&amp;U428&amp;F428,tab_act&amp;tab_mod&amp;tab_act1,tab_csb2)*V428*T428/MGMT)</f>
        <v>0</v>
      </c>
      <c r="AG428" s="113" cm="1">
        <f t="array" ref="AG428">IF(U428="",0,_xlfn.XLOOKUP(E428&amp;U428&amp;F428,tab_act&amp;tab_mod&amp;tab_act1,tab_pdoz)*V428*T428/MGMT)</f>
        <v>0.23100000000000001</v>
      </c>
      <c r="AH428" s="113" cm="1">
        <f t="array" ref="AH428">IF(U428="",0,_xlfn.XLOOKUP(E428&amp;U428&amp;F428,tab_act&amp;tab_mod&amp;tab_act1,tab_lns)*V428*T428/MGMT)</f>
        <v>0</v>
      </c>
      <c r="AI428" s="114">
        <f t="shared" si="32"/>
        <v>0.23100000000000001</v>
      </c>
      <c r="AJ428" s="115" cm="1">
        <f t="array" ref="AJ428">IF(U428="",0,_xlfn.XLOOKUP(E428&amp;U428&amp;F428,tab_act&amp;tab_mod&amp;tab_act1,tab_cash)*T428)</f>
        <v>0</v>
      </c>
      <c r="AK428" s="148" cm="1">
        <f t="array" ref="AK428">IF(B428="",0,IF(C428="",0,AJ428/_xlfn.XLOOKUP(B428&amp;C428,RMth&amp;RYr,RAr)))</f>
        <v>0</v>
      </c>
      <c r="AL428" s="90"/>
      <c r="AM428" s="90"/>
      <c r="AN428" s="141" t="s">
        <v>248</v>
      </c>
    </row>
    <row r="429" spans="2:40" x14ac:dyDescent="0.35">
      <c r="B429" s="50" t="s">
        <v>130</v>
      </c>
      <c r="C429" s="44">
        <v>2023</v>
      </c>
      <c r="D429" s="44" t="s">
        <v>100</v>
      </c>
      <c r="E429" s="15" t="s">
        <v>39</v>
      </c>
      <c r="F429" s="143" t="s">
        <v>22</v>
      </c>
      <c r="G429" s="15" t="s">
        <v>159</v>
      </c>
      <c r="H429" s="44"/>
      <c r="I429" s="15" t="s">
        <v>94</v>
      </c>
      <c r="J429" s="15" t="s">
        <v>94</v>
      </c>
      <c r="K429" s="15" t="s">
        <v>160</v>
      </c>
      <c r="L429" s="15" t="s">
        <v>95</v>
      </c>
      <c r="M429" s="15" t="s">
        <v>94</v>
      </c>
      <c r="N429" s="15" t="s">
        <v>67</v>
      </c>
      <c r="O429" s="15" t="s">
        <v>182</v>
      </c>
      <c r="P429" s="43" t="s">
        <v>192</v>
      </c>
      <c r="Q429" s="42">
        <v>50.6</v>
      </c>
      <c r="R429" s="42">
        <v>36.299999999999997</v>
      </c>
      <c r="S429" s="42">
        <f t="shared" si="33"/>
        <v>86.9</v>
      </c>
      <c r="T429" s="43">
        <f t="shared" si="34"/>
        <v>86.9</v>
      </c>
      <c r="U429" s="15" t="s">
        <v>41</v>
      </c>
      <c r="V429" s="150">
        <v>30</v>
      </c>
      <c r="W429" s="111" cm="1">
        <f t="array" ref="W429">IF(U429="",0,_xlfn.XLOOKUP(E429&amp;U429&amp;F429,tab_act&amp;tab_mod&amp;tab_act1,tab_riz)*V429*T429/MGMT)</f>
        <v>0</v>
      </c>
      <c r="X429" s="112" cm="1">
        <f t="array" ref="X429">IF(U429="",0,_xlfn.XLOOKUP(E429&amp;U429&amp;F429,tab_act&amp;tab_mod&amp;tab_act1,tab_mc)*V429*T429/MGMT)</f>
        <v>0</v>
      </c>
      <c r="Y429" s="112" cm="1">
        <f t="array" ref="Y429">IF(U429="",0,_xlfn.XLOOKUP(E429&amp;U429&amp;F429,tab_act&amp;tab_mod&amp;tab_act1,tab_sor)*V429*T429/MGMT)</f>
        <v>0</v>
      </c>
      <c r="Z429" s="112" cm="1">
        <f t="array" ref="Z429">IF(U429="",0,_xlfn.XLOOKUP(E429&amp;U429&amp;F429,tab_act&amp;tab_mod&amp;tab_act1,tab_mg)*V429*T429/MGMT)</f>
        <v>0</v>
      </c>
      <c r="AA429" s="113" cm="1">
        <f t="array" ref="AA429">IF(U429="",0,IF(U429="hybrid-Sch",_xlfn.XLOOKUP(E429&amp;U429&amp;F429,tab_act&amp;tab_mod&amp;tab_act1,tab_ls)*SchLS*T429/MGMT,_xlfn.XLOOKUP(E429&amp;U429&amp;F429,tab_act&amp;tab_mod&amp;tab_act1,tab_ls)*V429*T429/MGMT))</f>
        <v>0</v>
      </c>
      <c r="AB429" s="113" cm="1">
        <f t="array" ref="AB429">IF(U429="",0,_xlfn.XLOOKUP(E429&amp;U429&amp;F429,tab_act&amp;tab_mod&amp;tab_act1,tab_hu)*V429*T429/MGMT)</f>
        <v>0</v>
      </c>
      <c r="AC429" s="113" cm="1">
        <f t="array" ref="AC429">IF(U429="",0,_xlfn.XLOOKUP(E429&amp;U429&amp;F429,tab_act&amp;tab_mod&amp;tab_act1,tab_mnp)*V429*T429/MGMT)</f>
        <v>0</v>
      </c>
      <c r="AD429" s="113" cm="1">
        <f t="array" ref="AD429">IF(U429="",0,_xlfn.XLOOKUP(E429&amp;U429&amp;F429,tab_act&amp;tab_mod&amp;tab_act1,tab_Psup)*V429*T429/MGMT)</f>
        <v>0</v>
      </c>
      <c r="AE429" s="113" cm="1">
        <f t="array" ref="AE429">IF(U429="",0,_xlfn.XLOOKUP(E429&amp;U429&amp;F429,tab_act&amp;tab_mod&amp;tab_act1,tab_csb1)*V429*T429/MGMT)</f>
        <v>0</v>
      </c>
      <c r="AF429" s="113" cm="1">
        <f t="array" ref="AF429">IF(U429="",0,_xlfn.XLOOKUP(E429&amp;U429&amp;F429,tab_act&amp;tab_mod&amp;tab_act1,tab_csb2)*V429*T429/MGMT)</f>
        <v>0</v>
      </c>
      <c r="AG429" s="113" cm="1">
        <f t="array" ref="AG429">IF(U429="",0,_xlfn.XLOOKUP(E429&amp;U429&amp;F429,tab_act&amp;tab_mod&amp;tab_act1,tab_pdoz)*V429*T429/MGMT)</f>
        <v>0.13035000000000002</v>
      </c>
      <c r="AH429" s="113" cm="1">
        <f t="array" ref="AH429">IF(U429="",0,_xlfn.XLOOKUP(E429&amp;U429&amp;F429,tab_act&amp;tab_mod&amp;tab_act1,tab_lns)*V429*T429/MGMT)</f>
        <v>0</v>
      </c>
      <c r="AI429" s="114">
        <f t="shared" si="32"/>
        <v>0.13035000000000002</v>
      </c>
      <c r="AJ429" s="115" cm="1">
        <f t="array" ref="AJ429">IF(U429="",0,_xlfn.XLOOKUP(E429&amp;U429&amp;F429,tab_act&amp;tab_mod&amp;tab_act1,tab_cash)*T429)</f>
        <v>0</v>
      </c>
      <c r="AK429" s="148" cm="1">
        <f t="array" ref="AK429">IF(B429="",0,IF(C429="",0,AJ429/_xlfn.XLOOKUP(B429&amp;C429,RMth&amp;RYr,RAr)))</f>
        <v>0</v>
      </c>
      <c r="AL429" s="90"/>
      <c r="AM429" s="90"/>
      <c r="AN429" s="141" t="s">
        <v>248</v>
      </c>
    </row>
    <row r="430" spans="2:40" x14ac:dyDescent="0.35">
      <c r="B430" s="50" t="s">
        <v>130</v>
      </c>
      <c r="C430" s="44">
        <v>2023</v>
      </c>
      <c r="D430" s="44" t="s">
        <v>100</v>
      </c>
      <c r="E430" s="15" t="s">
        <v>39</v>
      </c>
      <c r="F430" s="143" t="s">
        <v>22</v>
      </c>
      <c r="G430" s="15" t="s">
        <v>159</v>
      </c>
      <c r="H430" s="44"/>
      <c r="I430" s="15" t="s">
        <v>94</v>
      </c>
      <c r="J430" s="15" t="s">
        <v>94</v>
      </c>
      <c r="K430" s="15" t="s">
        <v>160</v>
      </c>
      <c r="L430" s="15" t="s">
        <v>95</v>
      </c>
      <c r="M430" s="15" t="s">
        <v>94</v>
      </c>
      <c r="N430" s="15" t="s">
        <v>67</v>
      </c>
      <c r="O430" s="15" t="s">
        <v>182</v>
      </c>
      <c r="P430" s="43" t="s">
        <v>193</v>
      </c>
      <c r="Q430" s="42">
        <v>71.5</v>
      </c>
      <c r="R430" s="42">
        <v>108.9</v>
      </c>
      <c r="S430" s="42">
        <f t="shared" si="33"/>
        <v>180.4</v>
      </c>
      <c r="T430" s="43">
        <f t="shared" si="34"/>
        <v>180.4</v>
      </c>
      <c r="U430" s="15" t="s">
        <v>41</v>
      </c>
      <c r="V430" s="150">
        <v>30</v>
      </c>
      <c r="W430" s="111" cm="1">
        <f t="array" ref="W430">IF(U430="",0,_xlfn.XLOOKUP(E430&amp;U430&amp;F430,tab_act&amp;tab_mod&amp;tab_act1,tab_riz)*V430*T430/MGMT)</f>
        <v>0</v>
      </c>
      <c r="X430" s="112" cm="1">
        <f t="array" ref="X430">IF(U430="",0,_xlfn.XLOOKUP(E430&amp;U430&amp;F430,tab_act&amp;tab_mod&amp;tab_act1,tab_mc)*V430*T430/MGMT)</f>
        <v>0</v>
      </c>
      <c r="Y430" s="112" cm="1">
        <f t="array" ref="Y430">IF(U430="",0,_xlfn.XLOOKUP(E430&amp;U430&amp;F430,tab_act&amp;tab_mod&amp;tab_act1,tab_sor)*V430*T430/MGMT)</f>
        <v>0</v>
      </c>
      <c r="Z430" s="112" cm="1">
        <f t="array" ref="Z430">IF(U430="",0,_xlfn.XLOOKUP(E430&amp;U430&amp;F430,tab_act&amp;tab_mod&amp;tab_act1,tab_mg)*V430*T430/MGMT)</f>
        <v>0</v>
      </c>
      <c r="AA430" s="113" cm="1">
        <f t="array" ref="AA430">IF(U430="",0,IF(U430="hybrid-Sch",_xlfn.XLOOKUP(E430&amp;U430&amp;F430,tab_act&amp;tab_mod&amp;tab_act1,tab_ls)*SchLS*T430/MGMT,_xlfn.XLOOKUP(E430&amp;U430&amp;F430,tab_act&amp;tab_mod&amp;tab_act1,tab_ls)*V430*T430/MGMT))</f>
        <v>0</v>
      </c>
      <c r="AB430" s="113" cm="1">
        <f t="array" ref="AB430">IF(U430="",0,_xlfn.XLOOKUP(E430&amp;U430&amp;F430,tab_act&amp;tab_mod&amp;tab_act1,tab_hu)*V430*T430/MGMT)</f>
        <v>0</v>
      </c>
      <c r="AC430" s="113" cm="1">
        <f t="array" ref="AC430">IF(U430="",0,_xlfn.XLOOKUP(E430&amp;U430&amp;F430,tab_act&amp;tab_mod&amp;tab_act1,tab_mnp)*V430*T430/MGMT)</f>
        <v>0</v>
      </c>
      <c r="AD430" s="113" cm="1">
        <f t="array" ref="AD430">IF(U430="",0,_xlfn.XLOOKUP(E430&amp;U430&amp;F430,tab_act&amp;tab_mod&amp;tab_act1,tab_Psup)*V430*T430/MGMT)</f>
        <v>0</v>
      </c>
      <c r="AE430" s="113" cm="1">
        <f t="array" ref="AE430">IF(U430="",0,_xlfn.XLOOKUP(E430&amp;U430&amp;F430,tab_act&amp;tab_mod&amp;tab_act1,tab_csb1)*V430*T430/MGMT)</f>
        <v>0</v>
      </c>
      <c r="AF430" s="113" cm="1">
        <f t="array" ref="AF430">IF(U430="",0,_xlfn.XLOOKUP(E430&amp;U430&amp;F430,tab_act&amp;tab_mod&amp;tab_act1,tab_csb2)*V430*T430/MGMT)</f>
        <v>0</v>
      </c>
      <c r="AG430" s="113" cm="1">
        <f t="array" ref="AG430">IF(U430="",0,_xlfn.XLOOKUP(E430&amp;U430&amp;F430,tab_act&amp;tab_mod&amp;tab_act1,tab_pdoz)*V430*T430/MGMT)</f>
        <v>0.27060000000000001</v>
      </c>
      <c r="AH430" s="113" cm="1">
        <f t="array" ref="AH430">IF(U430="",0,_xlfn.XLOOKUP(E430&amp;U430&amp;F430,tab_act&amp;tab_mod&amp;tab_act1,tab_lns)*V430*T430/MGMT)</f>
        <v>0</v>
      </c>
      <c r="AI430" s="114">
        <f t="shared" si="32"/>
        <v>0.27060000000000001</v>
      </c>
      <c r="AJ430" s="115" cm="1">
        <f t="array" ref="AJ430">IF(U430="",0,_xlfn.XLOOKUP(E430&amp;U430&amp;F430,tab_act&amp;tab_mod&amp;tab_act1,tab_cash)*T430)</f>
        <v>0</v>
      </c>
      <c r="AK430" s="148" cm="1">
        <f t="array" ref="AK430">IF(B430="",0,IF(C430="",0,AJ430/_xlfn.XLOOKUP(B430&amp;C430,RMth&amp;RYr,RAr)))</f>
        <v>0</v>
      </c>
      <c r="AL430" s="90"/>
      <c r="AM430" s="90"/>
      <c r="AN430" s="141" t="s">
        <v>248</v>
      </c>
    </row>
    <row r="431" spans="2:40" x14ac:dyDescent="0.35">
      <c r="B431" s="50" t="s">
        <v>130</v>
      </c>
      <c r="C431" s="44">
        <v>2023</v>
      </c>
      <c r="D431" s="44" t="s">
        <v>100</v>
      </c>
      <c r="E431" s="15" t="s">
        <v>39</v>
      </c>
      <c r="F431" s="143" t="s">
        <v>22</v>
      </c>
      <c r="G431" s="15" t="s">
        <v>159</v>
      </c>
      <c r="H431" s="44"/>
      <c r="I431" s="15" t="s">
        <v>94</v>
      </c>
      <c r="J431" s="15" t="s">
        <v>94</v>
      </c>
      <c r="K431" s="15" t="s">
        <v>160</v>
      </c>
      <c r="L431" s="15" t="s">
        <v>95</v>
      </c>
      <c r="M431" s="15" t="s">
        <v>94</v>
      </c>
      <c r="N431" s="15" t="s">
        <v>67</v>
      </c>
      <c r="O431" s="15" t="s">
        <v>182</v>
      </c>
      <c r="P431" s="43" t="s">
        <v>194</v>
      </c>
      <c r="Q431" s="42">
        <v>95.7</v>
      </c>
      <c r="R431" s="42">
        <v>107.8</v>
      </c>
      <c r="S431" s="42">
        <f t="shared" si="33"/>
        <v>203.5</v>
      </c>
      <c r="T431" s="43">
        <f t="shared" si="34"/>
        <v>203.5</v>
      </c>
      <c r="U431" s="15" t="s">
        <v>41</v>
      </c>
      <c r="V431" s="150">
        <v>30</v>
      </c>
      <c r="W431" s="111" cm="1">
        <f t="array" ref="W431">IF(U431="",0,_xlfn.XLOOKUP(E431&amp;U431&amp;F431,tab_act&amp;tab_mod&amp;tab_act1,tab_riz)*V431*T431/MGMT)</f>
        <v>0</v>
      </c>
      <c r="X431" s="112" cm="1">
        <f t="array" ref="X431">IF(U431="",0,_xlfn.XLOOKUP(E431&amp;U431&amp;F431,tab_act&amp;tab_mod&amp;tab_act1,tab_mc)*V431*T431/MGMT)</f>
        <v>0</v>
      </c>
      <c r="Y431" s="112" cm="1">
        <f t="array" ref="Y431">IF(U431="",0,_xlfn.XLOOKUP(E431&amp;U431&amp;F431,tab_act&amp;tab_mod&amp;tab_act1,tab_sor)*V431*T431/MGMT)</f>
        <v>0</v>
      </c>
      <c r="Z431" s="112" cm="1">
        <f t="array" ref="Z431">IF(U431="",0,_xlfn.XLOOKUP(E431&amp;U431&amp;F431,tab_act&amp;tab_mod&amp;tab_act1,tab_mg)*V431*T431/MGMT)</f>
        <v>0</v>
      </c>
      <c r="AA431" s="113" cm="1">
        <f t="array" ref="AA431">IF(U431="",0,IF(U431="hybrid-Sch",_xlfn.XLOOKUP(E431&amp;U431&amp;F431,tab_act&amp;tab_mod&amp;tab_act1,tab_ls)*SchLS*T431/MGMT,_xlfn.XLOOKUP(E431&amp;U431&amp;F431,tab_act&amp;tab_mod&amp;tab_act1,tab_ls)*V431*T431/MGMT))</f>
        <v>0</v>
      </c>
      <c r="AB431" s="113" cm="1">
        <f t="array" ref="AB431">IF(U431="",0,_xlfn.XLOOKUP(E431&amp;U431&amp;F431,tab_act&amp;tab_mod&amp;tab_act1,tab_hu)*V431*T431/MGMT)</f>
        <v>0</v>
      </c>
      <c r="AC431" s="113" cm="1">
        <f t="array" ref="AC431">IF(U431="",0,_xlfn.XLOOKUP(E431&amp;U431&amp;F431,tab_act&amp;tab_mod&amp;tab_act1,tab_mnp)*V431*T431/MGMT)</f>
        <v>0</v>
      </c>
      <c r="AD431" s="113" cm="1">
        <f t="array" ref="AD431">IF(U431="",0,_xlfn.XLOOKUP(E431&amp;U431&amp;F431,tab_act&amp;tab_mod&amp;tab_act1,tab_Psup)*V431*T431/MGMT)</f>
        <v>0</v>
      </c>
      <c r="AE431" s="113" cm="1">
        <f t="array" ref="AE431">IF(U431="",0,_xlfn.XLOOKUP(E431&amp;U431&amp;F431,tab_act&amp;tab_mod&amp;tab_act1,tab_csb1)*V431*T431/MGMT)</f>
        <v>0</v>
      </c>
      <c r="AF431" s="113" cm="1">
        <f t="array" ref="AF431">IF(U431="",0,_xlfn.XLOOKUP(E431&amp;U431&amp;F431,tab_act&amp;tab_mod&amp;tab_act1,tab_csb2)*V431*T431/MGMT)</f>
        <v>0</v>
      </c>
      <c r="AG431" s="113" cm="1">
        <f t="array" ref="AG431">IF(U431="",0,_xlfn.XLOOKUP(E431&amp;U431&amp;F431,tab_act&amp;tab_mod&amp;tab_act1,tab_pdoz)*V431*T431/MGMT)</f>
        <v>0.30525000000000002</v>
      </c>
      <c r="AH431" s="113" cm="1">
        <f t="array" ref="AH431">IF(U431="",0,_xlfn.XLOOKUP(E431&amp;U431&amp;F431,tab_act&amp;tab_mod&amp;tab_act1,tab_lns)*V431*T431/MGMT)</f>
        <v>0</v>
      </c>
      <c r="AI431" s="114">
        <f t="shared" si="32"/>
        <v>0.30525000000000002</v>
      </c>
      <c r="AJ431" s="115" cm="1">
        <f t="array" ref="AJ431">IF(U431="",0,_xlfn.XLOOKUP(E431&amp;U431&amp;F431,tab_act&amp;tab_mod&amp;tab_act1,tab_cash)*T431)</f>
        <v>0</v>
      </c>
      <c r="AK431" s="148" cm="1">
        <f t="array" ref="AK431">IF(B431="",0,IF(C431="",0,AJ431/_xlfn.XLOOKUP(B431&amp;C431,RMth&amp;RYr,RAr)))</f>
        <v>0</v>
      </c>
      <c r="AL431" s="90"/>
      <c r="AM431" s="90"/>
      <c r="AN431" s="141" t="s">
        <v>248</v>
      </c>
    </row>
    <row r="432" spans="2:40" x14ac:dyDescent="0.35">
      <c r="B432" s="50" t="s">
        <v>130</v>
      </c>
      <c r="C432" s="44">
        <v>2023</v>
      </c>
      <c r="D432" s="44" t="s">
        <v>100</v>
      </c>
      <c r="E432" s="15" t="s">
        <v>39</v>
      </c>
      <c r="F432" s="143" t="s">
        <v>22</v>
      </c>
      <c r="G432" s="15" t="s">
        <v>159</v>
      </c>
      <c r="H432" s="44"/>
      <c r="I432" s="15" t="s">
        <v>94</v>
      </c>
      <c r="J432" s="15" t="s">
        <v>94</v>
      </c>
      <c r="K432" s="15" t="s">
        <v>160</v>
      </c>
      <c r="L432" s="15" t="s">
        <v>95</v>
      </c>
      <c r="M432" s="15" t="s">
        <v>94</v>
      </c>
      <c r="N432" s="15" t="s">
        <v>67</v>
      </c>
      <c r="O432" s="15" t="s">
        <v>182</v>
      </c>
      <c r="P432" s="15" t="s">
        <v>195</v>
      </c>
      <c r="Q432" s="42">
        <v>71.5</v>
      </c>
      <c r="R432" s="42">
        <v>71.5</v>
      </c>
      <c r="S432" s="135">
        <f t="shared" si="33"/>
        <v>143</v>
      </c>
      <c r="T432" s="15">
        <f t="shared" si="34"/>
        <v>143</v>
      </c>
      <c r="U432" s="15" t="s">
        <v>41</v>
      </c>
      <c r="V432" s="150">
        <v>30</v>
      </c>
      <c r="W432" s="111" cm="1">
        <f t="array" ref="W432">IF(U432="",0,_xlfn.XLOOKUP(E432&amp;U432&amp;F432,tab_act&amp;tab_mod&amp;tab_act1,tab_riz)*V432*T432/MGMT)</f>
        <v>0</v>
      </c>
      <c r="X432" s="112" cm="1">
        <f t="array" ref="X432">IF(U432="",0,_xlfn.XLOOKUP(E432&amp;U432&amp;F432,tab_act&amp;tab_mod&amp;tab_act1,tab_mc)*V432*T432/MGMT)</f>
        <v>0</v>
      </c>
      <c r="Y432" s="112" cm="1">
        <f t="array" ref="Y432">IF(U432="",0,_xlfn.XLOOKUP(E432&amp;U432&amp;F432,tab_act&amp;tab_mod&amp;tab_act1,tab_sor)*V432*T432/MGMT)</f>
        <v>0</v>
      </c>
      <c r="Z432" s="112" cm="1">
        <f t="array" ref="Z432">IF(U432="",0,_xlfn.XLOOKUP(E432&amp;U432&amp;F432,tab_act&amp;tab_mod&amp;tab_act1,tab_mg)*V432*T432/MGMT)</f>
        <v>0</v>
      </c>
      <c r="AA432" s="113" cm="1">
        <f t="array" ref="AA432">IF(U432="",0,IF(U432="hybrid-Sch",_xlfn.XLOOKUP(E432&amp;U432&amp;F432,tab_act&amp;tab_mod&amp;tab_act1,tab_ls)*SchLS*T432/MGMT,_xlfn.XLOOKUP(E432&amp;U432&amp;F432,tab_act&amp;tab_mod&amp;tab_act1,tab_ls)*V432*T432/MGMT))</f>
        <v>0</v>
      </c>
      <c r="AB432" s="113" cm="1">
        <f t="array" ref="AB432">IF(U432="",0,_xlfn.XLOOKUP(E432&amp;U432&amp;F432,tab_act&amp;tab_mod&amp;tab_act1,tab_hu)*V432*T432/MGMT)</f>
        <v>0</v>
      </c>
      <c r="AC432" s="113" cm="1">
        <f t="array" ref="AC432">IF(U432="",0,_xlfn.XLOOKUP(E432&amp;U432&amp;F432,tab_act&amp;tab_mod&amp;tab_act1,tab_mnp)*V432*T432/MGMT)</f>
        <v>0</v>
      </c>
      <c r="AD432" s="113" cm="1">
        <f t="array" ref="AD432">IF(U432="",0,_xlfn.XLOOKUP(E432&amp;U432&amp;F432,tab_act&amp;tab_mod&amp;tab_act1,tab_Psup)*V432*T432/MGMT)</f>
        <v>0</v>
      </c>
      <c r="AE432" s="113" cm="1">
        <f t="array" ref="AE432">IF(U432="",0,_xlfn.XLOOKUP(E432&amp;U432&amp;F432,tab_act&amp;tab_mod&amp;tab_act1,tab_csb1)*V432*T432/MGMT)</f>
        <v>0</v>
      </c>
      <c r="AF432" s="113" cm="1">
        <f t="array" ref="AF432">IF(U432="",0,_xlfn.XLOOKUP(E432&amp;U432&amp;F432,tab_act&amp;tab_mod&amp;tab_act1,tab_csb2)*V432*T432/MGMT)</f>
        <v>0</v>
      </c>
      <c r="AG432" s="113" cm="1">
        <f t="array" ref="AG432">IF(U432="",0,_xlfn.XLOOKUP(E432&amp;U432&amp;F432,tab_act&amp;tab_mod&amp;tab_act1,tab_pdoz)*V432*T432/MGMT)</f>
        <v>0.2145</v>
      </c>
      <c r="AH432" s="113" cm="1">
        <f t="array" ref="AH432">IF(U432="",0,_xlfn.XLOOKUP(E432&amp;U432&amp;F432,tab_act&amp;tab_mod&amp;tab_act1,tab_lns)*V432*T432/MGMT)</f>
        <v>0</v>
      </c>
      <c r="AI432" s="114">
        <f t="shared" si="32"/>
        <v>0.2145</v>
      </c>
      <c r="AJ432" s="115" cm="1">
        <f t="array" ref="AJ432">IF(U432="",0,_xlfn.XLOOKUP(E432&amp;U432&amp;F432,tab_act&amp;tab_mod&amp;tab_act1,tab_cash)*T432)</f>
        <v>0</v>
      </c>
      <c r="AK432" s="148" cm="1">
        <f t="array" ref="AK432">IF(B432="",0,IF(C432="",0,AJ432/_xlfn.XLOOKUP(B432&amp;C432,RMth&amp;RYr,RAr)))</f>
        <v>0</v>
      </c>
      <c r="AL432" s="90"/>
      <c r="AM432" s="90"/>
      <c r="AN432" s="141" t="s">
        <v>248</v>
      </c>
    </row>
    <row r="433" spans="2:40" x14ac:dyDescent="0.35">
      <c r="B433" s="50" t="s">
        <v>130</v>
      </c>
      <c r="C433" s="44">
        <v>2023</v>
      </c>
      <c r="D433" s="44" t="s">
        <v>100</v>
      </c>
      <c r="E433" s="15" t="s">
        <v>39</v>
      </c>
      <c r="F433" s="143" t="s">
        <v>22</v>
      </c>
      <c r="G433" s="15" t="s">
        <v>159</v>
      </c>
      <c r="H433" s="44"/>
      <c r="I433" s="15" t="s">
        <v>94</v>
      </c>
      <c r="J433" s="15" t="s">
        <v>94</v>
      </c>
      <c r="K433" s="15" t="s">
        <v>160</v>
      </c>
      <c r="L433" s="15" t="s">
        <v>95</v>
      </c>
      <c r="M433" s="15" t="s">
        <v>94</v>
      </c>
      <c r="N433" s="15" t="s">
        <v>67</v>
      </c>
      <c r="O433" s="15" t="s">
        <v>182</v>
      </c>
      <c r="P433" s="15" t="s">
        <v>196</v>
      </c>
      <c r="Q433" s="42">
        <v>165</v>
      </c>
      <c r="R433" s="42">
        <v>211.2</v>
      </c>
      <c r="S433" s="42">
        <f t="shared" si="33"/>
        <v>376.2</v>
      </c>
      <c r="T433" s="43">
        <f t="shared" si="34"/>
        <v>376.2</v>
      </c>
      <c r="U433" s="15" t="s">
        <v>41</v>
      </c>
      <c r="V433" s="150">
        <v>30</v>
      </c>
      <c r="W433" s="111" cm="1">
        <f t="array" ref="W433">IF(U433="",0,_xlfn.XLOOKUP(E433&amp;U433&amp;F433,tab_act&amp;tab_mod&amp;tab_act1,tab_riz)*V433*T433/MGMT)</f>
        <v>0</v>
      </c>
      <c r="X433" s="112" cm="1">
        <f t="array" ref="X433">IF(U433="",0,_xlfn.XLOOKUP(E433&amp;U433&amp;F433,tab_act&amp;tab_mod&amp;tab_act1,tab_mc)*V433*T433/MGMT)</f>
        <v>0</v>
      </c>
      <c r="Y433" s="112" cm="1">
        <f t="array" ref="Y433">IF(U433="",0,_xlfn.XLOOKUP(E433&amp;U433&amp;F433,tab_act&amp;tab_mod&amp;tab_act1,tab_sor)*V433*T433/MGMT)</f>
        <v>0</v>
      </c>
      <c r="Z433" s="112" cm="1">
        <f t="array" ref="Z433">IF(U433="",0,_xlfn.XLOOKUP(E433&amp;U433&amp;F433,tab_act&amp;tab_mod&amp;tab_act1,tab_mg)*V433*T433/MGMT)</f>
        <v>0</v>
      </c>
      <c r="AA433" s="113" cm="1">
        <f t="array" ref="AA433">IF(U433="",0,IF(U433="hybrid-Sch",_xlfn.XLOOKUP(E433&amp;U433&amp;F433,tab_act&amp;tab_mod&amp;tab_act1,tab_ls)*SchLS*T433/MGMT,_xlfn.XLOOKUP(E433&amp;U433&amp;F433,tab_act&amp;tab_mod&amp;tab_act1,tab_ls)*V433*T433/MGMT))</f>
        <v>0</v>
      </c>
      <c r="AB433" s="113" cm="1">
        <f t="array" ref="AB433">IF(U433="",0,_xlfn.XLOOKUP(E433&amp;U433&amp;F433,tab_act&amp;tab_mod&amp;tab_act1,tab_hu)*V433*T433/MGMT)</f>
        <v>0</v>
      </c>
      <c r="AC433" s="113" cm="1">
        <f t="array" ref="AC433">IF(U433="",0,_xlfn.XLOOKUP(E433&amp;U433&amp;F433,tab_act&amp;tab_mod&amp;tab_act1,tab_mnp)*V433*T433/MGMT)</f>
        <v>0</v>
      </c>
      <c r="AD433" s="113" cm="1">
        <f t="array" ref="AD433">IF(U433="",0,_xlfn.XLOOKUP(E433&amp;U433&amp;F433,tab_act&amp;tab_mod&amp;tab_act1,tab_Psup)*V433*T433/MGMT)</f>
        <v>0</v>
      </c>
      <c r="AE433" s="113" cm="1">
        <f t="array" ref="AE433">IF(U433="",0,_xlfn.XLOOKUP(E433&amp;U433&amp;F433,tab_act&amp;tab_mod&amp;tab_act1,tab_csb1)*V433*T433/MGMT)</f>
        <v>0</v>
      </c>
      <c r="AF433" s="113" cm="1">
        <f t="array" ref="AF433">IF(U433="",0,_xlfn.XLOOKUP(E433&amp;U433&amp;F433,tab_act&amp;tab_mod&amp;tab_act1,tab_csb2)*V433*T433/MGMT)</f>
        <v>0</v>
      </c>
      <c r="AG433" s="113" cm="1">
        <f t="array" ref="AG433">IF(U433="",0,_xlfn.XLOOKUP(E433&amp;U433&amp;F433,tab_act&amp;tab_mod&amp;tab_act1,tab_pdoz)*V433*T433/MGMT)</f>
        <v>0.56430000000000002</v>
      </c>
      <c r="AH433" s="113" cm="1">
        <f t="array" ref="AH433">IF(U433="",0,_xlfn.XLOOKUP(E433&amp;U433&amp;F433,tab_act&amp;tab_mod&amp;tab_act1,tab_lns)*V433*T433/MGMT)</f>
        <v>0</v>
      </c>
      <c r="AI433" s="114">
        <f t="shared" si="32"/>
        <v>0.56430000000000002</v>
      </c>
      <c r="AJ433" s="115" cm="1">
        <f t="array" ref="AJ433">IF(U433="",0,_xlfn.XLOOKUP(E433&amp;U433&amp;F433,tab_act&amp;tab_mod&amp;tab_act1,tab_cash)*T433)</f>
        <v>0</v>
      </c>
      <c r="AK433" s="148" cm="1">
        <f t="array" ref="AK433">IF(B433="",0,IF(C433="",0,AJ433/_xlfn.XLOOKUP(B433&amp;C433,RMth&amp;RYr,RAr)))</f>
        <v>0</v>
      </c>
      <c r="AL433" s="90"/>
      <c r="AM433" s="90"/>
      <c r="AN433" s="141" t="s">
        <v>248</v>
      </c>
    </row>
    <row r="434" spans="2:40" x14ac:dyDescent="0.35">
      <c r="B434" s="50" t="s">
        <v>130</v>
      </c>
      <c r="C434" s="44">
        <v>2023</v>
      </c>
      <c r="D434" s="44" t="s">
        <v>100</v>
      </c>
      <c r="E434" s="15" t="s">
        <v>39</v>
      </c>
      <c r="F434" s="143" t="s">
        <v>22</v>
      </c>
      <c r="G434" s="15" t="s">
        <v>159</v>
      </c>
      <c r="H434" s="44"/>
      <c r="I434" s="15" t="s">
        <v>94</v>
      </c>
      <c r="J434" s="15" t="s">
        <v>94</v>
      </c>
      <c r="K434" s="15" t="s">
        <v>160</v>
      </c>
      <c r="L434" s="15" t="s">
        <v>95</v>
      </c>
      <c r="M434" s="15" t="s">
        <v>94</v>
      </c>
      <c r="N434" s="15" t="s">
        <v>67</v>
      </c>
      <c r="O434" s="15" t="s">
        <v>182</v>
      </c>
      <c r="P434" s="15" t="s">
        <v>197</v>
      </c>
      <c r="Q434" s="42">
        <v>61.6</v>
      </c>
      <c r="R434" s="42">
        <v>73.7</v>
      </c>
      <c r="S434" s="42">
        <f t="shared" si="33"/>
        <v>135.30000000000001</v>
      </c>
      <c r="T434" s="43">
        <f t="shared" si="34"/>
        <v>135.30000000000001</v>
      </c>
      <c r="U434" s="15" t="s">
        <v>41</v>
      </c>
      <c r="V434" s="150">
        <v>30</v>
      </c>
      <c r="W434" s="111" cm="1">
        <f t="array" ref="W434">IF(U434="",0,_xlfn.XLOOKUP(E434&amp;U434&amp;F434,tab_act&amp;tab_mod&amp;tab_act1,tab_riz)*V434*T434/MGMT)</f>
        <v>0</v>
      </c>
      <c r="X434" s="112" cm="1">
        <f t="array" ref="X434">IF(U434="",0,_xlfn.XLOOKUP(E434&amp;U434&amp;F434,tab_act&amp;tab_mod&amp;tab_act1,tab_mc)*V434*T434/MGMT)</f>
        <v>0</v>
      </c>
      <c r="Y434" s="112" cm="1">
        <f t="array" ref="Y434">IF(U434="",0,_xlfn.XLOOKUP(E434&amp;U434&amp;F434,tab_act&amp;tab_mod&amp;tab_act1,tab_sor)*V434*T434/MGMT)</f>
        <v>0</v>
      </c>
      <c r="Z434" s="112" cm="1">
        <f t="array" ref="Z434">IF(U434="",0,_xlfn.XLOOKUP(E434&amp;U434&amp;F434,tab_act&amp;tab_mod&amp;tab_act1,tab_mg)*V434*T434/MGMT)</f>
        <v>0</v>
      </c>
      <c r="AA434" s="113" cm="1">
        <f t="array" ref="AA434">IF(U434="",0,IF(U434="hybrid-Sch",_xlfn.XLOOKUP(E434&amp;U434&amp;F434,tab_act&amp;tab_mod&amp;tab_act1,tab_ls)*SchLS*T434/MGMT,_xlfn.XLOOKUP(E434&amp;U434&amp;F434,tab_act&amp;tab_mod&amp;tab_act1,tab_ls)*V434*T434/MGMT))</f>
        <v>0</v>
      </c>
      <c r="AB434" s="113" cm="1">
        <f t="array" ref="AB434">IF(U434="",0,_xlfn.XLOOKUP(E434&amp;U434&amp;F434,tab_act&amp;tab_mod&amp;tab_act1,tab_hu)*V434*T434/MGMT)</f>
        <v>0</v>
      </c>
      <c r="AC434" s="113" cm="1">
        <f t="array" ref="AC434">IF(U434="",0,_xlfn.XLOOKUP(E434&amp;U434&amp;F434,tab_act&amp;tab_mod&amp;tab_act1,tab_mnp)*V434*T434/MGMT)</f>
        <v>0</v>
      </c>
      <c r="AD434" s="113" cm="1">
        <f t="array" ref="AD434">IF(U434="",0,_xlfn.XLOOKUP(E434&amp;U434&amp;F434,tab_act&amp;tab_mod&amp;tab_act1,tab_Psup)*V434*T434/MGMT)</f>
        <v>0</v>
      </c>
      <c r="AE434" s="113" cm="1">
        <f t="array" ref="AE434">IF(U434="",0,_xlfn.XLOOKUP(E434&amp;U434&amp;F434,tab_act&amp;tab_mod&amp;tab_act1,tab_csb1)*V434*T434/MGMT)</f>
        <v>0</v>
      </c>
      <c r="AF434" s="113" cm="1">
        <f t="array" ref="AF434">IF(U434="",0,_xlfn.XLOOKUP(E434&amp;U434&amp;F434,tab_act&amp;tab_mod&amp;tab_act1,tab_csb2)*V434*T434/MGMT)</f>
        <v>0</v>
      </c>
      <c r="AG434" s="113" cm="1">
        <f t="array" ref="AG434">IF(U434="",0,_xlfn.XLOOKUP(E434&amp;U434&amp;F434,tab_act&amp;tab_mod&amp;tab_act1,tab_pdoz)*V434*T434/MGMT)</f>
        <v>0.20295000000000002</v>
      </c>
      <c r="AH434" s="113" cm="1">
        <f t="array" ref="AH434">IF(U434="",0,_xlfn.XLOOKUP(E434&amp;U434&amp;F434,tab_act&amp;tab_mod&amp;tab_act1,tab_lns)*V434*T434/MGMT)</f>
        <v>0</v>
      </c>
      <c r="AI434" s="114">
        <f t="shared" si="32"/>
        <v>0.20295000000000002</v>
      </c>
      <c r="AJ434" s="115" cm="1">
        <f t="array" ref="AJ434">IF(U434="",0,_xlfn.XLOOKUP(E434&amp;U434&amp;F434,tab_act&amp;tab_mod&amp;tab_act1,tab_cash)*T434)</f>
        <v>0</v>
      </c>
      <c r="AK434" s="148" cm="1">
        <f t="array" ref="AK434">IF(B434="",0,IF(C434="",0,AJ434/_xlfn.XLOOKUP(B434&amp;C434,RMth&amp;RYr,RAr)))</f>
        <v>0</v>
      </c>
      <c r="AL434" s="90"/>
      <c r="AM434" s="90"/>
      <c r="AN434" s="141" t="s">
        <v>248</v>
      </c>
    </row>
    <row r="435" spans="2:40" x14ac:dyDescent="0.35">
      <c r="B435" s="50" t="s">
        <v>130</v>
      </c>
      <c r="C435" s="44">
        <v>2023</v>
      </c>
      <c r="D435" s="44" t="s">
        <v>100</v>
      </c>
      <c r="E435" s="15" t="s">
        <v>39</v>
      </c>
      <c r="F435" s="143" t="s">
        <v>22</v>
      </c>
      <c r="G435" s="15" t="s">
        <v>159</v>
      </c>
      <c r="H435" s="44"/>
      <c r="I435" s="15" t="s">
        <v>94</v>
      </c>
      <c r="J435" s="15" t="s">
        <v>94</v>
      </c>
      <c r="K435" s="15" t="s">
        <v>160</v>
      </c>
      <c r="L435" s="15" t="s">
        <v>95</v>
      </c>
      <c r="M435" s="15" t="s">
        <v>94</v>
      </c>
      <c r="N435" s="15" t="s">
        <v>67</v>
      </c>
      <c r="O435" s="15" t="s">
        <v>182</v>
      </c>
      <c r="P435" s="15" t="s">
        <v>198</v>
      </c>
      <c r="Q435" s="42">
        <v>163.9</v>
      </c>
      <c r="R435" s="42">
        <v>146.30000000000001</v>
      </c>
      <c r="S435" s="42">
        <f t="shared" si="33"/>
        <v>310.20000000000005</v>
      </c>
      <c r="T435" s="43">
        <f t="shared" si="34"/>
        <v>310.20000000000005</v>
      </c>
      <c r="U435" s="15" t="s">
        <v>41</v>
      </c>
      <c r="V435" s="150">
        <v>30</v>
      </c>
      <c r="W435" s="111" cm="1">
        <f t="array" ref="W435">IF(U435="",0,_xlfn.XLOOKUP(E435&amp;U435&amp;F435,tab_act&amp;tab_mod&amp;tab_act1,tab_riz)*V435*T435/MGMT)</f>
        <v>0</v>
      </c>
      <c r="X435" s="112" cm="1">
        <f t="array" ref="X435">IF(U435="",0,_xlfn.XLOOKUP(E435&amp;U435&amp;F435,tab_act&amp;tab_mod&amp;tab_act1,tab_mc)*V435*T435/MGMT)</f>
        <v>0</v>
      </c>
      <c r="Y435" s="112" cm="1">
        <f t="array" ref="Y435">IF(U435="",0,_xlfn.XLOOKUP(E435&amp;U435&amp;F435,tab_act&amp;tab_mod&amp;tab_act1,tab_sor)*V435*T435/MGMT)</f>
        <v>0</v>
      </c>
      <c r="Z435" s="112" cm="1">
        <f t="array" ref="Z435">IF(U435="",0,_xlfn.XLOOKUP(E435&amp;U435&amp;F435,tab_act&amp;tab_mod&amp;tab_act1,tab_mg)*V435*T435/MGMT)</f>
        <v>0</v>
      </c>
      <c r="AA435" s="113" cm="1">
        <f t="array" ref="AA435">IF(U435="",0,IF(U435="hybrid-Sch",_xlfn.XLOOKUP(E435&amp;U435&amp;F435,tab_act&amp;tab_mod&amp;tab_act1,tab_ls)*SchLS*T435/MGMT,_xlfn.XLOOKUP(E435&amp;U435&amp;F435,tab_act&amp;tab_mod&amp;tab_act1,tab_ls)*V435*T435/MGMT))</f>
        <v>0</v>
      </c>
      <c r="AB435" s="113" cm="1">
        <f t="array" ref="AB435">IF(U435="",0,_xlfn.XLOOKUP(E435&amp;U435&amp;F435,tab_act&amp;tab_mod&amp;tab_act1,tab_hu)*V435*T435/MGMT)</f>
        <v>0</v>
      </c>
      <c r="AC435" s="113" cm="1">
        <f t="array" ref="AC435">IF(U435="",0,_xlfn.XLOOKUP(E435&amp;U435&amp;F435,tab_act&amp;tab_mod&amp;tab_act1,tab_mnp)*V435*T435/MGMT)</f>
        <v>0</v>
      </c>
      <c r="AD435" s="113" cm="1">
        <f t="array" ref="AD435">IF(U435="",0,_xlfn.XLOOKUP(E435&amp;U435&amp;F435,tab_act&amp;tab_mod&amp;tab_act1,tab_Psup)*V435*T435/MGMT)</f>
        <v>0</v>
      </c>
      <c r="AE435" s="113" cm="1">
        <f t="array" ref="AE435">IF(U435="",0,_xlfn.XLOOKUP(E435&amp;U435&amp;F435,tab_act&amp;tab_mod&amp;tab_act1,tab_csb1)*V435*T435/MGMT)</f>
        <v>0</v>
      </c>
      <c r="AF435" s="113" cm="1">
        <f t="array" ref="AF435">IF(U435="",0,_xlfn.XLOOKUP(E435&amp;U435&amp;F435,tab_act&amp;tab_mod&amp;tab_act1,tab_csb2)*V435*T435/MGMT)</f>
        <v>0</v>
      </c>
      <c r="AG435" s="113" cm="1">
        <f t="array" ref="AG435">IF(U435="",0,_xlfn.XLOOKUP(E435&amp;U435&amp;F435,tab_act&amp;tab_mod&amp;tab_act1,tab_pdoz)*V435*T435/MGMT)</f>
        <v>0.46530000000000005</v>
      </c>
      <c r="AH435" s="113" cm="1">
        <f t="array" ref="AH435">IF(U435="",0,_xlfn.XLOOKUP(E435&amp;U435&amp;F435,tab_act&amp;tab_mod&amp;tab_act1,tab_lns)*V435*T435/MGMT)</f>
        <v>0</v>
      </c>
      <c r="AI435" s="114">
        <f t="shared" si="32"/>
        <v>0.46530000000000005</v>
      </c>
      <c r="AJ435" s="115" cm="1">
        <f t="array" ref="AJ435">IF(U435="",0,_xlfn.XLOOKUP(E435&amp;U435&amp;F435,tab_act&amp;tab_mod&amp;tab_act1,tab_cash)*T435)</f>
        <v>0</v>
      </c>
      <c r="AK435" s="148" cm="1">
        <f t="array" ref="AK435">IF(B435="",0,IF(C435="",0,AJ435/_xlfn.XLOOKUP(B435&amp;C435,RMth&amp;RYr,RAr)))</f>
        <v>0</v>
      </c>
      <c r="AL435" s="90"/>
      <c r="AM435" s="90"/>
      <c r="AN435" s="141" t="s">
        <v>248</v>
      </c>
    </row>
    <row r="436" spans="2:40" x14ac:dyDescent="0.35">
      <c r="B436" s="50" t="s">
        <v>130</v>
      </c>
      <c r="C436" s="44">
        <v>2023</v>
      </c>
      <c r="D436" s="44" t="s">
        <v>100</v>
      </c>
      <c r="E436" s="15" t="s">
        <v>39</v>
      </c>
      <c r="F436" s="143" t="s">
        <v>22</v>
      </c>
      <c r="G436" s="15" t="s">
        <v>159</v>
      </c>
      <c r="H436" s="44"/>
      <c r="I436" s="15" t="s">
        <v>94</v>
      </c>
      <c r="J436" s="15" t="s">
        <v>94</v>
      </c>
      <c r="K436" s="15" t="s">
        <v>160</v>
      </c>
      <c r="L436" s="15" t="s">
        <v>95</v>
      </c>
      <c r="M436" s="15" t="s">
        <v>94</v>
      </c>
      <c r="N436" s="15" t="s">
        <v>67</v>
      </c>
      <c r="O436" s="15" t="s">
        <v>182</v>
      </c>
      <c r="P436" s="15" t="s">
        <v>199</v>
      </c>
      <c r="Q436" s="42">
        <v>26.4</v>
      </c>
      <c r="R436" s="42">
        <v>25.3</v>
      </c>
      <c r="S436" s="42">
        <f t="shared" si="33"/>
        <v>51.7</v>
      </c>
      <c r="T436" s="43">
        <f t="shared" si="34"/>
        <v>51.7</v>
      </c>
      <c r="U436" s="15" t="s">
        <v>41</v>
      </c>
      <c r="V436" s="150">
        <v>30</v>
      </c>
      <c r="W436" s="111" cm="1">
        <f t="array" ref="W436">IF(U436="",0,_xlfn.XLOOKUP(E436&amp;U436&amp;F436,tab_act&amp;tab_mod&amp;tab_act1,tab_riz)*V436*T436/MGMT)</f>
        <v>0</v>
      </c>
      <c r="X436" s="112" cm="1">
        <f t="array" ref="X436">IF(U436="",0,_xlfn.XLOOKUP(E436&amp;U436&amp;F436,tab_act&amp;tab_mod&amp;tab_act1,tab_mc)*V436*T436/MGMT)</f>
        <v>0</v>
      </c>
      <c r="Y436" s="112" cm="1">
        <f t="array" ref="Y436">IF(U436="",0,_xlfn.XLOOKUP(E436&amp;U436&amp;F436,tab_act&amp;tab_mod&amp;tab_act1,tab_sor)*V436*T436/MGMT)</f>
        <v>0</v>
      </c>
      <c r="Z436" s="112" cm="1">
        <f t="array" ref="Z436">IF(U436="",0,_xlfn.XLOOKUP(E436&amp;U436&amp;F436,tab_act&amp;tab_mod&amp;tab_act1,tab_mg)*V436*T436/MGMT)</f>
        <v>0</v>
      </c>
      <c r="AA436" s="113" cm="1">
        <f t="array" ref="AA436">IF(U436="",0,IF(U436="hybrid-Sch",_xlfn.XLOOKUP(E436&amp;U436&amp;F436,tab_act&amp;tab_mod&amp;tab_act1,tab_ls)*SchLS*T436/MGMT,_xlfn.XLOOKUP(E436&amp;U436&amp;F436,tab_act&amp;tab_mod&amp;tab_act1,tab_ls)*V436*T436/MGMT))</f>
        <v>0</v>
      </c>
      <c r="AB436" s="113" cm="1">
        <f t="array" ref="AB436">IF(U436="",0,_xlfn.XLOOKUP(E436&amp;U436&amp;F436,tab_act&amp;tab_mod&amp;tab_act1,tab_hu)*V436*T436/MGMT)</f>
        <v>0</v>
      </c>
      <c r="AC436" s="113" cm="1">
        <f t="array" ref="AC436">IF(U436="",0,_xlfn.XLOOKUP(E436&amp;U436&amp;F436,tab_act&amp;tab_mod&amp;tab_act1,tab_mnp)*V436*T436/MGMT)</f>
        <v>0</v>
      </c>
      <c r="AD436" s="113" cm="1">
        <f t="array" ref="AD436">IF(U436="",0,_xlfn.XLOOKUP(E436&amp;U436&amp;F436,tab_act&amp;tab_mod&amp;tab_act1,tab_Psup)*V436*T436/MGMT)</f>
        <v>0</v>
      </c>
      <c r="AE436" s="113" cm="1">
        <f t="array" ref="AE436">IF(U436="",0,_xlfn.XLOOKUP(E436&amp;U436&amp;F436,tab_act&amp;tab_mod&amp;tab_act1,tab_csb1)*V436*T436/MGMT)</f>
        <v>0</v>
      </c>
      <c r="AF436" s="113" cm="1">
        <f t="array" ref="AF436">IF(U436="",0,_xlfn.XLOOKUP(E436&amp;U436&amp;F436,tab_act&amp;tab_mod&amp;tab_act1,tab_csb2)*V436*T436/MGMT)</f>
        <v>0</v>
      </c>
      <c r="AG436" s="113" cm="1">
        <f t="array" ref="AG436">IF(U436="",0,_xlfn.XLOOKUP(E436&amp;U436&amp;F436,tab_act&amp;tab_mod&amp;tab_act1,tab_pdoz)*V436*T436/MGMT)</f>
        <v>7.7549999999999994E-2</v>
      </c>
      <c r="AH436" s="113" cm="1">
        <f t="array" ref="AH436">IF(U436="",0,_xlfn.XLOOKUP(E436&amp;U436&amp;F436,tab_act&amp;tab_mod&amp;tab_act1,tab_lns)*V436*T436/MGMT)</f>
        <v>0</v>
      </c>
      <c r="AI436" s="114">
        <f t="shared" si="32"/>
        <v>7.7549999999999994E-2</v>
      </c>
      <c r="AJ436" s="115" cm="1">
        <f t="array" ref="AJ436">IF(U436="",0,_xlfn.XLOOKUP(E436&amp;U436&amp;F436,tab_act&amp;tab_mod&amp;tab_act1,tab_cash)*T436)</f>
        <v>0</v>
      </c>
      <c r="AK436" s="148" cm="1">
        <f t="array" ref="AK436">IF(B436="",0,IF(C436="",0,AJ436/_xlfn.XLOOKUP(B436&amp;C436,RMth&amp;RYr,RAr)))</f>
        <v>0</v>
      </c>
      <c r="AL436" s="90"/>
      <c r="AM436" s="90"/>
      <c r="AN436" s="141" t="s">
        <v>248</v>
      </c>
    </row>
    <row r="437" spans="2:40" x14ac:dyDescent="0.35">
      <c r="B437" s="50" t="s">
        <v>130</v>
      </c>
      <c r="C437" s="44">
        <v>2023</v>
      </c>
      <c r="D437" s="44" t="s">
        <v>100</v>
      </c>
      <c r="E437" s="15" t="s">
        <v>39</v>
      </c>
      <c r="F437" s="143" t="s">
        <v>22</v>
      </c>
      <c r="G437" s="15" t="s">
        <v>159</v>
      </c>
      <c r="H437" s="44"/>
      <c r="I437" s="15" t="s">
        <v>94</v>
      </c>
      <c r="J437" s="15" t="s">
        <v>94</v>
      </c>
      <c r="K437" s="15" t="s">
        <v>160</v>
      </c>
      <c r="L437" s="15" t="s">
        <v>95</v>
      </c>
      <c r="M437" s="15" t="s">
        <v>94</v>
      </c>
      <c r="N437" s="15" t="s">
        <v>67</v>
      </c>
      <c r="O437" s="15" t="s">
        <v>200</v>
      </c>
      <c r="P437" s="15" t="s">
        <v>201</v>
      </c>
      <c r="Q437" s="42">
        <v>146.30000000000001</v>
      </c>
      <c r="R437" s="42">
        <v>176</v>
      </c>
      <c r="S437" s="42">
        <f t="shared" si="33"/>
        <v>322.3</v>
      </c>
      <c r="T437" s="43">
        <f t="shared" si="34"/>
        <v>322.3</v>
      </c>
      <c r="U437" s="15" t="s">
        <v>41</v>
      </c>
      <c r="V437" s="150">
        <v>30</v>
      </c>
      <c r="W437" s="111" cm="1">
        <f t="array" ref="W437">IF(U437="",0,_xlfn.XLOOKUP(E437&amp;U437&amp;F437,tab_act&amp;tab_mod&amp;tab_act1,tab_riz)*V437*T437/MGMT)</f>
        <v>0</v>
      </c>
      <c r="X437" s="112" cm="1">
        <f t="array" ref="X437">IF(U437="",0,_xlfn.XLOOKUP(E437&amp;U437&amp;F437,tab_act&amp;tab_mod&amp;tab_act1,tab_mc)*V437*T437/MGMT)</f>
        <v>0</v>
      </c>
      <c r="Y437" s="112" cm="1">
        <f t="array" ref="Y437">IF(U437="",0,_xlfn.XLOOKUP(E437&amp;U437&amp;F437,tab_act&amp;tab_mod&amp;tab_act1,tab_sor)*V437*T437/MGMT)</f>
        <v>0</v>
      </c>
      <c r="Z437" s="112" cm="1">
        <f t="array" ref="Z437">IF(U437="",0,_xlfn.XLOOKUP(E437&amp;U437&amp;F437,tab_act&amp;tab_mod&amp;tab_act1,tab_mg)*V437*T437/MGMT)</f>
        <v>0</v>
      </c>
      <c r="AA437" s="113" cm="1">
        <f t="array" ref="AA437">IF(U437="",0,IF(U437="hybrid-Sch",_xlfn.XLOOKUP(E437&amp;U437&amp;F437,tab_act&amp;tab_mod&amp;tab_act1,tab_ls)*SchLS*T437/MGMT,_xlfn.XLOOKUP(E437&amp;U437&amp;F437,tab_act&amp;tab_mod&amp;tab_act1,tab_ls)*V437*T437/MGMT))</f>
        <v>0</v>
      </c>
      <c r="AB437" s="113" cm="1">
        <f t="array" ref="AB437">IF(U437="",0,_xlfn.XLOOKUP(E437&amp;U437&amp;F437,tab_act&amp;tab_mod&amp;tab_act1,tab_hu)*V437*T437/MGMT)</f>
        <v>0</v>
      </c>
      <c r="AC437" s="113" cm="1">
        <f t="array" ref="AC437">IF(U437="",0,_xlfn.XLOOKUP(E437&amp;U437&amp;F437,tab_act&amp;tab_mod&amp;tab_act1,tab_mnp)*V437*T437/MGMT)</f>
        <v>0</v>
      </c>
      <c r="AD437" s="113" cm="1">
        <f t="array" ref="AD437">IF(U437="",0,_xlfn.XLOOKUP(E437&amp;U437&amp;F437,tab_act&amp;tab_mod&amp;tab_act1,tab_Psup)*V437*T437/MGMT)</f>
        <v>0</v>
      </c>
      <c r="AE437" s="113" cm="1">
        <f t="array" ref="AE437">IF(U437="",0,_xlfn.XLOOKUP(E437&amp;U437&amp;F437,tab_act&amp;tab_mod&amp;tab_act1,tab_csb1)*V437*T437/MGMT)</f>
        <v>0</v>
      </c>
      <c r="AF437" s="113" cm="1">
        <f t="array" ref="AF437">IF(U437="",0,_xlfn.XLOOKUP(E437&amp;U437&amp;F437,tab_act&amp;tab_mod&amp;tab_act1,tab_csb2)*V437*T437/MGMT)</f>
        <v>0</v>
      </c>
      <c r="AG437" s="113" cm="1">
        <f t="array" ref="AG437">IF(U437="",0,_xlfn.XLOOKUP(E437&amp;U437&amp;F437,tab_act&amp;tab_mod&amp;tab_act1,tab_pdoz)*V437*T437/MGMT)</f>
        <v>0.48344999999999999</v>
      </c>
      <c r="AH437" s="113" cm="1">
        <f t="array" ref="AH437">IF(U437="",0,_xlfn.XLOOKUP(E437&amp;U437&amp;F437,tab_act&amp;tab_mod&amp;tab_act1,tab_lns)*V437*T437/MGMT)</f>
        <v>0</v>
      </c>
      <c r="AI437" s="114">
        <f t="shared" si="32"/>
        <v>0.48344999999999999</v>
      </c>
      <c r="AJ437" s="115" cm="1">
        <f t="array" ref="AJ437">IF(U437="",0,_xlfn.XLOOKUP(E437&amp;U437&amp;F437,tab_act&amp;tab_mod&amp;tab_act1,tab_cash)*T437)</f>
        <v>0</v>
      </c>
      <c r="AK437" s="148" cm="1">
        <f t="array" ref="AK437">IF(B437="",0,IF(C437="",0,AJ437/_xlfn.XLOOKUP(B437&amp;C437,RMth&amp;RYr,RAr)))</f>
        <v>0</v>
      </c>
      <c r="AL437" s="90"/>
      <c r="AM437" s="90"/>
      <c r="AN437" s="141" t="s">
        <v>248</v>
      </c>
    </row>
    <row r="438" spans="2:40" x14ac:dyDescent="0.35">
      <c r="B438" s="50" t="s">
        <v>130</v>
      </c>
      <c r="C438" s="44">
        <v>2023</v>
      </c>
      <c r="D438" s="44" t="s">
        <v>100</v>
      </c>
      <c r="E438" s="15" t="s">
        <v>39</v>
      </c>
      <c r="F438" s="143" t="s">
        <v>22</v>
      </c>
      <c r="G438" s="15" t="s">
        <v>159</v>
      </c>
      <c r="H438" s="44"/>
      <c r="I438" s="15" t="s">
        <v>94</v>
      </c>
      <c r="J438" s="15" t="s">
        <v>94</v>
      </c>
      <c r="K438" s="15" t="s">
        <v>160</v>
      </c>
      <c r="L438" s="15" t="s">
        <v>95</v>
      </c>
      <c r="M438" s="15" t="s">
        <v>94</v>
      </c>
      <c r="N438" s="15" t="s">
        <v>67</v>
      </c>
      <c r="O438" s="15" t="s">
        <v>200</v>
      </c>
      <c r="P438" s="15" t="s">
        <v>202</v>
      </c>
      <c r="Q438" s="42">
        <v>114.4</v>
      </c>
      <c r="R438" s="42">
        <v>96.8</v>
      </c>
      <c r="S438" s="42">
        <f t="shared" si="33"/>
        <v>211.2</v>
      </c>
      <c r="T438" s="43">
        <f t="shared" si="34"/>
        <v>211.2</v>
      </c>
      <c r="U438" s="15" t="s">
        <v>41</v>
      </c>
      <c r="V438" s="150">
        <v>30</v>
      </c>
      <c r="W438" s="111" cm="1">
        <f t="array" ref="W438">IF(U438="",0,_xlfn.XLOOKUP(E438&amp;U438&amp;F438,tab_act&amp;tab_mod&amp;tab_act1,tab_riz)*V438*T438/MGMT)</f>
        <v>0</v>
      </c>
      <c r="X438" s="112" cm="1">
        <f t="array" ref="X438">IF(U438="",0,_xlfn.XLOOKUP(E438&amp;U438&amp;F438,tab_act&amp;tab_mod&amp;tab_act1,tab_mc)*V438*T438/MGMT)</f>
        <v>0</v>
      </c>
      <c r="Y438" s="112" cm="1">
        <f t="array" ref="Y438">IF(U438="",0,_xlfn.XLOOKUP(E438&amp;U438&amp;F438,tab_act&amp;tab_mod&amp;tab_act1,tab_sor)*V438*T438/MGMT)</f>
        <v>0</v>
      </c>
      <c r="Z438" s="112" cm="1">
        <f t="array" ref="Z438">IF(U438="",0,_xlfn.XLOOKUP(E438&amp;U438&amp;F438,tab_act&amp;tab_mod&amp;tab_act1,tab_mg)*V438*T438/MGMT)</f>
        <v>0</v>
      </c>
      <c r="AA438" s="113" cm="1">
        <f t="array" ref="AA438">IF(U438="",0,IF(U438="hybrid-Sch",_xlfn.XLOOKUP(E438&amp;U438&amp;F438,tab_act&amp;tab_mod&amp;tab_act1,tab_ls)*SchLS*T438/MGMT,_xlfn.XLOOKUP(E438&amp;U438&amp;F438,tab_act&amp;tab_mod&amp;tab_act1,tab_ls)*V438*T438/MGMT))</f>
        <v>0</v>
      </c>
      <c r="AB438" s="113" cm="1">
        <f t="array" ref="AB438">IF(U438="",0,_xlfn.XLOOKUP(E438&amp;U438&amp;F438,tab_act&amp;tab_mod&amp;tab_act1,tab_hu)*V438*T438/MGMT)</f>
        <v>0</v>
      </c>
      <c r="AC438" s="113" cm="1">
        <f t="array" ref="AC438">IF(U438="",0,_xlfn.XLOOKUP(E438&amp;U438&amp;F438,tab_act&amp;tab_mod&amp;tab_act1,tab_mnp)*V438*T438/MGMT)</f>
        <v>0</v>
      </c>
      <c r="AD438" s="113" cm="1">
        <f t="array" ref="AD438">IF(U438="",0,_xlfn.XLOOKUP(E438&amp;U438&amp;F438,tab_act&amp;tab_mod&amp;tab_act1,tab_Psup)*V438*T438/MGMT)</f>
        <v>0</v>
      </c>
      <c r="AE438" s="113" cm="1">
        <f t="array" ref="AE438">IF(U438="",0,_xlfn.XLOOKUP(E438&amp;U438&amp;F438,tab_act&amp;tab_mod&amp;tab_act1,tab_csb1)*V438*T438/MGMT)</f>
        <v>0</v>
      </c>
      <c r="AF438" s="113" cm="1">
        <f t="array" ref="AF438">IF(U438="",0,_xlfn.XLOOKUP(E438&amp;U438&amp;F438,tab_act&amp;tab_mod&amp;tab_act1,tab_csb2)*V438*T438/MGMT)</f>
        <v>0</v>
      </c>
      <c r="AG438" s="113" cm="1">
        <f t="array" ref="AG438">IF(U438="",0,_xlfn.XLOOKUP(E438&amp;U438&amp;F438,tab_act&amp;tab_mod&amp;tab_act1,tab_pdoz)*V438*T438/MGMT)</f>
        <v>0.31680000000000003</v>
      </c>
      <c r="AH438" s="113" cm="1">
        <f t="array" ref="AH438">IF(U438="",0,_xlfn.XLOOKUP(E438&amp;U438&amp;F438,tab_act&amp;tab_mod&amp;tab_act1,tab_lns)*V438*T438/MGMT)</f>
        <v>0</v>
      </c>
      <c r="AI438" s="114">
        <f t="shared" si="32"/>
        <v>0.31680000000000003</v>
      </c>
      <c r="AJ438" s="115" cm="1">
        <f t="array" ref="AJ438">IF(U438="",0,_xlfn.XLOOKUP(E438&amp;U438&amp;F438,tab_act&amp;tab_mod&amp;tab_act1,tab_cash)*T438)</f>
        <v>0</v>
      </c>
      <c r="AK438" s="148" cm="1">
        <f t="array" ref="AK438">IF(B438="",0,IF(C438="",0,AJ438/_xlfn.XLOOKUP(B438&amp;C438,RMth&amp;RYr,RAr)))</f>
        <v>0</v>
      </c>
      <c r="AL438" s="90"/>
      <c r="AM438" s="90"/>
      <c r="AN438" s="141" t="s">
        <v>248</v>
      </c>
    </row>
    <row r="439" spans="2:40" x14ac:dyDescent="0.35">
      <c r="B439" s="50" t="s">
        <v>130</v>
      </c>
      <c r="C439" s="44">
        <v>2023</v>
      </c>
      <c r="D439" s="44" t="s">
        <v>100</v>
      </c>
      <c r="E439" s="15" t="s">
        <v>39</v>
      </c>
      <c r="F439" s="143" t="s">
        <v>22</v>
      </c>
      <c r="G439" s="15" t="s">
        <v>159</v>
      </c>
      <c r="H439" s="44"/>
      <c r="I439" s="15" t="s">
        <v>94</v>
      </c>
      <c r="J439" s="15" t="s">
        <v>94</v>
      </c>
      <c r="K439" s="15" t="s">
        <v>160</v>
      </c>
      <c r="L439" s="15" t="s">
        <v>95</v>
      </c>
      <c r="M439" s="15" t="s">
        <v>94</v>
      </c>
      <c r="N439" s="15" t="s">
        <v>67</v>
      </c>
      <c r="O439" s="15" t="s">
        <v>200</v>
      </c>
      <c r="P439" s="15" t="s">
        <v>203</v>
      </c>
      <c r="Q439" s="42">
        <v>238.7</v>
      </c>
      <c r="R439" s="42">
        <v>238.7</v>
      </c>
      <c r="S439" s="42">
        <f t="shared" si="33"/>
        <v>477.4</v>
      </c>
      <c r="T439" s="43">
        <f t="shared" si="34"/>
        <v>477.4</v>
      </c>
      <c r="U439" s="15" t="s">
        <v>41</v>
      </c>
      <c r="V439" s="150">
        <v>30</v>
      </c>
      <c r="W439" s="111" cm="1">
        <f t="array" ref="W439">IF(U439="",0,_xlfn.XLOOKUP(E439&amp;U439&amp;F439,tab_act&amp;tab_mod&amp;tab_act1,tab_riz)*V439*T439/MGMT)</f>
        <v>0</v>
      </c>
      <c r="X439" s="112" cm="1">
        <f t="array" ref="X439">IF(U439="",0,_xlfn.XLOOKUP(E439&amp;U439&amp;F439,tab_act&amp;tab_mod&amp;tab_act1,tab_mc)*V439*T439/MGMT)</f>
        <v>0</v>
      </c>
      <c r="Y439" s="112" cm="1">
        <f t="array" ref="Y439">IF(U439="",0,_xlfn.XLOOKUP(E439&amp;U439&amp;F439,tab_act&amp;tab_mod&amp;tab_act1,tab_sor)*V439*T439/MGMT)</f>
        <v>0</v>
      </c>
      <c r="Z439" s="112" cm="1">
        <f t="array" ref="Z439">IF(U439="",0,_xlfn.XLOOKUP(E439&amp;U439&amp;F439,tab_act&amp;tab_mod&amp;tab_act1,tab_mg)*V439*T439/MGMT)</f>
        <v>0</v>
      </c>
      <c r="AA439" s="113" cm="1">
        <f t="array" ref="AA439">IF(U439="",0,IF(U439="hybrid-Sch",_xlfn.XLOOKUP(E439&amp;U439&amp;F439,tab_act&amp;tab_mod&amp;tab_act1,tab_ls)*SchLS*T439/MGMT,_xlfn.XLOOKUP(E439&amp;U439&amp;F439,tab_act&amp;tab_mod&amp;tab_act1,tab_ls)*V439*T439/MGMT))</f>
        <v>0</v>
      </c>
      <c r="AB439" s="113" cm="1">
        <f t="array" ref="AB439">IF(U439="",0,_xlfn.XLOOKUP(E439&amp;U439&amp;F439,tab_act&amp;tab_mod&amp;tab_act1,tab_hu)*V439*T439/MGMT)</f>
        <v>0</v>
      </c>
      <c r="AC439" s="113" cm="1">
        <f t="array" ref="AC439">IF(U439="",0,_xlfn.XLOOKUP(E439&amp;U439&amp;F439,tab_act&amp;tab_mod&amp;tab_act1,tab_mnp)*V439*T439/MGMT)</f>
        <v>0</v>
      </c>
      <c r="AD439" s="113" cm="1">
        <f t="array" ref="AD439">IF(U439="",0,_xlfn.XLOOKUP(E439&amp;U439&amp;F439,tab_act&amp;tab_mod&amp;tab_act1,tab_Psup)*V439*T439/MGMT)</f>
        <v>0</v>
      </c>
      <c r="AE439" s="113" cm="1">
        <f t="array" ref="AE439">IF(U439="",0,_xlfn.XLOOKUP(E439&amp;U439&amp;F439,tab_act&amp;tab_mod&amp;tab_act1,tab_csb1)*V439*T439/MGMT)</f>
        <v>0</v>
      </c>
      <c r="AF439" s="113" cm="1">
        <f t="array" ref="AF439">IF(U439="",0,_xlfn.XLOOKUP(E439&amp;U439&amp;F439,tab_act&amp;tab_mod&amp;tab_act1,tab_csb2)*V439*T439/MGMT)</f>
        <v>0</v>
      </c>
      <c r="AG439" s="113" cm="1">
        <f t="array" ref="AG439">IF(U439="",0,_xlfn.XLOOKUP(E439&amp;U439&amp;F439,tab_act&amp;tab_mod&amp;tab_act1,tab_pdoz)*V439*T439/MGMT)</f>
        <v>0.71609999999999996</v>
      </c>
      <c r="AH439" s="113" cm="1">
        <f t="array" ref="AH439">IF(U439="",0,_xlfn.XLOOKUP(E439&amp;U439&amp;F439,tab_act&amp;tab_mod&amp;tab_act1,tab_lns)*V439*T439/MGMT)</f>
        <v>0</v>
      </c>
      <c r="AI439" s="114">
        <f t="shared" si="32"/>
        <v>0.71609999999999996</v>
      </c>
      <c r="AJ439" s="115" cm="1">
        <f t="array" ref="AJ439">IF(U439="",0,_xlfn.XLOOKUP(E439&amp;U439&amp;F439,tab_act&amp;tab_mod&amp;tab_act1,tab_cash)*T439)</f>
        <v>0</v>
      </c>
      <c r="AK439" s="148" cm="1">
        <f t="array" ref="AK439">IF(B439="",0,IF(C439="",0,AJ439/_xlfn.XLOOKUP(B439&amp;C439,RMth&amp;RYr,RAr)))</f>
        <v>0</v>
      </c>
      <c r="AL439" s="90"/>
      <c r="AM439" s="90"/>
      <c r="AN439" s="141" t="s">
        <v>248</v>
      </c>
    </row>
    <row r="440" spans="2:40" x14ac:dyDescent="0.35">
      <c r="B440" s="50" t="s">
        <v>130</v>
      </c>
      <c r="C440" s="44">
        <v>2023</v>
      </c>
      <c r="D440" s="44" t="s">
        <v>100</v>
      </c>
      <c r="E440" s="15" t="s">
        <v>39</v>
      </c>
      <c r="F440" s="143" t="s">
        <v>22</v>
      </c>
      <c r="G440" s="15" t="s">
        <v>159</v>
      </c>
      <c r="H440" s="44"/>
      <c r="I440" s="15" t="s">
        <v>94</v>
      </c>
      <c r="J440" s="15" t="s">
        <v>94</v>
      </c>
      <c r="K440" s="15" t="s">
        <v>160</v>
      </c>
      <c r="L440" s="15" t="s">
        <v>95</v>
      </c>
      <c r="M440" s="15" t="s">
        <v>94</v>
      </c>
      <c r="N440" s="15" t="s">
        <v>67</v>
      </c>
      <c r="O440" s="15" t="s">
        <v>200</v>
      </c>
      <c r="P440" s="15" t="s">
        <v>204</v>
      </c>
      <c r="Q440" s="42">
        <v>163.9</v>
      </c>
      <c r="R440" s="42">
        <v>184.8</v>
      </c>
      <c r="S440" s="42">
        <f t="shared" si="33"/>
        <v>348.70000000000005</v>
      </c>
      <c r="T440" s="43">
        <f t="shared" si="34"/>
        <v>348.70000000000005</v>
      </c>
      <c r="U440" s="15" t="s">
        <v>41</v>
      </c>
      <c r="V440" s="150">
        <v>30</v>
      </c>
      <c r="W440" s="111" cm="1">
        <f t="array" ref="W440">IF(U440="",0,_xlfn.XLOOKUP(E440&amp;U440&amp;F440,tab_act&amp;tab_mod&amp;tab_act1,tab_riz)*V440*T440/MGMT)</f>
        <v>0</v>
      </c>
      <c r="X440" s="112" cm="1">
        <f t="array" ref="X440">IF(U440="",0,_xlfn.XLOOKUP(E440&amp;U440&amp;F440,tab_act&amp;tab_mod&amp;tab_act1,tab_mc)*V440*T440/MGMT)</f>
        <v>0</v>
      </c>
      <c r="Y440" s="112" cm="1">
        <f t="array" ref="Y440">IF(U440="",0,_xlfn.XLOOKUP(E440&amp;U440&amp;F440,tab_act&amp;tab_mod&amp;tab_act1,tab_sor)*V440*T440/MGMT)</f>
        <v>0</v>
      </c>
      <c r="Z440" s="112" cm="1">
        <f t="array" ref="Z440">IF(U440="",0,_xlfn.XLOOKUP(E440&amp;U440&amp;F440,tab_act&amp;tab_mod&amp;tab_act1,tab_mg)*V440*T440/MGMT)</f>
        <v>0</v>
      </c>
      <c r="AA440" s="113" cm="1">
        <f t="array" ref="AA440">IF(U440="",0,IF(U440="hybrid-Sch",_xlfn.XLOOKUP(E440&amp;U440&amp;F440,tab_act&amp;tab_mod&amp;tab_act1,tab_ls)*SchLS*T440/MGMT,_xlfn.XLOOKUP(E440&amp;U440&amp;F440,tab_act&amp;tab_mod&amp;tab_act1,tab_ls)*V440*T440/MGMT))</f>
        <v>0</v>
      </c>
      <c r="AB440" s="113" cm="1">
        <f t="array" ref="AB440">IF(U440="",0,_xlfn.XLOOKUP(E440&amp;U440&amp;F440,tab_act&amp;tab_mod&amp;tab_act1,tab_hu)*V440*T440/MGMT)</f>
        <v>0</v>
      </c>
      <c r="AC440" s="113" cm="1">
        <f t="array" ref="AC440">IF(U440="",0,_xlfn.XLOOKUP(E440&amp;U440&amp;F440,tab_act&amp;tab_mod&amp;tab_act1,tab_mnp)*V440*T440/MGMT)</f>
        <v>0</v>
      </c>
      <c r="AD440" s="113" cm="1">
        <f t="array" ref="AD440">IF(U440="",0,_xlfn.XLOOKUP(E440&amp;U440&amp;F440,tab_act&amp;tab_mod&amp;tab_act1,tab_Psup)*V440*T440/MGMT)</f>
        <v>0</v>
      </c>
      <c r="AE440" s="113" cm="1">
        <f t="array" ref="AE440">IF(U440="",0,_xlfn.XLOOKUP(E440&amp;U440&amp;F440,tab_act&amp;tab_mod&amp;tab_act1,tab_csb1)*V440*T440/MGMT)</f>
        <v>0</v>
      </c>
      <c r="AF440" s="113" cm="1">
        <f t="array" ref="AF440">IF(U440="",0,_xlfn.XLOOKUP(E440&amp;U440&amp;F440,tab_act&amp;tab_mod&amp;tab_act1,tab_csb2)*V440*T440/MGMT)</f>
        <v>0</v>
      </c>
      <c r="AG440" s="113" cm="1">
        <f t="array" ref="AG440">IF(U440="",0,_xlfn.XLOOKUP(E440&amp;U440&amp;F440,tab_act&amp;tab_mod&amp;tab_act1,tab_pdoz)*V440*T440/MGMT)</f>
        <v>0.52305000000000001</v>
      </c>
      <c r="AH440" s="113" cm="1">
        <f t="array" ref="AH440">IF(U440="",0,_xlfn.XLOOKUP(E440&amp;U440&amp;F440,tab_act&amp;tab_mod&amp;tab_act1,tab_lns)*V440*T440/MGMT)</f>
        <v>0</v>
      </c>
      <c r="AI440" s="114">
        <f t="shared" si="32"/>
        <v>0.52305000000000001</v>
      </c>
      <c r="AJ440" s="115" cm="1">
        <f t="array" ref="AJ440">IF(U440="",0,_xlfn.XLOOKUP(E440&amp;U440&amp;F440,tab_act&amp;tab_mod&amp;tab_act1,tab_cash)*T440)</f>
        <v>0</v>
      </c>
      <c r="AK440" s="148" cm="1">
        <f t="array" ref="AK440">IF(B440="",0,IF(C440="",0,AJ440/_xlfn.XLOOKUP(B440&amp;C440,RMth&amp;RYr,RAr)))</f>
        <v>0</v>
      </c>
      <c r="AL440" s="90"/>
      <c r="AM440" s="90"/>
      <c r="AN440" s="141" t="s">
        <v>248</v>
      </c>
    </row>
    <row r="441" spans="2:40" x14ac:dyDescent="0.35">
      <c r="B441" s="50" t="s">
        <v>130</v>
      </c>
      <c r="C441" s="44">
        <v>2023</v>
      </c>
      <c r="D441" s="44" t="s">
        <v>100</v>
      </c>
      <c r="E441" s="15" t="s">
        <v>39</v>
      </c>
      <c r="F441" s="143" t="s">
        <v>22</v>
      </c>
      <c r="G441" s="15" t="s">
        <v>159</v>
      </c>
      <c r="H441" s="44"/>
      <c r="I441" s="15" t="s">
        <v>94</v>
      </c>
      <c r="J441" s="15" t="s">
        <v>94</v>
      </c>
      <c r="K441" s="15" t="s">
        <v>160</v>
      </c>
      <c r="L441" s="15" t="s">
        <v>95</v>
      </c>
      <c r="M441" s="15" t="s">
        <v>94</v>
      </c>
      <c r="N441" s="15" t="s">
        <v>67</v>
      </c>
      <c r="O441" s="15" t="s">
        <v>200</v>
      </c>
      <c r="P441" s="15" t="s">
        <v>205</v>
      </c>
      <c r="Q441" s="42">
        <v>51.7</v>
      </c>
      <c r="R441" s="42">
        <v>60.5</v>
      </c>
      <c r="S441" s="42">
        <f t="shared" si="33"/>
        <v>112.2</v>
      </c>
      <c r="T441" s="43">
        <f t="shared" si="34"/>
        <v>112.2</v>
      </c>
      <c r="U441" s="15" t="s">
        <v>41</v>
      </c>
      <c r="V441" s="150">
        <v>30</v>
      </c>
      <c r="W441" s="111" cm="1">
        <f t="array" ref="W441">IF(U441="",0,_xlfn.XLOOKUP(E441&amp;U441&amp;F441,tab_act&amp;tab_mod&amp;tab_act1,tab_riz)*V441*T441/MGMT)</f>
        <v>0</v>
      </c>
      <c r="X441" s="112" cm="1">
        <f t="array" ref="X441">IF(U441="",0,_xlfn.XLOOKUP(E441&amp;U441&amp;F441,tab_act&amp;tab_mod&amp;tab_act1,tab_mc)*V441*T441/MGMT)</f>
        <v>0</v>
      </c>
      <c r="Y441" s="112" cm="1">
        <f t="array" ref="Y441">IF(U441="",0,_xlfn.XLOOKUP(E441&amp;U441&amp;F441,tab_act&amp;tab_mod&amp;tab_act1,tab_sor)*V441*T441/MGMT)</f>
        <v>0</v>
      </c>
      <c r="Z441" s="112" cm="1">
        <f t="array" ref="Z441">IF(U441="",0,_xlfn.XLOOKUP(E441&amp;U441&amp;F441,tab_act&amp;tab_mod&amp;tab_act1,tab_mg)*V441*T441/MGMT)</f>
        <v>0</v>
      </c>
      <c r="AA441" s="113" cm="1">
        <f t="array" ref="AA441">IF(U441="",0,IF(U441="hybrid-Sch",_xlfn.XLOOKUP(E441&amp;U441&amp;F441,tab_act&amp;tab_mod&amp;tab_act1,tab_ls)*SchLS*T441/MGMT,_xlfn.XLOOKUP(E441&amp;U441&amp;F441,tab_act&amp;tab_mod&amp;tab_act1,tab_ls)*V441*T441/MGMT))</f>
        <v>0</v>
      </c>
      <c r="AB441" s="113" cm="1">
        <f t="array" ref="AB441">IF(U441="",0,_xlfn.XLOOKUP(E441&amp;U441&amp;F441,tab_act&amp;tab_mod&amp;tab_act1,tab_hu)*V441*T441/MGMT)</f>
        <v>0</v>
      </c>
      <c r="AC441" s="113" cm="1">
        <f t="array" ref="AC441">IF(U441="",0,_xlfn.XLOOKUP(E441&amp;U441&amp;F441,tab_act&amp;tab_mod&amp;tab_act1,tab_mnp)*V441*T441/MGMT)</f>
        <v>0</v>
      </c>
      <c r="AD441" s="113" cm="1">
        <f t="array" ref="AD441">IF(U441="",0,_xlfn.XLOOKUP(E441&amp;U441&amp;F441,tab_act&amp;tab_mod&amp;tab_act1,tab_Psup)*V441*T441/MGMT)</f>
        <v>0</v>
      </c>
      <c r="AE441" s="113" cm="1">
        <f t="array" ref="AE441">IF(U441="",0,_xlfn.XLOOKUP(E441&amp;U441&amp;F441,tab_act&amp;tab_mod&amp;tab_act1,tab_csb1)*V441*T441/MGMT)</f>
        <v>0</v>
      </c>
      <c r="AF441" s="113" cm="1">
        <f t="array" ref="AF441">IF(U441="",0,_xlfn.XLOOKUP(E441&amp;U441&amp;F441,tab_act&amp;tab_mod&amp;tab_act1,tab_csb2)*V441*T441/MGMT)</f>
        <v>0</v>
      </c>
      <c r="AG441" s="113" cm="1">
        <f t="array" ref="AG441">IF(U441="",0,_xlfn.XLOOKUP(E441&amp;U441&amp;F441,tab_act&amp;tab_mod&amp;tab_act1,tab_pdoz)*V441*T441/MGMT)</f>
        <v>0.16830000000000001</v>
      </c>
      <c r="AH441" s="113" cm="1">
        <f t="array" ref="AH441">IF(U441="",0,_xlfn.XLOOKUP(E441&amp;U441&amp;F441,tab_act&amp;tab_mod&amp;tab_act1,tab_lns)*V441*T441/MGMT)</f>
        <v>0</v>
      </c>
      <c r="AI441" s="114">
        <f t="shared" si="32"/>
        <v>0.16830000000000001</v>
      </c>
      <c r="AJ441" s="115" cm="1">
        <f t="array" ref="AJ441">IF(U441="",0,_xlfn.XLOOKUP(E441&amp;U441&amp;F441,tab_act&amp;tab_mod&amp;tab_act1,tab_cash)*T441)</f>
        <v>0</v>
      </c>
      <c r="AK441" s="148" cm="1">
        <f t="array" ref="AK441">IF(B441="",0,IF(C441="",0,AJ441/_xlfn.XLOOKUP(B441&amp;C441,RMth&amp;RYr,RAr)))</f>
        <v>0</v>
      </c>
      <c r="AL441" s="90"/>
      <c r="AM441" s="90"/>
      <c r="AN441" s="141" t="s">
        <v>248</v>
      </c>
    </row>
    <row r="442" spans="2:40" x14ac:dyDescent="0.35">
      <c r="B442" s="50" t="s">
        <v>130</v>
      </c>
      <c r="C442" s="44">
        <v>2023</v>
      </c>
      <c r="D442" s="44" t="s">
        <v>100</v>
      </c>
      <c r="E442" s="15" t="s">
        <v>39</v>
      </c>
      <c r="F442" s="143" t="s">
        <v>22</v>
      </c>
      <c r="G442" s="15" t="s">
        <v>159</v>
      </c>
      <c r="H442" s="44"/>
      <c r="I442" s="15" t="s">
        <v>94</v>
      </c>
      <c r="J442" s="15" t="s">
        <v>94</v>
      </c>
      <c r="K442" s="15" t="s">
        <v>160</v>
      </c>
      <c r="L442" s="15" t="s">
        <v>95</v>
      </c>
      <c r="M442" s="15" t="s">
        <v>94</v>
      </c>
      <c r="N442" s="15" t="s">
        <v>67</v>
      </c>
      <c r="O442" s="15" t="s">
        <v>206</v>
      </c>
      <c r="P442" s="15" t="s">
        <v>207</v>
      </c>
      <c r="Q442" s="42">
        <v>160.6</v>
      </c>
      <c r="R442" s="42">
        <v>180.4</v>
      </c>
      <c r="S442" s="42">
        <f t="shared" si="33"/>
        <v>341</v>
      </c>
      <c r="T442" s="43">
        <f t="shared" si="34"/>
        <v>341</v>
      </c>
      <c r="U442" s="15" t="s">
        <v>41</v>
      </c>
      <c r="V442" s="150">
        <v>30</v>
      </c>
      <c r="W442" s="111" cm="1">
        <f t="array" ref="W442">IF(U442="",0,_xlfn.XLOOKUP(E442&amp;U442&amp;F442,tab_act&amp;tab_mod&amp;tab_act1,tab_riz)*V442*T442/MGMT)</f>
        <v>0</v>
      </c>
      <c r="X442" s="112" cm="1">
        <f t="array" ref="X442">IF(U442="",0,_xlfn.XLOOKUP(E442&amp;U442&amp;F442,tab_act&amp;tab_mod&amp;tab_act1,tab_mc)*V442*T442/MGMT)</f>
        <v>0</v>
      </c>
      <c r="Y442" s="112" cm="1">
        <f t="array" ref="Y442">IF(U442="",0,_xlfn.XLOOKUP(E442&amp;U442&amp;F442,tab_act&amp;tab_mod&amp;tab_act1,tab_sor)*V442*T442/MGMT)</f>
        <v>0</v>
      </c>
      <c r="Z442" s="112" cm="1">
        <f t="array" ref="Z442">IF(U442="",0,_xlfn.XLOOKUP(E442&amp;U442&amp;F442,tab_act&amp;tab_mod&amp;tab_act1,tab_mg)*V442*T442/MGMT)</f>
        <v>0</v>
      </c>
      <c r="AA442" s="113" cm="1">
        <f t="array" ref="AA442">IF(U442="",0,IF(U442="hybrid-Sch",_xlfn.XLOOKUP(E442&amp;U442&amp;F442,tab_act&amp;tab_mod&amp;tab_act1,tab_ls)*SchLS*T442/MGMT,_xlfn.XLOOKUP(E442&amp;U442&amp;F442,tab_act&amp;tab_mod&amp;tab_act1,tab_ls)*V442*T442/MGMT))</f>
        <v>0</v>
      </c>
      <c r="AB442" s="113" cm="1">
        <f t="array" ref="AB442">IF(U442="",0,_xlfn.XLOOKUP(E442&amp;U442&amp;F442,tab_act&amp;tab_mod&amp;tab_act1,tab_hu)*V442*T442/MGMT)</f>
        <v>0</v>
      </c>
      <c r="AC442" s="113" cm="1">
        <f t="array" ref="AC442">IF(U442="",0,_xlfn.XLOOKUP(E442&amp;U442&amp;F442,tab_act&amp;tab_mod&amp;tab_act1,tab_mnp)*V442*T442/MGMT)</f>
        <v>0</v>
      </c>
      <c r="AD442" s="113" cm="1">
        <f t="array" ref="AD442">IF(U442="",0,_xlfn.XLOOKUP(E442&amp;U442&amp;F442,tab_act&amp;tab_mod&amp;tab_act1,tab_Psup)*V442*T442/MGMT)</f>
        <v>0</v>
      </c>
      <c r="AE442" s="113" cm="1">
        <f t="array" ref="AE442">IF(U442="",0,_xlfn.XLOOKUP(E442&amp;U442&amp;F442,tab_act&amp;tab_mod&amp;tab_act1,tab_csb1)*V442*T442/MGMT)</f>
        <v>0</v>
      </c>
      <c r="AF442" s="113" cm="1">
        <f t="array" ref="AF442">IF(U442="",0,_xlfn.XLOOKUP(E442&amp;U442&amp;F442,tab_act&amp;tab_mod&amp;tab_act1,tab_csb2)*V442*T442/MGMT)</f>
        <v>0</v>
      </c>
      <c r="AG442" s="113" cm="1">
        <f t="array" ref="AG442">IF(U442="",0,_xlfn.XLOOKUP(E442&amp;U442&amp;F442,tab_act&amp;tab_mod&amp;tab_act1,tab_pdoz)*V442*T442/MGMT)</f>
        <v>0.51149999999999995</v>
      </c>
      <c r="AH442" s="113" cm="1">
        <f t="array" ref="AH442">IF(U442="",0,_xlfn.XLOOKUP(E442&amp;U442&amp;F442,tab_act&amp;tab_mod&amp;tab_act1,tab_lns)*V442*T442/MGMT)</f>
        <v>0</v>
      </c>
      <c r="AI442" s="114">
        <f t="shared" si="32"/>
        <v>0.51149999999999995</v>
      </c>
      <c r="AJ442" s="115" cm="1">
        <f t="array" ref="AJ442">IF(U442="",0,_xlfn.XLOOKUP(E442&amp;U442&amp;F442,tab_act&amp;tab_mod&amp;tab_act1,tab_cash)*T442)</f>
        <v>0</v>
      </c>
      <c r="AK442" s="148" cm="1">
        <f t="array" ref="AK442">IF(B442="",0,IF(C442="",0,AJ442/_xlfn.XLOOKUP(B442&amp;C442,RMth&amp;RYr,RAr)))</f>
        <v>0</v>
      </c>
      <c r="AL442" s="90"/>
      <c r="AM442" s="90"/>
      <c r="AN442" s="141" t="s">
        <v>248</v>
      </c>
    </row>
    <row r="443" spans="2:40" x14ac:dyDescent="0.35">
      <c r="B443" s="50" t="s">
        <v>130</v>
      </c>
      <c r="C443" s="44">
        <v>2023</v>
      </c>
      <c r="D443" s="44" t="s">
        <v>100</v>
      </c>
      <c r="E443" s="15" t="s">
        <v>39</v>
      </c>
      <c r="F443" s="143" t="s">
        <v>22</v>
      </c>
      <c r="G443" s="15" t="s">
        <v>159</v>
      </c>
      <c r="H443" s="44"/>
      <c r="I443" s="15" t="s">
        <v>94</v>
      </c>
      <c r="J443" s="15" t="s">
        <v>94</v>
      </c>
      <c r="K443" s="15" t="s">
        <v>160</v>
      </c>
      <c r="L443" s="15" t="s">
        <v>95</v>
      </c>
      <c r="M443" s="15" t="s">
        <v>94</v>
      </c>
      <c r="N443" s="15" t="s">
        <v>67</v>
      </c>
      <c r="O443" s="15" t="s">
        <v>206</v>
      </c>
      <c r="P443" s="15" t="s">
        <v>208</v>
      </c>
      <c r="Q443" s="42">
        <v>79.2</v>
      </c>
      <c r="R443" s="42">
        <v>62.7</v>
      </c>
      <c r="S443" s="42">
        <f t="shared" si="33"/>
        <v>141.9</v>
      </c>
      <c r="T443" s="43">
        <f t="shared" si="34"/>
        <v>141.9</v>
      </c>
      <c r="U443" s="15" t="s">
        <v>41</v>
      </c>
      <c r="V443" s="150">
        <v>30</v>
      </c>
      <c r="W443" s="111" cm="1">
        <f t="array" ref="W443">IF(U443="",0,_xlfn.XLOOKUP(E443&amp;U443&amp;F443,tab_act&amp;tab_mod&amp;tab_act1,tab_riz)*V443*T443/MGMT)</f>
        <v>0</v>
      </c>
      <c r="X443" s="112" cm="1">
        <f t="array" ref="X443">IF(U443="",0,_xlfn.XLOOKUP(E443&amp;U443&amp;F443,tab_act&amp;tab_mod&amp;tab_act1,tab_mc)*V443*T443/MGMT)</f>
        <v>0</v>
      </c>
      <c r="Y443" s="112" cm="1">
        <f t="array" ref="Y443">IF(U443="",0,_xlfn.XLOOKUP(E443&amp;U443&amp;F443,tab_act&amp;tab_mod&amp;tab_act1,tab_sor)*V443*T443/MGMT)</f>
        <v>0</v>
      </c>
      <c r="Z443" s="112" cm="1">
        <f t="array" ref="Z443">IF(U443="",0,_xlfn.XLOOKUP(E443&amp;U443&amp;F443,tab_act&amp;tab_mod&amp;tab_act1,tab_mg)*V443*T443/MGMT)</f>
        <v>0</v>
      </c>
      <c r="AA443" s="113" cm="1">
        <f t="array" ref="AA443">IF(U443="",0,IF(U443="hybrid-Sch",_xlfn.XLOOKUP(E443&amp;U443&amp;F443,tab_act&amp;tab_mod&amp;tab_act1,tab_ls)*SchLS*T443/MGMT,_xlfn.XLOOKUP(E443&amp;U443&amp;F443,tab_act&amp;tab_mod&amp;tab_act1,tab_ls)*V443*T443/MGMT))</f>
        <v>0</v>
      </c>
      <c r="AB443" s="113" cm="1">
        <f t="array" ref="AB443">IF(U443="",0,_xlfn.XLOOKUP(E443&amp;U443&amp;F443,tab_act&amp;tab_mod&amp;tab_act1,tab_hu)*V443*T443/MGMT)</f>
        <v>0</v>
      </c>
      <c r="AC443" s="113" cm="1">
        <f t="array" ref="AC443">IF(U443="",0,_xlfn.XLOOKUP(E443&amp;U443&amp;F443,tab_act&amp;tab_mod&amp;tab_act1,tab_mnp)*V443*T443/MGMT)</f>
        <v>0</v>
      </c>
      <c r="AD443" s="113" cm="1">
        <f t="array" ref="AD443">IF(U443="",0,_xlfn.XLOOKUP(E443&amp;U443&amp;F443,tab_act&amp;tab_mod&amp;tab_act1,tab_Psup)*V443*T443/MGMT)</f>
        <v>0</v>
      </c>
      <c r="AE443" s="113" cm="1">
        <f t="array" ref="AE443">IF(U443="",0,_xlfn.XLOOKUP(E443&amp;U443&amp;F443,tab_act&amp;tab_mod&amp;tab_act1,tab_csb1)*V443*T443/MGMT)</f>
        <v>0</v>
      </c>
      <c r="AF443" s="113" cm="1">
        <f t="array" ref="AF443">IF(U443="",0,_xlfn.XLOOKUP(E443&amp;U443&amp;F443,tab_act&amp;tab_mod&amp;tab_act1,tab_csb2)*V443*T443/MGMT)</f>
        <v>0</v>
      </c>
      <c r="AG443" s="113" cm="1">
        <f t="array" ref="AG443">IF(U443="",0,_xlfn.XLOOKUP(E443&amp;U443&amp;F443,tab_act&amp;tab_mod&amp;tab_act1,tab_pdoz)*V443*T443/MGMT)</f>
        <v>0.21285000000000001</v>
      </c>
      <c r="AH443" s="113" cm="1">
        <f t="array" ref="AH443">IF(U443="",0,_xlfn.XLOOKUP(E443&amp;U443&amp;F443,tab_act&amp;tab_mod&amp;tab_act1,tab_lns)*V443*T443/MGMT)</f>
        <v>0</v>
      </c>
      <c r="AI443" s="114">
        <f t="shared" si="32"/>
        <v>0.21285000000000001</v>
      </c>
      <c r="AJ443" s="115" cm="1">
        <f t="array" ref="AJ443">IF(U443="",0,_xlfn.XLOOKUP(E443&amp;U443&amp;F443,tab_act&amp;tab_mod&amp;tab_act1,tab_cash)*T443)</f>
        <v>0</v>
      </c>
      <c r="AK443" s="148" cm="1">
        <f t="array" ref="AK443">IF(B443="",0,IF(C443="",0,AJ443/_xlfn.XLOOKUP(B443&amp;C443,RMth&amp;RYr,RAr)))</f>
        <v>0</v>
      </c>
      <c r="AL443" s="90"/>
      <c r="AM443" s="90"/>
      <c r="AN443" s="141" t="s">
        <v>248</v>
      </c>
    </row>
    <row r="444" spans="2:40" x14ac:dyDescent="0.35">
      <c r="B444" s="50" t="s">
        <v>130</v>
      </c>
      <c r="C444" s="44">
        <v>2023</v>
      </c>
      <c r="D444" s="44" t="s">
        <v>100</v>
      </c>
      <c r="E444" s="15" t="s">
        <v>39</v>
      </c>
      <c r="F444" s="143" t="s">
        <v>22</v>
      </c>
      <c r="G444" s="15" t="s">
        <v>159</v>
      </c>
      <c r="H444" s="44"/>
      <c r="I444" s="15" t="s">
        <v>94</v>
      </c>
      <c r="J444" s="15" t="s">
        <v>94</v>
      </c>
      <c r="K444" s="15" t="s">
        <v>160</v>
      </c>
      <c r="L444" s="15" t="s">
        <v>95</v>
      </c>
      <c r="M444" s="15" t="s">
        <v>94</v>
      </c>
      <c r="N444" s="15" t="s">
        <v>67</v>
      </c>
      <c r="O444" s="15" t="s">
        <v>206</v>
      </c>
      <c r="P444" s="15" t="s">
        <v>209</v>
      </c>
      <c r="Q444" s="42">
        <v>124.3</v>
      </c>
      <c r="R444" s="42">
        <v>132</v>
      </c>
      <c r="S444" s="42">
        <f t="shared" si="33"/>
        <v>256.3</v>
      </c>
      <c r="T444" s="43">
        <f t="shared" si="34"/>
        <v>256.3</v>
      </c>
      <c r="U444" s="15" t="s">
        <v>41</v>
      </c>
      <c r="V444" s="150">
        <v>30</v>
      </c>
      <c r="W444" s="111" cm="1">
        <f t="array" ref="W444">IF(U444="",0,_xlfn.XLOOKUP(E444&amp;U444&amp;F444,tab_act&amp;tab_mod&amp;tab_act1,tab_riz)*V444*T444/MGMT)</f>
        <v>0</v>
      </c>
      <c r="X444" s="112" cm="1">
        <f t="array" ref="X444">IF(U444="",0,_xlfn.XLOOKUP(E444&amp;U444&amp;F444,tab_act&amp;tab_mod&amp;tab_act1,tab_mc)*V444*T444/MGMT)</f>
        <v>0</v>
      </c>
      <c r="Y444" s="112" cm="1">
        <f t="array" ref="Y444">IF(U444="",0,_xlfn.XLOOKUP(E444&amp;U444&amp;F444,tab_act&amp;tab_mod&amp;tab_act1,tab_sor)*V444*T444/MGMT)</f>
        <v>0</v>
      </c>
      <c r="Z444" s="112" cm="1">
        <f t="array" ref="Z444">IF(U444="",0,_xlfn.XLOOKUP(E444&amp;U444&amp;F444,tab_act&amp;tab_mod&amp;tab_act1,tab_mg)*V444*T444/MGMT)</f>
        <v>0</v>
      </c>
      <c r="AA444" s="113" cm="1">
        <f t="array" ref="AA444">IF(U444="",0,IF(U444="hybrid-Sch",_xlfn.XLOOKUP(E444&amp;U444&amp;F444,tab_act&amp;tab_mod&amp;tab_act1,tab_ls)*SchLS*T444/MGMT,_xlfn.XLOOKUP(E444&amp;U444&amp;F444,tab_act&amp;tab_mod&amp;tab_act1,tab_ls)*V444*T444/MGMT))</f>
        <v>0</v>
      </c>
      <c r="AB444" s="113" cm="1">
        <f t="array" ref="AB444">IF(U444="",0,_xlfn.XLOOKUP(E444&amp;U444&amp;F444,tab_act&amp;tab_mod&amp;tab_act1,tab_hu)*V444*T444/MGMT)</f>
        <v>0</v>
      </c>
      <c r="AC444" s="113" cm="1">
        <f t="array" ref="AC444">IF(U444="",0,_xlfn.XLOOKUP(E444&amp;U444&amp;F444,tab_act&amp;tab_mod&amp;tab_act1,tab_mnp)*V444*T444/MGMT)</f>
        <v>0</v>
      </c>
      <c r="AD444" s="113" cm="1">
        <f t="array" ref="AD444">IF(U444="",0,_xlfn.XLOOKUP(E444&amp;U444&amp;F444,tab_act&amp;tab_mod&amp;tab_act1,tab_Psup)*V444*T444/MGMT)</f>
        <v>0</v>
      </c>
      <c r="AE444" s="113" cm="1">
        <f t="array" ref="AE444">IF(U444="",0,_xlfn.XLOOKUP(E444&amp;U444&amp;F444,tab_act&amp;tab_mod&amp;tab_act1,tab_csb1)*V444*T444/MGMT)</f>
        <v>0</v>
      </c>
      <c r="AF444" s="113" cm="1">
        <f t="array" ref="AF444">IF(U444="",0,_xlfn.XLOOKUP(E444&amp;U444&amp;F444,tab_act&amp;tab_mod&amp;tab_act1,tab_csb2)*V444*T444/MGMT)</f>
        <v>0</v>
      </c>
      <c r="AG444" s="113" cm="1">
        <f t="array" ref="AG444">IF(U444="",0,_xlfn.XLOOKUP(E444&amp;U444&amp;F444,tab_act&amp;tab_mod&amp;tab_act1,tab_pdoz)*V444*T444/MGMT)</f>
        <v>0.38445000000000001</v>
      </c>
      <c r="AH444" s="113" cm="1">
        <f t="array" ref="AH444">IF(U444="",0,_xlfn.XLOOKUP(E444&amp;U444&amp;F444,tab_act&amp;tab_mod&amp;tab_act1,tab_lns)*V444*T444/MGMT)</f>
        <v>0</v>
      </c>
      <c r="AI444" s="114">
        <f t="shared" si="32"/>
        <v>0.38445000000000001</v>
      </c>
      <c r="AJ444" s="115" cm="1">
        <f t="array" ref="AJ444">IF(U444="",0,_xlfn.XLOOKUP(E444&amp;U444&amp;F444,tab_act&amp;tab_mod&amp;tab_act1,tab_cash)*T444)</f>
        <v>0</v>
      </c>
      <c r="AK444" s="148" cm="1">
        <f t="array" ref="AK444">IF(B444="",0,IF(C444="",0,AJ444/_xlfn.XLOOKUP(B444&amp;C444,RMth&amp;RYr,RAr)))</f>
        <v>0</v>
      </c>
      <c r="AL444" s="90"/>
      <c r="AM444" s="90"/>
      <c r="AN444" s="141" t="s">
        <v>248</v>
      </c>
    </row>
    <row r="445" spans="2:40" x14ac:dyDescent="0.35">
      <c r="B445" s="50" t="s">
        <v>130</v>
      </c>
      <c r="C445" s="44">
        <v>2023</v>
      </c>
      <c r="D445" s="44" t="s">
        <v>100</v>
      </c>
      <c r="E445" s="15" t="s">
        <v>39</v>
      </c>
      <c r="F445" s="108" t="s">
        <v>22</v>
      </c>
      <c r="G445" s="15" t="s">
        <v>159</v>
      </c>
      <c r="H445" s="44"/>
      <c r="I445" s="15" t="s">
        <v>94</v>
      </c>
      <c r="J445" s="15" t="s">
        <v>94</v>
      </c>
      <c r="K445" s="15" t="s">
        <v>160</v>
      </c>
      <c r="L445" s="15" t="s">
        <v>95</v>
      </c>
      <c r="M445" s="15" t="s">
        <v>94</v>
      </c>
      <c r="N445" s="15" t="s">
        <v>67</v>
      </c>
      <c r="O445" s="15" t="s">
        <v>206</v>
      </c>
      <c r="P445" s="15" t="s">
        <v>210</v>
      </c>
      <c r="Q445" s="42">
        <v>238.7</v>
      </c>
      <c r="R445" s="42">
        <v>272.8</v>
      </c>
      <c r="S445" s="42">
        <f t="shared" si="33"/>
        <v>511.5</v>
      </c>
      <c r="T445" s="43">
        <f t="shared" si="34"/>
        <v>511.5</v>
      </c>
      <c r="U445" s="15" t="s">
        <v>41</v>
      </c>
      <c r="V445" s="150">
        <v>30</v>
      </c>
      <c r="W445" s="111" cm="1">
        <f t="array" ref="W445">IF(U445="",0,_xlfn.XLOOKUP(E445&amp;U445&amp;F445,tab_act&amp;tab_mod&amp;tab_act1,tab_riz)*V445*T445/MGMT)</f>
        <v>0</v>
      </c>
      <c r="X445" s="112" cm="1">
        <f t="array" ref="X445">IF(U445="",0,_xlfn.XLOOKUP(E445&amp;U445&amp;F445,tab_act&amp;tab_mod&amp;tab_act1,tab_mc)*V445*T445/MGMT)</f>
        <v>0</v>
      </c>
      <c r="Y445" s="112" cm="1">
        <f t="array" ref="Y445">IF(U445="",0,_xlfn.XLOOKUP(E445&amp;U445&amp;F445,tab_act&amp;tab_mod&amp;tab_act1,tab_sor)*V445*T445/MGMT)</f>
        <v>0</v>
      </c>
      <c r="Z445" s="112" cm="1">
        <f t="array" ref="Z445">IF(U445="",0,_xlfn.XLOOKUP(E445&amp;U445&amp;F445,tab_act&amp;tab_mod&amp;tab_act1,tab_mg)*V445*T445/MGMT)</f>
        <v>0</v>
      </c>
      <c r="AA445" s="113" cm="1">
        <f t="array" ref="AA445">IF(U445="",0,IF(U445="hybrid-Sch",_xlfn.XLOOKUP(E445&amp;U445&amp;F445,tab_act&amp;tab_mod&amp;tab_act1,tab_ls)*SchLS*T445/MGMT,_xlfn.XLOOKUP(E445&amp;U445&amp;F445,tab_act&amp;tab_mod&amp;tab_act1,tab_ls)*V445*T445/MGMT))</f>
        <v>0</v>
      </c>
      <c r="AB445" s="113" cm="1">
        <f t="array" ref="AB445">IF(U445="",0,_xlfn.XLOOKUP(E445&amp;U445&amp;F445,tab_act&amp;tab_mod&amp;tab_act1,tab_hu)*V445*T445/MGMT)</f>
        <v>0</v>
      </c>
      <c r="AC445" s="113" cm="1">
        <f t="array" ref="AC445">IF(U445="",0,_xlfn.XLOOKUP(E445&amp;U445&amp;F445,tab_act&amp;tab_mod&amp;tab_act1,tab_mnp)*V445*T445/MGMT)</f>
        <v>0</v>
      </c>
      <c r="AD445" s="113" cm="1">
        <f t="array" ref="AD445">IF(U445="",0,_xlfn.XLOOKUP(E445&amp;U445&amp;F445,tab_act&amp;tab_mod&amp;tab_act1,tab_Psup)*V445*T445/MGMT)</f>
        <v>0</v>
      </c>
      <c r="AE445" s="113" cm="1">
        <f t="array" ref="AE445">IF(U445="",0,_xlfn.XLOOKUP(E445&amp;U445&amp;F445,tab_act&amp;tab_mod&amp;tab_act1,tab_csb1)*V445*T445/MGMT)</f>
        <v>0</v>
      </c>
      <c r="AF445" s="113" cm="1">
        <f t="array" ref="AF445">IF(U445="",0,_xlfn.XLOOKUP(E445&amp;U445&amp;F445,tab_act&amp;tab_mod&amp;tab_act1,tab_csb2)*V445*T445/MGMT)</f>
        <v>0</v>
      </c>
      <c r="AG445" s="113" cm="1">
        <f t="array" ref="AG445">IF(U445="",0,_xlfn.XLOOKUP(E445&amp;U445&amp;F445,tab_act&amp;tab_mod&amp;tab_act1,tab_pdoz)*V445*T445/MGMT)</f>
        <v>0.76724999999999999</v>
      </c>
      <c r="AH445" s="113" cm="1">
        <f t="array" ref="AH445">IF(U445="",0,_xlfn.XLOOKUP(E445&amp;U445&amp;F445,tab_act&amp;tab_mod&amp;tab_act1,tab_lns)*V445*T445/MGMT)</f>
        <v>0</v>
      </c>
      <c r="AI445" s="114">
        <f t="shared" si="32"/>
        <v>0.76724999999999999</v>
      </c>
      <c r="AJ445" s="115" cm="1">
        <f t="array" ref="AJ445">IF(U445="",0,_xlfn.XLOOKUP(E445&amp;U445&amp;F445,tab_act&amp;tab_mod&amp;tab_act1,tab_cash)*T445)</f>
        <v>0</v>
      </c>
      <c r="AK445" s="148" cm="1">
        <f t="array" ref="AK445">IF(B445="",0,IF(C445="",0,AJ445/_xlfn.XLOOKUP(B445&amp;C445,RMth&amp;RYr,RAr)))</f>
        <v>0</v>
      </c>
      <c r="AL445" s="90"/>
      <c r="AM445" s="90"/>
      <c r="AN445" s="141" t="s">
        <v>248</v>
      </c>
    </row>
    <row r="446" spans="2:40" x14ac:dyDescent="0.35">
      <c r="B446" s="50" t="s">
        <v>130</v>
      </c>
      <c r="C446" s="44">
        <v>2023</v>
      </c>
      <c r="D446" s="44" t="s">
        <v>100</v>
      </c>
      <c r="E446" s="15" t="s">
        <v>39</v>
      </c>
      <c r="F446" s="108" t="s">
        <v>22</v>
      </c>
      <c r="G446" s="15" t="s">
        <v>159</v>
      </c>
      <c r="H446" s="44"/>
      <c r="I446" s="15" t="s">
        <v>94</v>
      </c>
      <c r="J446" s="15" t="s">
        <v>94</v>
      </c>
      <c r="K446" s="15" t="s">
        <v>160</v>
      </c>
      <c r="L446" s="15" t="s">
        <v>95</v>
      </c>
      <c r="M446" s="15" t="s">
        <v>94</v>
      </c>
      <c r="N446" s="15" t="s">
        <v>67</v>
      </c>
      <c r="O446" s="15" t="s">
        <v>206</v>
      </c>
      <c r="P446" s="15" t="s">
        <v>211</v>
      </c>
      <c r="Q446" s="42">
        <v>93.5</v>
      </c>
      <c r="R446" s="42">
        <v>104.5</v>
      </c>
      <c r="S446" s="42">
        <f t="shared" si="33"/>
        <v>198</v>
      </c>
      <c r="T446" s="43">
        <f t="shared" si="34"/>
        <v>198</v>
      </c>
      <c r="U446" s="15" t="s">
        <v>41</v>
      </c>
      <c r="V446" s="150">
        <v>30</v>
      </c>
      <c r="W446" s="111" cm="1">
        <f t="array" ref="W446">IF(U446="",0,_xlfn.XLOOKUP(E446&amp;U446&amp;F446,tab_act&amp;tab_mod&amp;tab_act1,tab_riz)*V446*T446/MGMT)</f>
        <v>0</v>
      </c>
      <c r="X446" s="112" cm="1">
        <f t="array" ref="X446">IF(U446="",0,_xlfn.XLOOKUP(E446&amp;U446&amp;F446,tab_act&amp;tab_mod&amp;tab_act1,tab_mc)*V446*T446/MGMT)</f>
        <v>0</v>
      </c>
      <c r="Y446" s="112" cm="1">
        <f t="array" ref="Y446">IF(U446="",0,_xlfn.XLOOKUP(E446&amp;U446&amp;F446,tab_act&amp;tab_mod&amp;tab_act1,tab_sor)*V446*T446/MGMT)</f>
        <v>0</v>
      </c>
      <c r="Z446" s="112" cm="1">
        <f t="array" ref="Z446">IF(U446="",0,_xlfn.XLOOKUP(E446&amp;U446&amp;F446,tab_act&amp;tab_mod&amp;tab_act1,tab_mg)*V446*T446/MGMT)</f>
        <v>0</v>
      </c>
      <c r="AA446" s="113" cm="1">
        <f t="array" ref="AA446">IF(U446="",0,IF(U446="hybrid-Sch",_xlfn.XLOOKUP(E446&amp;U446&amp;F446,tab_act&amp;tab_mod&amp;tab_act1,tab_ls)*SchLS*T446/MGMT,_xlfn.XLOOKUP(E446&amp;U446&amp;F446,tab_act&amp;tab_mod&amp;tab_act1,tab_ls)*V446*T446/MGMT))</f>
        <v>0</v>
      </c>
      <c r="AB446" s="113" cm="1">
        <f t="array" ref="AB446">IF(U446="",0,_xlfn.XLOOKUP(E446&amp;U446&amp;F446,tab_act&amp;tab_mod&amp;tab_act1,tab_hu)*V446*T446/MGMT)</f>
        <v>0</v>
      </c>
      <c r="AC446" s="113" cm="1">
        <f t="array" ref="AC446">IF(U446="",0,_xlfn.XLOOKUP(E446&amp;U446&amp;F446,tab_act&amp;tab_mod&amp;tab_act1,tab_mnp)*V446*T446/MGMT)</f>
        <v>0</v>
      </c>
      <c r="AD446" s="113" cm="1">
        <f t="array" ref="AD446">IF(U446="",0,_xlfn.XLOOKUP(E446&amp;U446&amp;F446,tab_act&amp;tab_mod&amp;tab_act1,tab_Psup)*V446*T446/MGMT)</f>
        <v>0</v>
      </c>
      <c r="AE446" s="113" cm="1">
        <f t="array" ref="AE446">IF(U446="",0,_xlfn.XLOOKUP(E446&amp;U446&amp;F446,tab_act&amp;tab_mod&amp;tab_act1,tab_csb1)*V446*T446/MGMT)</f>
        <v>0</v>
      </c>
      <c r="AF446" s="113" cm="1">
        <f t="array" ref="AF446">IF(U446="",0,_xlfn.XLOOKUP(E446&amp;U446&amp;F446,tab_act&amp;tab_mod&amp;tab_act1,tab_csb2)*V446*T446/MGMT)</f>
        <v>0</v>
      </c>
      <c r="AG446" s="113" cm="1">
        <f t="array" ref="AG446">IF(U446="",0,_xlfn.XLOOKUP(E446&amp;U446&amp;F446,tab_act&amp;tab_mod&amp;tab_act1,tab_pdoz)*V446*T446/MGMT)</f>
        <v>0.29699999999999999</v>
      </c>
      <c r="AH446" s="113" cm="1">
        <f t="array" ref="AH446">IF(U446="",0,_xlfn.XLOOKUP(E446&amp;U446&amp;F446,tab_act&amp;tab_mod&amp;tab_act1,tab_lns)*V446*T446/MGMT)</f>
        <v>0</v>
      </c>
      <c r="AI446" s="114">
        <f t="shared" si="32"/>
        <v>0.29699999999999999</v>
      </c>
      <c r="AJ446" s="115" cm="1">
        <f t="array" ref="AJ446">IF(U446="",0,_xlfn.XLOOKUP(E446&amp;U446&amp;F446,tab_act&amp;tab_mod&amp;tab_act1,tab_cash)*T446)</f>
        <v>0</v>
      </c>
      <c r="AK446" s="148" cm="1">
        <f t="array" ref="AK446">IF(B446="",0,IF(C446="",0,AJ446/_xlfn.XLOOKUP(B446&amp;C446,RMth&amp;RYr,RAr)))</f>
        <v>0</v>
      </c>
      <c r="AL446" s="90"/>
      <c r="AM446" s="90"/>
      <c r="AN446" s="141" t="s">
        <v>248</v>
      </c>
    </row>
    <row r="447" spans="2:40" x14ac:dyDescent="0.35">
      <c r="B447" s="50" t="s">
        <v>130</v>
      </c>
      <c r="C447" s="44">
        <v>2023</v>
      </c>
      <c r="D447" s="44" t="s">
        <v>100</v>
      </c>
      <c r="E447" s="15" t="s">
        <v>39</v>
      </c>
      <c r="F447" s="108" t="s">
        <v>22</v>
      </c>
      <c r="G447" s="15" t="s">
        <v>159</v>
      </c>
      <c r="H447" s="44"/>
      <c r="I447" s="15" t="s">
        <v>213</v>
      </c>
      <c r="J447" s="15" t="s">
        <v>91</v>
      </c>
      <c r="K447" s="15" t="s">
        <v>97</v>
      </c>
      <c r="L447" s="15" t="s">
        <v>212</v>
      </c>
      <c r="M447" s="15" t="s">
        <v>158</v>
      </c>
      <c r="N447" s="15" t="s">
        <v>68</v>
      </c>
      <c r="O447" s="15" t="s">
        <v>152</v>
      </c>
      <c r="P447" s="15" t="s">
        <v>214</v>
      </c>
      <c r="Q447" s="135"/>
      <c r="R447" s="42"/>
      <c r="S447" s="42">
        <v>732</v>
      </c>
      <c r="T447" s="43">
        <f t="shared" si="34"/>
        <v>732</v>
      </c>
      <c r="U447" s="15" t="s">
        <v>41</v>
      </c>
      <c r="V447" s="150">
        <v>30</v>
      </c>
      <c r="W447" s="111" cm="1">
        <f t="array" ref="W447">IF(U447="",0,_xlfn.XLOOKUP(E447&amp;U447&amp;F447,tab_act&amp;tab_mod&amp;tab_act1,tab_riz)*V447*T447/MGMT)</f>
        <v>0</v>
      </c>
      <c r="X447" s="112" cm="1">
        <f t="array" ref="X447">IF(U447="",0,_xlfn.XLOOKUP(E447&amp;U447&amp;F447,tab_act&amp;tab_mod&amp;tab_act1,tab_mc)*V447*T447/MGMT)</f>
        <v>0</v>
      </c>
      <c r="Y447" s="112" cm="1">
        <f t="array" ref="Y447">IF(U447="",0,_xlfn.XLOOKUP(E447&amp;U447&amp;F447,tab_act&amp;tab_mod&amp;tab_act1,tab_sor)*V447*T447/MGMT)</f>
        <v>0</v>
      </c>
      <c r="Z447" s="112" cm="1">
        <f t="array" ref="Z447">IF(U447="",0,_xlfn.XLOOKUP(E447&amp;U447&amp;F447,tab_act&amp;tab_mod&amp;tab_act1,tab_mg)*V447*T447/MGMT)</f>
        <v>0</v>
      </c>
      <c r="AA447" s="113" cm="1">
        <f t="array" ref="AA447">IF(U447="",0,IF(U447="hybrid-Sch",_xlfn.XLOOKUP(E447&amp;U447&amp;F447,tab_act&amp;tab_mod&amp;tab_act1,tab_ls)*SchLS*T447/MGMT,_xlfn.XLOOKUP(E447&amp;U447&amp;F447,tab_act&amp;tab_mod&amp;tab_act1,tab_ls)*V447*T447/MGMT))</f>
        <v>0</v>
      </c>
      <c r="AB447" s="113" cm="1">
        <f t="array" ref="AB447">IF(U447="",0,_xlfn.XLOOKUP(E447&amp;U447&amp;F447,tab_act&amp;tab_mod&amp;tab_act1,tab_hu)*V447*T447/MGMT)</f>
        <v>0</v>
      </c>
      <c r="AC447" s="113" cm="1">
        <f t="array" ref="AC447">IF(U447="",0,_xlfn.XLOOKUP(E447&amp;U447&amp;F447,tab_act&amp;tab_mod&amp;tab_act1,tab_mnp)*V447*T447/MGMT)</f>
        <v>0</v>
      </c>
      <c r="AD447" s="113" cm="1">
        <f t="array" ref="AD447">IF(U447="",0,_xlfn.XLOOKUP(E447&amp;U447&amp;F447,tab_act&amp;tab_mod&amp;tab_act1,tab_Psup)*V447*T447/MGMT)</f>
        <v>0</v>
      </c>
      <c r="AE447" s="113" cm="1">
        <f t="array" ref="AE447">IF(U447="",0,_xlfn.XLOOKUP(E447&amp;U447&amp;F447,tab_act&amp;tab_mod&amp;tab_act1,tab_csb1)*V447*T447/MGMT)</f>
        <v>0</v>
      </c>
      <c r="AF447" s="113" cm="1">
        <f t="array" ref="AF447">IF(U447="",0,_xlfn.XLOOKUP(E447&amp;U447&amp;F447,tab_act&amp;tab_mod&amp;tab_act1,tab_csb2)*V447*T447/MGMT)</f>
        <v>0</v>
      </c>
      <c r="AG447" s="113" cm="1">
        <f t="array" ref="AG447">IF(U447="",0,_xlfn.XLOOKUP(E447&amp;U447&amp;F447,tab_act&amp;tab_mod&amp;tab_act1,tab_pdoz)*V447*T447/MGMT)</f>
        <v>1.0980000000000001</v>
      </c>
      <c r="AH447" s="113" cm="1">
        <f t="array" ref="AH447">IF(U447="",0,_xlfn.XLOOKUP(E447&amp;U447&amp;F447,tab_act&amp;tab_mod&amp;tab_act1,tab_lns)*V447*T447/MGMT)</f>
        <v>0</v>
      </c>
      <c r="AI447" s="114">
        <f t="shared" si="32"/>
        <v>1.0980000000000001</v>
      </c>
      <c r="AJ447" s="115" cm="1">
        <f t="array" ref="AJ447">IF(U447="",0,_xlfn.XLOOKUP(E447&amp;U447&amp;F447,tab_act&amp;tab_mod&amp;tab_act1,tab_cash)*T447)</f>
        <v>0</v>
      </c>
      <c r="AK447" s="148" cm="1">
        <f t="array" ref="AK447">IF(B447="",0,IF(C447="",0,AJ447/_xlfn.XLOOKUP(B447&amp;C447,RMth&amp;RYr,RAr)))</f>
        <v>0</v>
      </c>
      <c r="AL447" s="90"/>
      <c r="AM447" s="90"/>
      <c r="AN447" s="141" t="s">
        <v>248</v>
      </c>
    </row>
    <row r="448" spans="2:40" x14ac:dyDescent="0.35">
      <c r="B448" s="50" t="s">
        <v>130</v>
      </c>
      <c r="C448" s="44">
        <v>2023</v>
      </c>
      <c r="D448" s="44" t="s">
        <v>100</v>
      </c>
      <c r="E448" s="15" t="s">
        <v>39</v>
      </c>
      <c r="F448" s="108" t="s">
        <v>22</v>
      </c>
      <c r="G448" s="15" t="s">
        <v>159</v>
      </c>
      <c r="H448" s="44"/>
      <c r="I448" s="15" t="s">
        <v>213</v>
      </c>
      <c r="J448" s="15" t="s">
        <v>91</v>
      </c>
      <c r="K448" s="15" t="s">
        <v>97</v>
      </c>
      <c r="L448" s="15" t="s">
        <v>212</v>
      </c>
      <c r="M448" s="15" t="s">
        <v>158</v>
      </c>
      <c r="N448" s="15" t="s">
        <v>68</v>
      </c>
      <c r="O448" s="15" t="s">
        <v>152</v>
      </c>
      <c r="P448" s="15" t="s">
        <v>215</v>
      </c>
      <c r="Q448" s="135"/>
      <c r="R448" s="42"/>
      <c r="S448" s="42">
        <v>300</v>
      </c>
      <c r="T448" s="43">
        <f t="shared" ref="T448:T479" si="35">IF(E448="Sch",S448,IF(E448="nutrition",S448,S448/5))</f>
        <v>300</v>
      </c>
      <c r="U448" s="15" t="s">
        <v>41</v>
      </c>
      <c r="V448" s="150">
        <v>30</v>
      </c>
      <c r="W448" s="111" cm="1">
        <f t="array" ref="W448">IF(U448="",0,_xlfn.XLOOKUP(E448&amp;U448&amp;F448,tab_act&amp;tab_mod&amp;tab_act1,tab_riz)*V448*T448/MGMT)</f>
        <v>0</v>
      </c>
      <c r="X448" s="112" cm="1">
        <f t="array" ref="X448">IF(U448="",0,_xlfn.XLOOKUP(E448&amp;U448&amp;F448,tab_act&amp;tab_mod&amp;tab_act1,tab_mc)*V448*T448/MGMT)</f>
        <v>0</v>
      </c>
      <c r="Y448" s="112" cm="1">
        <f t="array" ref="Y448">IF(U448="",0,_xlfn.XLOOKUP(E448&amp;U448&amp;F448,tab_act&amp;tab_mod&amp;tab_act1,tab_sor)*V448*T448/MGMT)</f>
        <v>0</v>
      </c>
      <c r="Z448" s="112" cm="1">
        <f t="array" ref="Z448">IF(U448="",0,_xlfn.XLOOKUP(E448&amp;U448&amp;F448,tab_act&amp;tab_mod&amp;tab_act1,tab_mg)*V448*T448/MGMT)</f>
        <v>0</v>
      </c>
      <c r="AA448" s="113" cm="1">
        <f t="array" ref="AA448">IF(U448="",0,IF(U448="hybrid-Sch",_xlfn.XLOOKUP(E448&amp;U448&amp;F448,tab_act&amp;tab_mod&amp;tab_act1,tab_ls)*SchLS*T448/MGMT,_xlfn.XLOOKUP(E448&amp;U448&amp;F448,tab_act&amp;tab_mod&amp;tab_act1,tab_ls)*V448*T448/MGMT))</f>
        <v>0</v>
      </c>
      <c r="AB448" s="113" cm="1">
        <f t="array" ref="AB448">IF(U448="",0,_xlfn.XLOOKUP(E448&amp;U448&amp;F448,tab_act&amp;tab_mod&amp;tab_act1,tab_hu)*V448*T448/MGMT)</f>
        <v>0</v>
      </c>
      <c r="AC448" s="113" cm="1">
        <f t="array" ref="AC448">IF(U448="",0,_xlfn.XLOOKUP(E448&amp;U448&amp;F448,tab_act&amp;tab_mod&amp;tab_act1,tab_mnp)*V448*T448/MGMT)</f>
        <v>0</v>
      </c>
      <c r="AD448" s="113" cm="1">
        <f t="array" ref="AD448">IF(U448="",0,_xlfn.XLOOKUP(E448&amp;U448&amp;F448,tab_act&amp;tab_mod&amp;tab_act1,tab_Psup)*V448*T448/MGMT)</f>
        <v>0</v>
      </c>
      <c r="AE448" s="113" cm="1">
        <f t="array" ref="AE448">IF(U448="",0,_xlfn.XLOOKUP(E448&amp;U448&amp;F448,tab_act&amp;tab_mod&amp;tab_act1,tab_csb1)*V448*T448/MGMT)</f>
        <v>0</v>
      </c>
      <c r="AF448" s="113" cm="1">
        <f t="array" ref="AF448">IF(U448="",0,_xlfn.XLOOKUP(E448&amp;U448&amp;F448,tab_act&amp;tab_mod&amp;tab_act1,tab_csb2)*V448*T448/MGMT)</f>
        <v>0</v>
      </c>
      <c r="AG448" s="113" cm="1">
        <f t="array" ref="AG448">IF(U448="",0,_xlfn.XLOOKUP(E448&amp;U448&amp;F448,tab_act&amp;tab_mod&amp;tab_act1,tab_pdoz)*V448*T448/MGMT)</f>
        <v>0.45</v>
      </c>
      <c r="AH448" s="113" cm="1">
        <f t="array" ref="AH448">IF(U448="",0,_xlfn.XLOOKUP(E448&amp;U448&amp;F448,tab_act&amp;tab_mod&amp;tab_act1,tab_lns)*V448*T448/MGMT)</f>
        <v>0</v>
      </c>
      <c r="AI448" s="114">
        <f t="shared" ref="AI448:AI477" si="36">SUM(W448:AH448)</f>
        <v>0.45</v>
      </c>
      <c r="AJ448" s="115" cm="1">
        <f t="array" ref="AJ448">IF(U448="",0,_xlfn.XLOOKUP(E448&amp;U448&amp;F448,tab_act&amp;tab_mod&amp;tab_act1,tab_cash)*T448)</f>
        <v>0</v>
      </c>
      <c r="AK448" s="148" cm="1">
        <f t="array" ref="AK448">IF(B448="",0,IF(C448="",0,AJ448/_xlfn.XLOOKUP(B448&amp;C448,RMth&amp;RYr,RAr)))</f>
        <v>0</v>
      </c>
      <c r="AL448" s="90"/>
      <c r="AM448" s="90"/>
      <c r="AN448" s="141" t="s">
        <v>248</v>
      </c>
    </row>
    <row r="449" spans="2:40" x14ac:dyDescent="0.35">
      <c r="B449" s="50" t="s">
        <v>130</v>
      </c>
      <c r="C449" s="44">
        <v>2023</v>
      </c>
      <c r="D449" s="44" t="s">
        <v>100</v>
      </c>
      <c r="E449" s="15" t="s">
        <v>39</v>
      </c>
      <c r="F449" s="108" t="s">
        <v>22</v>
      </c>
      <c r="G449" s="15" t="s">
        <v>159</v>
      </c>
      <c r="H449" s="44"/>
      <c r="I449" s="15" t="s">
        <v>213</v>
      </c>
      <c r="J449" s="15" t="s">
        <v>91</v>
      </c>
      <c r="K449" s="15" t="s">
        <v>97</v>
      </c>
      <c r="L449" s="15" t="s">
        <v>212</v>
      </c>
      <c r="M449" s="15" t="s">
        <v>158</v>
      </c>
      <c r="N449" s="15" t="s">
        <v>68</v>
      </c>
      <c r="O449" s="15" t="s">
        <v>152</v>
      </c>
      <c r="P449" s="15" t="s">
        <v>216</v>
      </c>
      <c r="Q449" s="135"/>
      <c r="R449" s="42"/>
      <c r="S449" s="42">
        <v>342</v>
      </c>
      <c r="T449" s="43">
        <f t="shared" si="35"/>
        <v>342</v>
      </c>
      <c r="U449" s="15" t="s">
        <v>41</v>
      </c>
      <c r="V449" s="150">
        <v>30</v>
      </c>
      <c r="W449" s="111" cm="1">
        <f t="array" ref="W449">IF(U449="",0,_xlfn.XLOOKUP(E449&amp;U449&amp;F449,tab_act&amp;tab_mod&amp;tab_act1,tab_riz)*V449*T449/MGMT)</f>
        <v>0</v>
      </c>
      <c r="X449" s="112" cm="1">
        <f t="array" ref="X449">IF(U449="",0,_xlfn.XLOOKUP(E449&amp;U449&amp;F449,tab_act&amp;tab_mod&amp;tab_act1,tab_mc)*V449*T449/MGMT)</f>
        <v>0</v>
      </c>
      <c r="Y449" s="112" cm="1">
        <f t="array" ref="Y449">IF(U449="",0,_xlfn.XLOOKUP(E449&amp;U449&amp;F449,tab_act&amp;tab_mod&amp;tab_act1,tab_sor)*V449*T449/MGMT)</f>
        <v>0</v>
      </c>
      <c r="Z449" s="112" cm="1">
        <f t="array" ref="Z449">IF(U449="",0,_xlfn.XLOOKUP(E449&amp;U449&amp;F449,tab_act&amp;tab_mod&amp;tab_act1,tab_mg)*V449*T449/MGMT)</f>
        <v>0</v>
      </c>
      <c r="AA449" s="113" cm="1">
        <f t="array" ref="AA449">IF(U449="",0,IF(U449="hybrid-Sch",_xlfn.XLOOKUP(E449&amp;U449&amp;F449,tab_act&amp;tab_mod&amp;tab_act1,tab_ls)*SchLS*T449/MGMT,_xlfn.XLOOKUP(E449&amp;U449&amp;F449,tab_act&amp;tab_mod&amp;tab_act1,tab_ls)*V449*T449/MGMT))</f>
        <v>0</v>
      </c>
      <c r="AB449" s="113" cm="1">
        <f t="array" ref="AB449">IF(U449="",0,_xlfn.XLOOKUP(E449&amp;U449&amp;F449,tab_act&amp;tab_mod&amp;tab_act1,tab_hu)*V449*T449/MGMT)</f>
        <v>0</v>
      </c>
      <c r="AC449" s="113" cm="1">
        <f t="array" ref="AC449">IF(U449="",0,_xlfn.XLOOKUP(E449&amp;U449&amp;F449,tab_act&amp;tab_mod&amp;tab_act1,tab_mnp)*V449*T449/MGMT)</f>
        <v>0</v>
      </c>
      <c r="AD449" s="113" cm="1">
        <f t="array" ref="AD449">IF(U449="",0,_xlfn.XLOOKUP(E449&amp;U449&amp;F449,tab_act&amp;tab_mod&amp;tab_act1,tab_Psup)*V449*T449/MGMT)</f>
        <v>0</v>
      </c>
      <c r="AE449" s="113" cm="1">
        <f t="array" ref="AE449">IF(U449="",0,_xlfn.XLOOKUP(E449&amp;U449&amp;F449,tab_act&amp;tab_mod&amp;tab_act1,tab_csb1)*V449*T449/MGMT)</f>
        <v>0</v>
      </c>
      <c r="AF449" s="113" cm="1">
        <f t="array" ref="AF449">IF(U449="",0,_xlfn.XLOOKUP(E449&amp;U449&amp;F449,tab_act&amp;tab_mod&amp;tab_act1,tab_csb2)*V449*T449/MGMT)</f>
        <v>0</v>
      </c>
      <c r="AG449" s="113" cm="1">
        <f t="array" ref="AG449">IF(U449="",0,_xlfn.XLOOKUP(E449&amp;U449&amp;F449,tab_act&amp;tab_mod&amp;tab_act1,tab_pdoz)*V449*T449/MGMT)</f>
        <v>0.51300000000000001</v>
      </c>
      <c r="AH449" s="113" cm="1">
        <f t="array" ref="AH449">IF(U449="",0,_xlfn.XLOOKUP(E449&amp;U449&amp;F449,tab_act&amp;tab_mod&amp;tab_act1,tab_lns)*V449*T449/MGMT)</f>
        <v>0</v>
      </c>
      <c r="AI449" s="114">
        <f t="shared" si="36"/>
        <v>0.51300000000000001</v>
      </c>
      <c r="AJ449" s="115" cm="1">
        <f t="array" ref="AJ449">IF(U449="",0,_xlfn.XLOOKUP(E449&amp;U449&amp;F449,tab_act&amp;tab_mod&amp;tab_act1,tab_cash)*T449)</f>
        <v>0</v>
      </c>
      <c r="AK449" s="148" cm="1">
        <f t="array" ref="AK449">IF(B449="",0,IF(C449="",0,AJ449/_xlfn.XLOOKUP(B449&amp;C449,RMth&amp;RYr,RAr)))</f>
        <v>0</v>
      </c>
      <c r="AL449" s="90"/>
      <c r="AM449" s="90"/>
      <c r="AN449" s="141" t="s">
        <v>248</v>
      </c>
    </row>
    <row r="450" spans="2:40" x14ac:dyDescent="0.35">
      <c r="B450" s="50" t="s">
        <v>130</v>
      </c>
      <c r="C450" s="44">
        <v>2023</v>
      </c>
      <c r="D450" s="44" t="s">
        <v>100</v>
      </c>
      <c r="E450" s="15" t="s">
        <v>39</v>
      </c>
      <c r="F450" s="108" t="s">
        <v>22</v>
      </c>
      <c r="G450" s="15" t="s">
        <v>159</v>
      </c>
      <c r="H450" s="44"/>
      <c r="I450" s="15" t="s">
        <v>213</v>
      </c>
      <c r="J450" s="15" t="s">
        <v>91</v>
      </c>
      <c r="K450" s="15" t="s">
        <v>97</v>
      </c>
      <c r="L450" s="15" t="s">
        <v>212</v>
      </c>
      <c r="M450" s="15" t="s">
        <v>158</v>
      </c>
      <c r="N450" s="15" t="s">
        <v>68</v>
      </c>
      <c r="O450" s="15" t="s">
        <v>152</v>
      </c>
      <c r="P450" s="15" t="s">
        <v>217</v>
      </c>
      <c r="Q450" s="135"/>
      <c r="R450" s="42"/>
      <c r="S450" s="42">
        <v>166</v>
      </c>
      <c r="T450" s="43">
        <f t="shared" si="35"/>
        <v>166</v>
      </c>
      <c r="U450" s="15" t="s">
        <v>41</v>
      </c>
      <c r="V450" s="150">
        <v>30</v>
      </c>
      <c r="W450" s="111" cm="1">
        <f t="array" ref="W450">IF(U450="",0,_xlfn.XLOOKUP(E450&amp;U450&amp;F450,tab_act&amp;tab_mod&amp;tab_act1,tab_riz)*V450*T450/MGMT)</f>
        <v>0</v>
      </c>
      <c r="X450" s="112" cm="1">
        <f t="array" ref="X450">IF(U450="",0,_xlfn.XLOOKUP(E450&amp;U450&amp;F450,tab_act&amp;tab_mod&amp;tab_act1,tab_mc)*V450*T450/MGMT)</f>
        <v>0</v>
      </c>
      <c r="Y450" s="112" cm="1">
        <f t="array" ref="Y450">IF(U450="",0,_xlfn.XLOOKUP(E450&amp;U450&amp;F450,tab_act&amp;tab_mod&amp;tab_act1,tab_sor)*V450*T450/MGMT)</f>
        <v>0</v>
      </c>
      <c r="Z450" s="112" cm="1">
        <f t="array" ref="Z450">IF(U450="",0,_xlfn.XLOOKUP(E450&amp;U450&amp;F450,tab_act&amp;tab_mod&amp;tab_act1,tab_mg)*V450*T450/MGMT)</f>
        <v>0</v>
      </c>
      <c r="AA450" s="113" cm="1">
        <f t="array" ref="AA450">IF(U450="",0,IF(U450="hybrid-Sch",_xlfn.XLOOKUP(E450&amp;U450&amp;F450,tab_act&amp;tab_mod&amp;tab_act1,tab_ls)*SchLS*T450/MGMT,_xlfn.XLOOKUP(E450&amp;U450&amp;F450,tab_act&amp;tab_mod&amp;tab_act1,tab_ls)*V450*T450/MGMT))</f>
        <v>0</v>
      </c>
      <c r="AB450" s="113" cm="1">
        <f t="array" ref="AB450">IF(U450="",0,_xlfn.XLOOKUP(E450&amp;U450&amp;F450,tab_act&amp;tab_mod&amp;tab_act1,tab_hu)*V450*T450/MGMT)</f>
        <v>0</v>
      </c>
      <c r="AC450" s="113" cm="1">
        <f t="array" ref="AC450">IF(U450="",0,_xlfn.XLOOKUP(E450&amp;U450&amp;F450,tab_act&amp;tab_mod&amp;tab_act1,tab_mnp)*V450*T450/MGMT)</f>
        <v>0</v>
      </c>
      <c r="AD450" s="113" cm="1">
        <f t="array" ref="AD450">IF(U450="",0,_xlfn.XLOOKUP(E450&amp;U450&amp;F450,tab_act&amp;tab_mod&amp;tab_act1,tab_Psup)*V450*T450/MGMT)</f>
        <v>0</v>
      </c>
      <c r="AE450" s="113" cm="1">
        <f t="array" ref="AE450">IF(U450="",0,_xlfn.XLOOKUP(E450&amp;U450&amp;F450,tab_act&amp;tab_mod&amp;tab_act1,tab_csb1)*V450*T450/MGMT)</f>
        <v>0</v>
      </c>
      <c r="AF450" s="113" cm="1">
        <f t="array" ref="AF450">IF(U450="",0,_xlfn.XLOOKUP(E450&amp;U450&amp;F450,tab_act&amp;tab_mod&amp;tab_act1,tab_csb2)*V450*T450/MGMT)</f>
        <v>0</v>
      </c>
      <c r="AG450" s="113" cm="1">
        <f t="array" ref="AG450">IF(U450="",0,_xlfn.XLOOKUP(E450&amp;U450&amp;F450,tab_act&amp;tab_mod&amp;tab_act1,tab_pdoz)*V450*T450/MGMT)</f>
        <v>0.249</v>
      </c>
      <c r="AH450" s="113" cm="1">
        <f t="array" ref="AH450">IF(U450="",0,_xlfn.XLOOKUP(E450&amp;U450&amp;F450,tab_act&amp;tab_mod&amp;tab_act1,tab_lns)*V450*T450/MGMT)</f>
        <v>0</v>
      </c>
      <c r="AI450" s="114">
        <f t="shared" si="36"/>
        <v>0.249</v>
      </c>
      <c r="AJ450" s="115" cm="1">
        <f t="array" ref="AJ450">IF(U450="",0,_xlfn.XLOOKUP(E450&amp;U450&amp;F450,tab_act&amp;tab_mod&amp;tab_act1,tab_cash)*T450)</f>
        <v>0</v>
      </c>
      <c r="AK450" s="148" cm="1">
        <f t="array" ref="AK450">IF(B450="",0,IF(C450="",0,AJ450/_xlfn.XLOOKUP(B450&amp;C450,RMth&amp;RYr,RAr)))</f>
        <v>0</v>
      </c>
      <c r="AL450" s="90"/>
      <c r="AM450" s="90"/>
      <c r="AN450" s="141" t="s">
        <v>248</v>
      </c>
    </row>
    <row r="451" spans="2:40" x14ac:dyDescent="0.35">
      <c r="B451" s="50" t="s">
        <v>130</v>
      </c>
      <c r="C451" s="44">
        <v>2023</v>
      </c>
      <c r="D451" s="44" t="s">
        <v>100</v>
      </c>
      <c r="E451" s="15" t="s">
        <v>39</v>
      </c>
      <c r="F451" s="108" t="s">
        <v>22</v>
      </c>
      <c r="G451" s="15" t="s">
        <v>159</v>
      </c>
      <c r="H451" s="44"/>
      <c r="I451" s="15" t="s">
        <v>213</v>
      </c>
      <c r="J451" s="15" t="s">
        <v>91</v>
      </c>
      <c r="K451" s="15" t="s">
        <v>97</v>
      </c>
      <c r="L451" s="15" t="s">
        <v>212</v>
      </c>
      <c r="M451" s="15" t="s">
        <v>158</v>
      </c>
      <c r="N451" s="15" t="s">
        <v>68</v>
      </c>
      <c r="O451" s="15" t="s">
        <v>152</v>
      </c>
      <c r="P451" s="15" t="s">
        <v>218</v>
      </c>
      <c r="Q451" s="135"/>
      <c r="R451" s="42"/>
      <c r="S451" s="42">
        <v>320</v>
      </c>
      <c r="T451" s="43">
        <f t="shared" si="35"/>
        <v>320</v>
      </c>
      <c r="U451" s="15" t="s">
        <v>41</v>
      </c>
      <c r="V451" s="150">
        <v>30</v>
      </c>
      <c r="W451" s="111" cm="1">
        <f t="array" ref="W451">IF(U451="",0,_xlfn.XLOOKUP(E451&amp;U451&amp;F451,tab_act&amp;tab_mod&amp;tab_act1,tab_riz)*V451*T451/MGMT)</f>
        <v>0</v>
      </c>
      <c r="X451" s="112" cm="1">
        <f t="array" ref="X451">IF(U451="",0,_xlfn.XLOOKUP(E451&amp;U451&amp;F451,tab_act&amp;tab_mod&amp;tab_act1,tab_mc)*V451*T451/MGMT)</f>
        <v>0</v>
      </c>
      <c r="Y451" s="112" cm="1">
        <f t="array" ref="Y451">IF(U451="",0,_xlfn.XLOOKUP(E451&amp;U451&amp;F451,tab_act&amp;tab_mod&amp;tab_act1,tab_sor)*V451*T451/MGMT)</f>
        <v>0</v>
      </c>
      <c r="Z451" s="112" cm="1">
        <f t="array" ref="Z451">IF(U451="",0,_xlfn.XLOOKUP(E451&amp;U451&amp;F451,tab_act&amp;tab_mod&amp;tab_act1,tab_mg)*V451*T451/MGMT)</f>
        <v>0</v>
      </c>
      <c r="AA451" s="113" cm="1">
        <f t="array" ref="AA451">IF(U451="",0,IF(U451="hybrid-Sch",_xlfn.XLOOKUP(E451&amp;U451&amp;F451,tab_act&amp;tab_mod&amp;tab_act1,tab_ls)*SchLS*T451/MGMT,_xlfn.XLOOKUP(E451&amp;U451&amp;F451,tab_act&amp;tab_mod&amp;tab_act1,tab_ls)*V451*T451/MGMT))</f>
        <v>0</v>
      </c>
      <c r="AB451" s="113" cm="1">
        <f t="array" ref="AB451">IF(U451="",0,_xlfn.XLOOKUP(E451&amp;U451&amp;F451,tab_act&amp;tab_mod&amp;tab_act1,tab_hu)*V451*T451/MGMT)</f>
        <v>0</v>
      </c>
      <c r="AC451" s="113" cm="1">
        <f t="array" ref="AC451">IF(U451="",0,_xlfn.XLOOKUP(E451&amp;U451&amp;F451,tab_act&amp;tab_mod&amp;tab_act1,tab_mnp)*V451*T451/MGMT)</f>
        <v>0</v>
      </c>
      <c r="AD451" s="113" cm="1">
        <f t="array" ref="AD451">IF(U451="",0,_xlfn.XLOOKUP(E451&amp;U451&amp;F451,tab_act&amp;tab_mod&amp;tab_act1,tab_Psup)*V451*T451/MGMT)</f>
        <v>0</v>
      </c>
      <c r="AE451" s="113" cm="1">
        <f t="array" ref="AE451">IF(U451="",0,_xlfn.XLOOKUP(E451&amp;U451&amp;F451,tab_act&amp;tab_mod&amp;tab_act1,tab_csb1)*V451*T451/MGMT)</f>
        <v>0</v>
      </c>
      <c r="AF451" s="113" cm="1">
        <f t="array" ref="AF451">IF(U451="",0,_xlfn.XLOOKUP(E451&amp;U451&amp;F451,tab_act&amp;tab_mod&amp;tab_act1,tab_csb2)*V451*T451/MGMT)</f>
        <v>0</v>
      </c>
      <c r="AG451" s="113" cm="1">
        <f t="array" ref="AG451">IF(U451="",0,_xlfn.XLOOKUP(E451&amp;U451&amp;F451,tab_act&amp;tab_mod&amp;tab_act1,tab_pdoz)*V451*T451/MGMT)</f>
        <v>0.48</v>
      </c>
      <c r="AH451" s="113" cm="1">
        <f t="array" ref="AH451">IF(U451="",0,_xlfn.XLOOKUP(E451&amp;U451&amp;F451,tab_act&amp;tab_mod&amp;tab_act1,tab_lns)*V451*T451/MGMT)</f>
        <v>0</v>
      </c>
      <c r="AI451" s="114">
        <f t="shared" si="36"/>
        <v>0.48</v>
      </c>
      <c r="AJ451" s="115" cm="1">
        <f t="array" ref="AJ451">IF(U451="",0,_xlfn.XLOOKUP(E451&amp;U451&amp;F451,tab_act&amp;tab_mod&amp;tab_act1,tab_cash)*T451)</f>
        <v>0</v>
      </c>
      <c r="AK451" s="148" cm="1">
        <f t="array" ref="AK451">IF(B451="",0,IF(C451="",0,AJ451/_xlfn.XLOOKUP(B451&amp;C451,RMth&amp;RYr,RAr)))</f>
        <v>0</v>
      </c>
      <c r="AL451" s="90"/>
      <c r="AM451" s="90"/>
      <c r="AN451" s="141" t="s">
        <v>248</v>
      </c>
    </row>
    <row r="452" spans="2:40" x14ac:dyDescent="0.35">
      <c r="B452" s="50" t="s">
        <v>130</v>
      </c>
      <c r="C452" s="44">
        <v>2023</v>
      </c>
      <c r="D452" s="44" t="s">
        <v>100</v>
      </c>
      <c r="E452" s="15" t="s">
        <v>39</v>
      </c>
      <c r="F452" s="108" t="s">
        <v>22</v>
      </c>
      <c r="G452" s="15" t="s">
        <v>159</v>
      </c>
      <c r="H452" s="44"/>
      <c r="I452" s="15" t="s">
        <v>213</v>
      </c>
      <c r="J452" s="15" t="s">
        <v>91</v>
      </c>
      <c r="K452" s="15" t="s">
        <v>97</v>
      </c>
      <c r="L452" s="15" t="s">
        <v>212</v>
      </c>
      <c r="M452" s="15" t="s">
        <v>158</v>
      </c>
      <c r="N452" s="15" t="s">
        <v>68</v>
      </c>
      <c r="O452" s="15" t="s">
        <v>152</v>
      </c>
      <c r="P452" s="15" t="s">
        <v>219</v>
      </c>
      <c r="Q452" s="135"/>
      <c r="R452" s="42"/>
      <c r="S452" s="42">
        <v>324</v>
      </c>
      <c r="T452" s="43">
        <f t="shared" si="35"/>
        <v>324</v>
      </c>
      <c r="U452" s="15" t="s">
        <v>41</v>
      </c>
      <c r="V452" s="150">
        <v>30</v>
      </c>
      <c r="W452" s="111" cm="1">
        <f t="array" ref="W452">IF(U452="",0,_xlfn.XLOOKUP(E452&amp;U452&amp;F452,tab_act&amp;tab_mod&amp;tab_act1,tab_riz)*V452*T452/MGMT)</f>
        <v>0</v>
      </c>
      <c r="X452" s="112" cm="1">
        <f t="array" ref="X452">IF(U452="",0,_xlfn.XLOOKUP(E452&amp;U452&amp;F452,tab_act&amp;tab_mod&amp;tab_act1,tab_mc)*V452*T452/MGMT)</f>
        <v>0</v>
      </c>
      <c r="Y452" s="112" cm="1">
        <f t="array" ref="Y452">IF(U452="",0,_xlfn.XLOOKUP(E452&amp;U452&amp;F452,tab_act&amp;tab_mod&amp;tab_act1,tab_sor)*V452*T452/MGMT)</f>
        <v>0</v>
      </c>
      <c r="Z452" s="112" cm="1">
        <f t="array" ref="Z452">IF(U452="",0,_xlfn.XLOOKUP(E452&amp;U452&amp;F452,tab_act&amp;tab_mod&amp;tab_act1,tab_mg)*V452*T452/MGMT)</f>
        <v>0</v>
      </c>
      <c r="AA452" s="113" cm="1">
        <f t="array" ref="AA452">IF(U452="",0,IF(U452="hybrid-Sch",_xlfn.XLOOKUP(E452&amp;U452&amp;F452,tab_act&amp;tab_mod&amp;tab_act1,tab_ls)*SchLS*T452/MGMT,_xlfn.XLOOKUP(E452&amp;U452&amp;F452,tab_act&amp;tab_mod&amp;tab_act1,tab_ls)*V452*T452/MGMT))</f>
        <v>0</v>
      </c>
      <c r="AB452" s="113" cm="1">
        <f t="array" ref="AB452">IF(U452="",0,_xlfn.XLOOKUP(E452&amp;U452&amp;F452,tab_act&amp;tab_mod&amp;tab_act1,tab_hu)*V452*T452/MGMT)</f>
        <v>0</v>
      </c>
      <c r="AC452" s="113" cm="1">
        <f t="array" ref="AC452">IF(U452="",0,_xlfn.XLOOKUP(E452&amp;U452&amp;F452,tab_act&amp;tab_mod&amp;tab_act1,tab_mnp)*V452*T452/MGMT)</f>
        <v>0</v>
      </c>
      <c r="AD452" s="113" cm="1">
        <f t="array" ref="AD452">IF(U452="",0,_xlfn.XLOOKUP(E452&amp;U452&amp;F452,tab_act&amp;tab_mod&amp;tab_act1,tab_Psup)*V452*T452/MGMT)</f>
        <v>0</v>
      </c>
      <c r="AE452" s="113" cm="1">
        <f t="array" ref="AE452">IF(U452="",0,_xlfn.XLOOKUP(E452&amp;U452&amp;F452,tab_act&amp;tab_mod&amp;tab_act1,tab_csb1)*V452*T452/MGMT)</f>
        <v>0</v>
      </c>
      <c r="AF452" s="113" cm="1">
        <f t="array" ref="AF452">IF(U452="",0,_xlfn.XLOOKUP(E452&amp;U452&amp;F452,tab_act&amp;tab_mod&amp;tab_act1,tab_csb2)*V452*T452/MGMT)</f>
        <v>0</v>
      </c>
      <c r="AG452" s="113" cm="1">
        <f t="array" ref="AG452">IF(U452="",0,_xlfn.XLOOKUP(E452&amp;U452&amp;F452,tab_act&amp;tab_mod&amp;tab_act1,tab_pdoz)*V452*T452/MGMT)</f>
        <v>0.48599999999999999</v>
      </c>
      <c r="AH452" s="113" cm="1">
        <f t="array" ref="AH452">IF(U452="",0,_xlfn.XLOOKUP(E452&amp;U452&amp;F452,tab_act&amp;tab_mod&amp;tab_act1,tab_lns)*V452*T452/MGMT)</f>
        <v>0</v>
      </c>
      <c r="AI452" s="114">
        <f t="shared" si="36"/>
        <v>0.48599999999999999</v>
      </c>
      <c r="AJ452" s="115" cm="1">
        <f t="array" ref="AJ452">IF(U452="",0,_xlfn.XLOOKUP(E452&amp;U452&amp;F452,tab_act&amp;tab_mod&amp;tab_act1,tab_cash)*T452)</f>
        <v>0</v>
      </c>
      <c r="AK452" s="148" cm="1">
        <f t="array" ref="AK452">IF(B452="",0,IF(C452="",0,AJ452/_xlfn.XLOOKUP(B452&amp;C452,RMth&amp;RYr,RAr)))</f>
        <v>0</v>
      </c>
      <c r="AL452" s="90"/>
      <c r="AM452" s="90"/>
      <c r="AN452" s="141" t="s">
        <v>248</v>
      </c>
    </row>
    <row r="453" spans="2:40" x14ac:dyDescent="0.35">
      <c r="B453" s="50" t="s">
        <v>130</v>
      </c>
      <c r="C453" s="44">
        <v>2023</v>
      </c>
      <c r="D453" s="44" t="s">
        <v>100</v>
      </c>
      <c r="E453" s="15" t="s">
        <v>39</v>
      </c>
      <c r="F453" s="108" t="s">
        <v>22</v>
      </c>
      <c r="G453" s="15" t="s">
        <v>159</v>
      </c>
      <c r="H453" s="44"/>
      <c r="I453" s="15" t="s">
        <v>213</v>
      </c>
      <c r="J453" s="15" t="s">
        <v>91</v>
      </c>
      <c r="K453" s="15" t="s">
        <v>97</v>
      </c>
      <c r="L453" s="15" t="s">
        <v>212</v>
      </c>
      <c r="M453" s="15" t="s">
        <v>158</v>
      </c>
      <c r="N453" s="15" t="s">
        <v>68</v>
      </c>
      <c r="O453" s="15" t="s">
        <v>152</v>
      </c>
      <c r="P453" s="15" t="s">
        <v>220</v>
      </c>
      <c r="Q453" s="135"/>
      <c r="R453" s="42"/>
      <c r="S453" s="42">
        <v>282</v>
      </c>
      <c r="T453" s="43">
        <f t="shared" si="35"/>
        <v>282</v>
      </c>
      <c r="U453" s="15" t="s">
        <v>41</v>
      </c>
      <c r="V453" s="150">
        <v>30</v>
      </c>
      <c r="W453" s="111" cm="1">
        <f t="array" ref="W453">IF(U453="",0,_xlfn.XLOOKUP(E453&amp;U453&amp;F453,tab_act&amp;tab_mod&amp;tab_act1,tab_riz)*V453*T453/MGMT)</f>
        <v>0</v>
      </c>
      <c r="X453" s="112" cm="1">
        <f t="array" ref="X453">IF(U453="",0,_xlfn.XLOOKUP(E453&amp;U453&amp;F453,tab_act&amp;tab_mod&amp;tab_act1,tab_mc)*V453*T453/MGMT)</f>
        <v>0</v>
      </c>
      <c r="Y453" s="112" cm="1">
        <f t="array" ref="Y453">IF(U453="",0,_xlfn.XLOOKUP(E453&amp;U453&amp;F453,tab_act&amp;tab_mod&amp;tab_act1,tab_sor)*V453*T453/MGMT)</f>
        <v>0</v>
      </c>
      <c r="Z453" s="112" cm="1">
        <f t="array" ref="Z453">IF(U453="",0,_xlfn.XLOOKUP(E453&amp;U453&amp;F453,tab_act&amp;tab_mod&amp;tab_act1,tab_mg)*V453*T453/MGMT)</f>
        <v>0</v>
      </c>
      <c r="AA453" s="113" cm="1">
        <f t="array" ref="AA453">IF(U453="",0,IF(U453="hybrid-Sch",_xlfn.XLOOKUP(E453&amp;U453&amp;F453,tab_act&amp;tab_mod&amp;tab_act1,tab_ls)*SchLS*T453/MGMT,_xlfn.XLOOKUP(E453&amp;U453&amp;F453,tab_act&amp;tab_mod&amp;tab_act1,tab_ls)*V453*T453/MGMT))</f>
        <v>0</v>
      </c>
      <c r="AB453" s="113" cm="1">
        <f t="array" ref="AB453">IF(U453="",0,_xlfn.XLOOKUP(E453&amp;U453&amp;F453,tab_act&amp;tab_mod&amp;tab_act1,tab_hu)*V453*T453/MGMT)</f>
        <v>0</v>
      </c>
      <c r="AC453" s="113" cm="1">
        <f t="array" ref="AC453">IF(U453="",0,_xlfn.XLOOKUP(E453&amp;U453&amp;F453,tab_act&amp;tab_mod&amp;tab_act1,tab_mnp)*V453*T453/MGMT)</f>
        <v>0</v>
      </c>
      <c r="AD453" s="113" cm="1">
        <f t="array" ref="AD453">IF(U453="",0,_xlfn.XLOOKUP(E453&amp;U453&amp;F453,tab_act&amp;tab_mod&amp;tab_act1,tab_Psup)*V453*T453/MGMT)</f>
        <v>0</v>
      </c>
      <c r="AE453" s="113" cm="1">
        <f t="array" ref="AE453">IF(U453="",0,_xlfn.XLOOKUP(E453&amp;U453&amp;F453,tab_act&amp;tab_mod&amp;tab_act1,tab_csb1)*V453*T453/MGMT)</f>
        <v>0</v>
      </c>
      <c r="AF453" s="113" cm="1">
        <f t="array" ref="AF453">IF(U453="",0,_xlfn.XLOOKUP(E453&amp;U453&amp;F453,tab_act&amp;tab_mod&amp;tab_act1,tab_csb2)*V453*T453/MGMT)</f>
        <v>0</v>
      </c>
      <c r="AG453" s="113" cm="1">
        <f t="array" ref="AG453">IF(U453="",0,_xlfn.XLOOKUP(E453&amp;U453&amp;F453,tab_act&amp;tab_mod&amp;tab_act1,tab_pdoz)*V453*T453/MGMT)</f>
        <v>0.42299999999999999</v>
      </c>
      <c r="AH453" s="113" cm="1">
        <f t="array" ref="AH453">IF(U453="",0,_xlfn.XLOOKUP(E453&amp;U453&amp;F453,tab_act&amp;tab_mod&amp;tab_act1,tab_lns)*V453*T453/MGMT)</f>
        <v>0</v>
      </c>
      <c r="AI453" s="114">
        <f t="shared" si="36"/>
        <v>0.42299999999999999</v>
      </c>
      <c r="AJ453" s="115" cm="1">
        <f t="array" ref="AJ453">IF(U453="",0,_xlfn.XLOOKUP(E453&amp;U453&amp;F453,tab_act&amp;tab_mod&amp;tab_act1,tab_cash)*T453)</f>
        <v>0</v>
      </c>
      <c r="AK453" s="148" cm="1">
        <f t="array" ref="AK453">IF(B453="",0,IF(C453="",0,AJ453/_xlfn.XLOOKUP(B453&amp;C453,RMth&amp;RYr,RAr)))</f>
        <v>0</v>
      </c>
      <c r="AL453" s="90"/>
      <c r="AM453" s="90"/>
      <c r="AN453" s="141" t="s">
        <v>248</v>
      </c>
    </row>
    <row r="454" spans="2:40" x14ac:dyDescent="0.35">
      <c r="B454" s="50" t="s">
        <v>130</v>
      </c>
      <c r="C454" s="44">
        <v>2023</v>
      </c>
      <c r="D454" s="44" t="s">
        <v>100</v>
      </c>
      <c r="E454" s="15" t="s">
        <v>39</v>
      </c>
      <c r="F454" s="108" t="s">
        <v>22</v>
      </c>
      <c r="G454" s="15" t="s">
        <v>159</v>
      </c>
      <c r="H454" s="44"/>
      <c r="I454" s="15" t="s">
        <v>213</v>
      </c>
      <c r="J454" s="15" t="s">
        <v>91</v>
      </c>
      <c r="K454" s="15" t="s">
        <v>97</v>
      </c>
      <c r="L454" s="15" t="s">
        <v>212</v>
      </c>
      <c r="M454" s="15" t="s">
        <v>158</v>
      </c>
      <c r="N454" s="15" t="s">
        <v>68</v>
      </c>
      <c r="O454" s="15" t="s">
        <v>152</v>
      </c>
      <c r="P454" s="15" t="s">
        <v>221</v>
      </c>
      <c r="Q454" s="135"/>
      <c r="R454" s="42"/>
      <c r="S454" s="42">
        <v>214</v>
      </c>
      <c r="T454" s="43">
        <f t="shared" si="35"/>
        <v>214</v>
      </c>
      <c r="U454" s="15" t="s">
        <v>41</v>
      </c>
      <c r="V454" s="150">
        <v>30</v>
      </c>
      <c r="W454" s="111" cm="1">
        <f t="array" ref="W454">IF(U454="",0,_xlfn.XLOOKUP(E454&amp;U454&amp;F454,tab_act&amp;tab_mod&amp;tab_act1,tab_riz)*V454*T454/MGMT)</f>
        <v>0</v>
      </c>
      <c r="X454" s="112" cm="1">
        <f t="array" ref="X454">IF(U454="",0,_xlfn.XLOOKUP(E454&amp;U454&amp;F454,tab_act&amp;tab_mod&amp;tab_act1,tab_mc)*V454*T454/MGMT)</f>
        <v>0</v>
      </c>
      <c r="Y454" s="112" cm="1">
        <f t="array" ref="Y454">IF(U454="",0,_xlfn.XLOOKUP(E454&amp;U454&amp;F454,tab_act&amp;tab_mod&amp;tab_act1,tab_sor)*V454*T454/MGMT)</f>
        <v>0</v>
      </c>
      <c r="Z454" s="112" cm="1">
        <f t="array" ref="Z454">IF(U454="",0,_xlfn.XLOOKUP(E454&amp;U454&amp;F454,tab_act&amp;tab_mod&amp;tab_act1,tab_mg)*V454*T454/MGMT)</f>
        <v>0</v>
      </c>
      <c r="AA454" s="113" cm="1">
        <f t="array" ref="AA454">IF(U454="",0,IF(U454="hybrid-Sch",_xlfn.XLOOKUP(E454&amp;U454&amp;F454,tab_act&amp;tab_mod&amp;tab_act1,tab_ls)*SchLS*T454/MGMT,_xlfn.XLOOKUP(E454&amp;U454&amp;F454,tab_act&amp;tab_mod&amp;tab_act1,tab_ls)*V454*T454/MGMT))</f>
        <v>0</v>
      </c>
      <c r="AB454" s="113" cm="1">
        <f t="array" ref="AB454">IF(U454="",0,_xlfn.XLOOKUP(E454&amp;U454&amp;F454,tab_act&amp;tab_mod&amp;tab_act1,tab_hu)*V454*T454/MGMT)</f>
        <v>0</v>
      </c>
      <c r="AC454" s="113" cm="1">
        <f t="array" ref="AC454">IF(U454="",0,_xlfn.XLOOKUP(E454&amp;U454&amp;F454,tab_act&amp;tab_mod&amp;tab_act1,tab_mnp)*V454*T454/MGMT)</f>
        <v>0</v>
      </c>
      <c r="AD454" s="113" cm="1">
        <f t="array" ref="AD454">IF(U454="",0,_xlfn.XLOOKUP(E454&amp;U454&amp;F454,tab_act&amp;tab_mod&amp;tab_act1,tab_Psup)*V454*T454/MGMT)</f>
        <v>0</v>
      </c>
      <c r="AE454" s="113" cm="1">
        <f t="array" ref="AE454">IF(U454="",0,_xlfn.XLOOKUP(E454&amp;U454&amp;F454,tab_act&amp;tab_mod&amp;tab_act1,tab_csb1)*V454*T454/MGMT)</f>
        <v>0</v>
      </c>
      <c r="AF454" s="113" cm="1">
        <f t="array" ref="AF454">IF(U454="",0,_xlfn.XLOOKUP(E454&amp;U454&amp;F454,tab_act&amp;tab_mod&amp;tab_act1,tab_csb2)*V454*T454/MGMT)</f>
        <v>0</v>
      </c>
      <c r="AG454" s="113" cm="1">
        <f t="array" ref="AG454">IF(U454="",0,_xlfn.XLOOKUP(E454&amp;U454&amp;F454,tab_act&amp;tab_mod&amp;tab_act1,tab_pdoz)*V454*T454/MGMT)</f>
        <v>0.32100000000000001</v>
      </c>
      <c r="AH454" s="113" cm="1">
        <f t="array" ref="AH454">IF(U454="",0,_xlfn.XLOOKUP(E454&amp;U454&amp;F454,tab_act&amp;tab_mod&amp;tab_act1,tab_lns)*V454*T454/MGMT)</f>
        <v>0</v>
      </c>
      <c r="AI454" s="114">
        <f t="shared" si="36"/>
        <v>0.32100000000000001</v>
      </c>
      <c r="AJ454" s="115" cm="1">
        <f t="array" ref="AJ454">IF(U454="",0,_xlfn.XLOOKUP(E454&amp;U454&amp;F454,tab_act&amp;tab_mod&amp;tab_act1,tab_cash)*T454)</f>
        <v>0</v>
      </c>
      <c r="AK454" s="148" cm="1">
        <f t="array" ref="AK454">IF(B454="",0,IF(C454="",0,AJ454/_xlfn.XLOOKUP(B454&amp;C454,RMth&amp;RYr,RAr)))</f>
        <v>0</v>
      </c>
      <c r="AL454" s="90"/>
      <c r="AM454" s="90"/>
      <c r="AN454" s="141" t="s">
        <v>248</v>
      </c>
    </row>
    <row r="455" spans="2:40" x14ac:dyDescent="0.35">
      <c r="B455" s="50" t="s">
        <v>130</v>
      </c>
      <c r="C455" s="44">
        <v>2023</v>
      </c>
      <c r="D455" s="44" t="s">
        <v>100</v>
      </c>
      <c r="E455" s="15" t="s">
        <v>39</v>
      </c>
      <c r="F455" s="108" t="s">
        <v>22</v>
      </c>
      <c r="G455" s="15" t="s">
        <v>159</v>
      </c>
      <c r="H455" s="44"/>
      <c r="I455" s="15" t="s">
        <v>213</v>
      </c>
      <c r="J455" s="15" t="s">
        <v>91</v>
      </c>
      <c r="K455" s="15" t="s">
        <v>97</v>
      </c>
      <c r="L455" s="15" t="s">
        <v>212</v>
      </c>
      <c r="M455" s="15" t="s">
        <v>158</v>
      </c>
      <c r="N455" s="15" t="s">
        <v>68</v>
      </c>
      <c r="O455" s="15" t="s">
        <v>222</v>
      </c>
      <c r="P455" s="15" t="s">
        <v>223</v>
      </c>
      <c r="Q455" s="135"/>
      <c r="R455" s="42"/>
      <c r="S455" s="42">
        <v>560</v>
      </c>
      <c r="T455" s="43">
        <f t="shared" si="35"/>
        <v>560</v>
      </c>
      <c r="U455" s="15" t="s">
        <v>41</v>
      </c>
      <c r="V455" s="150">
        <v>30</v>
      </c>
      <c r="W455" s="111" cm="1">
        <f t="array" ref="W455">IF(U455="",0,_xlfn.XLOOKUP(E455&amp;U455&amp;F455,tab_act&amp;tab_mod&amp;tab_act1,tab_riz)*V455*T455/MGMT)</f>
        <v>0</v>
      </c>
      <c r="X455" s="112" cm="1">
        <f t="array" ref="X455">IF(U455="",0,_xlfn.XLOOKUP(E455&amp;U455&amp;F455,tab_act&amp;tab_mod&amp;tab_act1,tab_mc)*V455*T455/MGMT)</f>
        <v>0</v>
      </c>
      <c r="Y455" s="112" cm="1">
        <f t="array" ref="Y455">IF(U455="",0,_xlfn.XLOOKUP(E455&amp;U455&amp;F455,tab_act&amp;tab_mod&amp;tab_act1,tab_sor)*V455*T455/MGMT)</f>
        <v>0</v>
      </c>
      <c r="Z455" s="112" cm="1">
        <f t="array" ref="Z455">IF(U455="",0,_xlfn.XLOOKUP(E455&amp;U455&amp;F455,tab_act&amp;tab_mod&amp;tab_act1,tab_mg)*V455*T455/MGMT)</f>
        <v>0</v>
      </c>
      <c r="AA455" s="113" cm="1">
        <f t="array" ref="AA455">IF(U455="",0,IF(U455="hybrid-Sch",_xlfn.XLOOKUP(E455&amp;U455&amp;F455,tab_act&amp;tab_mod&amp;tab_act1,tab_ls)*SchLS*T455/MGMT,_xlfn.XLOOKUP(E455&amp;U455&amp;F455,tab_act&amp;tab_mod&amp;tab_act1,tab_ls)*V455*T455/MGMT))</f>
        <v>0</v>
      </c>
      <c r="AB455" s="113" cm="1">
        <f t="array" ref="AB455">IF(U455="",0,_xlfn.XLOOKUP(E455&amp;U455&amp;F455,tab_act&amp;tab_mod&amp;tab_act1,tab_hu)*V455*T455/MGMT)</f>
        <v>0</v>
      </c>
      <c r="AC455" s="113" cm="1">
        <f t="array" ref="AC455">IF(U455="",0,_xlfn.XLOOKUP(E455&amp;U455&amp;F455,tab_act&amp;tab_mod&amp;tab_act1,tab_mnp)*V455*T455/MGMT)</f>
        <v>0</v>
      </c>
      <c r="AD455" s="113" cm="1">
        <f t="array" ref="AD455">IF(U455="",0,_xlfn.XLOOKUP(E455&amp;U455&amp;F455,tab_act&amp;tab_mod&amp;tab_act1,tab_Psup)*V455*T455/MGMT)</f>
        <v>0</v>
      </c>
      <c r="AE455" s="113" cm="1">
        <f t="array" ref="AE455">IF(U455="",0,_xlfn.XLOOKUP(E455&amp;U455&amp;F455,tab_act&amp;tab_mod&amp;tab_act1,tab_csb1)*V455*T455/MGMT)</f>
        <v>0</v>
      </c>
      <c r="AF455" s="113" cm="1">
        <f t="array" ref="AF455">IF(U455="",0,_xlfn.XLOOKUP(E455&amp;U455&amp;F455,tab_act&amp;tab_mod&amp;tab_act1,tab_csb2)*V455*T455/MGMT)</f>
        <v>0</v>
      </c>
      <c r="AG455" s="113" cm="1">
        <f t="array" ref="AG455">IF(U455="",0,_xlfn.XLOOKUP(E455&amp;U455&amp;F455,tab_act&amp;tab_mod&amp;tab_act1,tab_pdoz)*V455*T455/MGMT)</f>
        <v>0.84</v>
      </c>
      <c r="AH455" s="113" cm="1">
        <f t="array" ref="AH455">IF(U455="",0,_xlfn.XLOOKUP(E455&amp;U455&amp;F455,tab_act&amp;tab_mod&amp;tab_act1,tab_lns)*V455*T455/MGMT)</f>
        <v>0</v>
      </c>
      <c r="AI455" s="114">
        <f t="shared" si="36"/>
        <v>0.84</v>
      </c>
      <c r="AJ455" s="115" cm="1">
        <f t="array" ref="AJ455">IF(U455="",0,_xlfn.XLOOKUP(E455&amp;U455&amp;F455,tab_act&amp;tab_mod&amp;tab_act1,tab_cash)*T455)</f>
        <v>0</v>
      </c>
      <c r="AK455" s="148" cm="1">
        <f t="array" ref="AK455">IF(B455="",0,IF(C455="",0,AJ455/_xlfn.XLOOKUP(B455&amp;C455,RMth&amp;RYr,RAr)))</f>
        <v>0</v>
      </c>
      <c r="AL455" s="90"/>
      <c r="AM455" s="90"/>
      <c r="AN455" s="141" t="s">
        <v>248</v>
      </c>
    </row>
    <row r="456" spans="2:40" x14ac:dyDescent="0.35">
      <c r="B456" s="50" t="s">
        <v>130</v>
      </c>
      <c r="C456" s="44">
        <v>2023</v>
      </c>
      <c r="D456" s="44" t="s">
        <v>100</v>
      </c>
      <c r="E456" s="15" t="s">
        <v>39</v>
      </c>
      <c r="F456" s="108" t="s">
        <v>22</v>
      </c>
      <c r="G456" s="15" t="s">
        <v>159</v>
      </c>
      <c r="H456" s="44"/>
      <c r="I456" s="15" t="s">
        <v>213</v>
      </c>
      <c r="J456" s="15" t="s">
        <v>91</v>
      </c>
      <c r="K456" s="15" t="s">
        <v>97</v>
      </c>
      <c r="L456" s="15" t="s">
        <v>212</v>
      </c>
      <c r="M456" s="15" t="s">
        <v>158</v>
      </c>
      <c r="N456" s="15" t="s">
        <v>68</v>
      </c>
      <c r="O456" s="15" t="s">
        <v>222</v>
      </c>
      <c r="P456" s="15" t="s">
        <v>224</v>
      </c>
      <c r="Q456" s="135"/>
      <c r="R456" s="42"/>
      <c r="S456" s="42">
        <v>486</v>
      </c>
      <c r="T456" s="43">
        <f t="shared" si="35"/>
        <v>486</v>
      </c>
      <c r="U456" s="15" t="s">
        <v>41</v>
      </c>
      <c r="V456" s="150">
        <v>30</v>
      </c>
      <c r="W456" s="111" cm="1">
        <f t="array" ref="W456">IF(U456="",0,_xlfn.XLOOKUP(E456&amp;U456&amp;F456,tab_act&amp;tab_mod&amp;tab_act1,tab_riz)*V456*T456/MGMT)</f>
        <v>0</v>
      </c>
      <c r="X456" s="112" cm="1">
        <f t="array" ref="X456">IF(U456="",0,_xlfn.XLOOKUP(E456&amp;U456&amp;F456,tab_act&amp;tab_mod&amp;tab_act1,tab_mc)*V456*T456/MGMT)</f>
        <v>0</v>
      </c>
      <c r="Y456" s="112" cm="1">
        <f t="array" ref="Y456">IF(U456="",0,_xlfn.XLOOKUP(E456&amp;U456&amp;F456,tab_act&amp;tab_mod&amp;tab_act1,tab_sor)*V456*T456/MGMT)</f>
        <v>0</v>
      </c>
      <c r="Z456" s="112" cm="1">
        <f t="array" ref="Z456">IF(U456="",0,_xlfn.XLOOKUP(E456&amp;U456&amp;F456,tab_act&amp;tab_mod&amp;tab_act1,tab_mg)*V456*T456/MGMT)</f>
        <v>0</v>
      </c>
      <c r="AA456" s="113" cm="1">
        <f t="array" ref="AA456">IF(U456="",0,IF(U456="hybrid-Sch",_xlfn.XLOOKUP(E456&amp;U456&amp;F456,tab_act&amp;tab_mod&amp;tab_act1,tab_ls)*SchLS*T456/MGMT,_xlfn.XLOOKUP(E456&amp;U456&amp;F456,tab_act&amp;tab_mod&amp;tab_act1,tab_ls)*V456*T456/MGMT))</f>
        <v>0</v>
      </c>
      <c r="AB456" s="113" cm="1">
        <f t="array" ref="AB456">IF(U456="",0,_xlfn.XLOOKUP(E456&amp;U456&amp;F456,tab_act&amp;tab_mod&amp;tab_act1,tab_hu)*V456*T456/MGMT)</f>
        <v>0</v>
      </c>
      <c r="AC456" s="113" cm="1">
        <f t="array" ref="AC456">IF(U456="",0,_xlfn.XLOOKUP(E456&amp;U456&amp;F456,tab_act&amp;tab_mod&amp;tab_act1,tab_mnp)*V456*T456/MGMT)</f>
        <v>0</v>
      </c>
      <c r="AD456" s="113" cm="1">
        <f t="array" ref="AD456">IF(U456="",0,_xlfn.XLOOKUP(E456&amp;U456&amp;F456,tab_act&amp;tab_mod&amp;tab_act1,tab_Psup)*V456*T456/MGMT)</f>
        <v>0</v>
      </c>
      <c r="AE456" s="113" cm="1">
        <f t="array" ref="AE456">IF(U456="",0,_xlfn.XLOOKUP(E456&amp;U456&amp;F456,tab_act&amp;tab_mod&amp;tab_act1,tab_csb1)*V456*T456/MGMT)</f>
        <v>0</v>
      </c>
      <c r="AF456" s="113" cm="1">
        <f t="array" ref="AF456">IF(U456="",0,_xlfn.XLOOKUP(E456&amp;U456&amp;F456,tab_act&amp;tab_mod&amp;tab_act1,tab_csb2)*V456*T456/MGMT)</f>
        <v>0</v>
      </c>
      <c r="AG456" s="113" cm="1">
        <f t="array" ref="AG456">IF(U456="",0,_xlfn.XLOOKUP(E456&amp;U456&amp;F456,tab_act&amp;tab_mod&amp;tab_act1,tab_pdoz)*V456*T456/MGMT)</f>
        <v>0.72899999999999998</v>
      </c>
      <c r="AH456" s="113" cm="1">
        <f t="array" ref="AH456">IF(U456="",0,_xlfn.XLOOKUP(E456&amp;U456&amp;F456,tab_act&amp;tab_mod&amp;tab_act1,tab_lns)*V456*T456/MGMT)</f>
        <v>0</v>
      </c>
      <c r="AI456" s="114">
        <f t="shared" si="36"/>
        <v>0.72899999999999998</v>
      </c>
      <c r="AJ456" s="115" cm="1">
        <f t="array" ref="AJ456">IF(U456="",0,_xlfn.XLOOKUP(E456&amp;U456&amp;F456,tab_act&amp;tab_mod&amp;tab_act1,tab_cash)*T456)</f>
        <v>0</v>
      </c>
      <c r="AK456" s="148" cm="1">
        <f t="array" ref="AK456">IF(B456="",0,IF(C456="",0,AJ456/_xlfn.XLOOKUP(B456&amp;C456,RMth&amp;RYr,RAr)))</f>
        <v>0</v>
      </c>
      <c r="AL456" s="90"/>
      <c r="AM456" s="90"/>
      <c r="AN456" s="141" t="s">
        <v>248</v>
      </c>
    </row>
    <row r="457" spans="2:40" x14ac:dyDescent="0.35">
      <c r="B457" s="50" t="s">
        <v>130</v>
      </c>
      <c r="C457" s="44">
        <v>2023</v>
      </c>
      <c r="D457" s="44" t="s">
        <v>100</v>
      </c>
      <c r="E457" s="15" t="s">
        <v>39</v>
      </c>
      <c r="F457" s="108" t="s">
        <v>22</v>
      </c>
      <c r="G457" s="15" t="s">
        <v>159</v>
      </c>
      <c r="H457" s="44"/>
      <c r="I457" s="15" t="s">
        <v>213</v>
      </c>
      <c r="J457" s="15" t="s">
        <v>91</v>
      </c>
      <c r="K457" s="15" t="s">
        <v>97</v>
      </c>
      <c r="L457" s="15" t="s">
        <v>212</v>
      </c>
      <c r="M457" s="15" t="s">
        <v>158</v>
      </c>
      <c r="N457" s="15" t="s">
        <v>68</v>
      </c>
      <c r="O457" s="15" t="s">
        <v>222</v>
      </c>
      <c r="P457" s="15" t="s">
        <v>225</v>
      </c>
      <c r="Q457" s="135"/>
      <c r="R457" s="42"/>
      <c r="S457" s="42">
        <v>430</v>
      </c>
      <c r="T457" s="43">
        <f t="shared" si="35"/>
        <v>430</v>
      </c>
      <c r="U457" s="15" t="s">
        <v>41</v>
      </c>
      <c r="V457" s="150">
        <v>30</v>
      </c>
      <c r="W457" s="111" cm="1">
        <f t="array" ref="W457">IF(U457="",0,_xlfn.XLOOKUP(E457&amp;U457&amp;F457,tab_act&amp;tab_mod&amp;tab_act1,tab_riz)*V457*T457/MGMT)</f>
        <v>0</v>
      </c>
      <c r="X457" s="112" cm="1">
        <f t="array" ref="X457">IF(U457="",0,_xlfn.XLOOKUP(E457&amp;U457&amp;F457,tab_act&amp;tab_mod&amp;tab_act1,tab_mc)*V457*T457/MGMT)</f>
        <v>0</v>
      </c>
      <c r="Y457" s="112" cm="1">
        <f t="array" ref="Y457">IF(U457="",0,_xlfn.XLOOKUP(E457&amp;U457&amp;F457,tab_act&amp;tab_mod&amp;tab_act1,tab_sor)*V457*T457/MGMT)</f>
        <v>0</v>
      </c>
      <c r="Z457" s="112" cm="1">
        <f t="array" ref="Z457">IF(U457="",0,_xlfn.XLOOKUP(E457&amp;U457&amp;F457,tab_act&amp;tab_mod&amp;tab_act1,tab_mg)*V457*T457/MGMT)</f>
        <v>0</v>
      </c>
      <c r="AA457" s="113" cm="1">
        <f t="array" ref="AA457">IF(U457="",0,IF(U457="hybrid-Sch",_xlfn.XLOOKUP(E457&amp;U457&amp;F457,tab_act&amp;tab_mod&amp;tab_act1,tab_ls)*SchLS*T457/MGMT,_xlfn.XLOOKUP(E457&amp;U457&amp;F457,tab_act&amp;tab_mod&amp;tab_act1,tab_ls)*V457*T457/MGMT))</f>
        <v>0</v>
      </c>
      <c r="AB457" s="113" cm="1">
        <f t="array" ref="AB457">IF(U457="",0,_xlfn.XLOOKUP(E457&amp;U457&amp;F457,tab_act&amp;tab_mod&amp;tab_act1,tab_hu)*V457*T457/MGMT)</f>
        <v>0</v>
      </c>
      <c r="AC457" s="113" cm="1">
        <f t="array" ref="AC457">IF(U457="",0,_xlfn.XLOOKUP(E457&amp;U457&amp;F457,tab_act&amp;tab_mod&amp;tab_act1,tab_mnp)*V457*T457/MGMT)</f>
        <v>0</v>
      </c>
      <c r="AD457" s="113" cm="1">
        <f t="array" ref="AD457">IF(U457="",0,_xlfn.XLOOKUP(E457&amp;U457&amp;F457,tab_act&amp;tab_mod&amp;tab_act1,tab_Psup)*V457*T457/MGMT)</f>
        <v>0</v>
      </c>
      <c r="AE457" s="113" cm="1">
        <f t="array" ref="AE457">IF(U457="",0,_xlfn.XLOOKUP(E457&amp;U457&amp;F457,tab_act&amp;tab_mod&amp;tab_act1,tab_csb1)*V457*T457/MGMT)</f>
        <v>0</v>
      </c>
      <c r="AF457" s="113" cm="1">
        <f t="array" ref="AF457">IF(U457="",0,_xlfn.XLOOKUP(E457&amp;U457&amp;F457,tab_act&amp;tab_mod&amp;tab_act1,tab_csb2)*V457*T457/MGMT)</f>
        <v>0</v>
      </c>
      <c r="AG457" s="113" cm="1">
        <f t="array" ref="AG457">IF(U457="",0,_xlfn.XLOOKUP(E457&amp;U457&amp;F457,tab_act&amp;tab_mod&amp;tab_act1,tab_pdoz)*V457*T457/MGMT)</f>
        <v>0.64500000000000002</v>
      </c>
      <c r="AH457" s="113" cm="1">
        <f t="array" ref="AH457">IF(U457="",0,_xlfn.XLOOKUP(E457&amp;U457&amp;F457,tab_act&amp;tab_mod&amp;tab_act1,tab_lns)*V457*T457/MGMT)</f>
        <v>0</v>
      </c>
      <c r="AI457" s="114">
        <f t="shared" si="36"/>
        <v>0.64500000000000002</v>
      </c>
      <c r="AJ457" s="115" cm="1">
        <f t="array" ref="AJ457">IF(U457="",0,_xlfn.XLOOKUP(E457&amp;U457&amp;F457,tab_act&amp;tab_mod&amp;tab_act1,tab_cash)*T457)</f>
        <v>0</v>
      </c>
      <c r="AK457" s="148" cm="1">
        <f t="array" ref="AK457">IF(B457="",0,IF(C457="",0,AJ457/_xlfn.XLOOKUP(B457&amp;C457,RMth&amp;RYr,RAr)))</f>
        <v>0</v>
      </c>
      <c r="AL457" s="90"/>
      <c r="AM457" s="90"/>
      <c r="AN457" s="141" t="s">
        <v>248</v>
      </c>
    </row>
    <row r="458" spans="2:40" x14ac:dyDescent="0.35">
      <c r="B458" s="50" t="s">
        <v>130</v>
      </c>
      <c r="C458" s="44">
        <v>2023</v>
      </c>
      <c r="D458" s="44" t="s">
        <v>100</v>
      </c>
      <c r="E458" s="15" t="s">
        <v>39</v>
      </c>
      <c r="F458" s="108" t="s">
        <v>22</v>
      </c>
      <c r="G458" s="15" t="s">
        <v>159</v>
      </c>
      <c r="H458" s="44"/>
      <c r="I458" s="15" t="s">
        <v>213</v>
      </c>
      <c r="J458" s="15" t="s">
        <v>91</v>
      </c>
      <c r="K458" s="15" t="s">
        <v>97</v>
      </c>
      <c r="L458" s="15" t="s">
        <v>212</v>
      </c>
      <c r="M458" s="15" t="s">
        <v>158</v>
      </c>
      <c r="N458" s="15" t="s">
        <v>68</v>
      </c>
      <c r="O458" s="15" t="s">
        <v>222</v>
      </c>
      <c r="P458" s="15" t="s">
        <v>226</v>
      </c>
      <c r="Q458" s="135"/>
      <c r="R458" s="42"/>
      <c r="S458" s="42">
        <v>366</v>
      </c>
      <c r="T458" s="43">
        <f t="shared" si="35"/>
        <v>366</v>
      </c>
      <c r="U458" s="15" t="s">
        <v>41</v>
      </c>
      <c r="V458" s="150">
        <v>30</v>
      </c>
      <c r="W458" s="111" cm="1">
        <f t="array" ref="W458">IF(U458="",0,_xlfn.XLOOKUP(E458&amp;U458&amp;F458,tab_act&amp;tab_mod&amp;tab_act1,tab_riz)*V458*T458/MGMT)</f>
        <v>0</v>
      </c>
      <c r="X458" s="112" cm="1">
        <f t="array" ref="X458">IF(U458="",0,_xlfn.XLOOKUP(E458&amp;U458&amp;F458,tab_act&amp;tab_mod&amp;tab_act1,tab_mc)*V458*T458/MGMT)</f>
        <v>0</v>
      </c>
      <c r="Y458" s="112" cm="1">
        <f t="array" ref="Y458">IF(U458="",0,_xlfn.XLOOKUP(E458&amp;U458&amp;F458,tab_act&amp;tab_mod&amp;tab_act1,tab_sor)*V458*T458/MGMT)</f>
        <v>0</v>
      </c>
      <c r="Z458" s="112" cm="1">
        <f t="array" ref="Z458">IF(U458="",0,_xlfn.XLOOKUP(E458&amp;U458&amp;F458,tab_act&amp;tab_mod&amp;tab_act1,tab_mg)*V458*T458/MGMT)</f>
        <v>0</v>
      </c>
      <c r="AA458" s="113" cm="1">
        <f t="array" ref="AA458">IF(U458="",0,IF(U458="hybrid-Sch",_xlfn.XLOOKUP(E458&amp;U458&amp;F458,tab_act&amp;tab_mod&amp;tab_act1,tab_ls)*SchLS*T458/MGMT,_xlfn.XLOOKUP(E458&amp;U458&amp;F458,tab_act&amp;tab_mod&amp;tab_act1,tab_ls)*V458*T458/MGMT))</f>
        <v>0</v>
      </c>
      <c r="AB458" s="113" cm="1">
        <f t="array" ref="AB458">IF(U458="",0,_xlfn.XLOOKUP(E458&amp;U458&amp;F458,tab_act&amp;tab_mod&amp;tab_act1,tab_hu)*V458*T458/MGMT)</f>
        <v>0</v>
      </c>
      <c r="AC458" s="113" cm="1">
        <f t="array" ref="AC458">IF(U458="",0,_xlfn.XLOOKUP(E458&amp;U458&amp;F458,tab_act&amp;tab_mod&amp;tab_act1,tab_mnp)*V458*T458/MGMT)</f>
        <v>0</v>
      </c>
      <c r="AD458" s="113" cm="1">
        <f t="array" ref="AD458">IF(U458="",0,_xlfn.XLOOKUP(E458&amp;U458&amp;F458,tab_act&amp;tab_mod&amp;tab_act1,tab_Psup)*V458*T458/MGMT)</f>
        <v>0</v>
      </c>
      <c r="AE458" s="113" cm="1">
        <f t="array" ref="AE458">IF(U458="",0,_xlfn.XLOOKUP(E458&amp;U458&amp;F458,tab_act&amp;tab_mod&amp;tab_act1,tab_csb1)*V458*T458/MGMT)</f>
        <v>0</v>
      </c>
      <c r="AF458" s="113" cm="1">
        <f t="array" ref="AF458">IF(U458="",0,_xlfn.XLOOKUP(E458&amp;U458&amp;F458,tab_act&amp;tab_mod&amp;tab_act1,tab_csb2)*V458*T458/MGMT)</f>
        <v>0</v>
      </c>
      <c r="AG458" s="113" cm="1">
        <f t="array" ref="AG458">IF(U458="",0,_xlfn.XLOOKUP(E458&amp;U458&amp;F458,tab_act&amp;tab_mod&amp;tab_act1,tab_pdoz)*V458*T458/MGMT)</f>
        <v>0.54900000000000004</v>
      </c>
      <c r="AH458" s="113" cm="1">
        <f t="array" ref="AH458">IF(U458="",0,_xlfn.XLOOKUP(E458&amp;U458&amp;F458,tab_act&amp;tab_mod&amp;tab_act1,tab_lns)*V458*T458/MGMT)</f>
        <v>0</v>
      </c>
      <c r="AI458" s="114">
        <f t="shared" si="36"/>
        <v>0.54900000000000004</v>
      </c>
      <c r="AJ458" s="115" cm="1">
        <f t="array" ref="AJ458">IF(U458="",0,_xlfn.XLOOKUP(E458&amp;U458&amp;F458,tab_act&amp;tab_mod&amp;tab_act1,tab_cash)*T458)</f>
        <v>0</v>
      </c>
      <c r="AK458" s="148" cm="1">
        <f t="array" ref="AK458">IF(B458="",0,IF(C458="",0,AJ458/_xlfn.XLOOKUP(B458&amp;C458,RMth&amp;RYr,RAr)))</f>
        <v>0</v>
      </c>
      <c r="AL458" s="90"/>
      <c r="AM458" s="90"/>
      <c r="AN458" s="141" t="s">
        <v>248</v>
      </c>
    </row>
    <row r="459" spans="2:40" x14ac:dyDescent="0.35">
      <c r="B459" s="50" t="s">
        <v>130</v>
      </c>
      <c r="C459" s="44">
        <v>2023</v>
      </c>
      <c r="D459" s="44" t="s">
        <v>100</v>
      </c>
      <c r="E459" s="15" t="s">
        <v>39</v>
      </c>
      <c r="F459" s="108" t="s">
        <v>22</v>
      </c>
      <c r="G459" s="15" t="s">
        <v>159</v>
      </c>
      <c r="H459" s="44"/>
      <c r="I459" s="15" t="s">
        <v>213</v>
      </c>
      <c r="J459" s="15" t="s">
        <v>91</v>
      </c>
      <c r="K459" s="15" t="s">
        <v>97</v>
      </c>
      <c r="L459" s="15" t="s">
        <v>212</v>
      </c>
      <c r="M459" s="15" t="s">
        <v>158</v>
      </c>
      <c r="N459" s="15" t="s">
        <v>68</v>
      </c>
      <c r="O459" s="15" t="s">
        <v>102</v>
      </c>
      <c r="P459" s="15" t="s">
        <v>227</v>
      </c>
      <c r="Q459" s="135"/>
      <c r="R459" s="42"/>
      <c r="S459" s="42">
        <v>444</v>
      </c>
      <c r="T459" s="43">
        <f t="shared" si="35"/>
        <v>444</v>
      </c>
      <c r="U459" s="15" t="s">
        <v>41</v>
      </c>
      <c r="V459" s="150">
        <v>30</v>
      </c>
      <c r="W459" s="111" cm="1">
        <f t="array" ref="W459">IF(U459="",0,_xlfn.XLOOKUP(E459&amp;U459&amp;F459,tab_act&amp;tab_mod&amp;tab_act1,tab_riz)*V459*T459/MGMT)</f>
        <v>0</v>
      </c>
      <c r="X459" s="112" cm="1">
        <f t="array" ref="X459">IF(U459="",0,_xlfn.XLOOKUP(E459&amp;U459&amp;F459,tab_act&amp;tab_mod&amp;tab_act1,tab_mc)*V459*T459/MGMT)</f>
        <v>0</v>
      </c>
      <c r="Y459" s="112" cm="1">
        <f t="array" ref="Y459">IF(U459="",0,_xlfn.XLOOKUP(E459&amp;U459&amp;F459,tab_act&amp;tab_mod&amp;tab_act1,tab_sor)*V459*T459/MGMT)</f>
        <v>0</v>
      </c>
      <c r="Z459" s="112" cm="1">
        <f t="array" ref="Z459">IF(U459="",0,_xlfn.XLOOKUP(E459&amp;U459&amp;F459,tab_act&amp;tab_mod&amp;tab_act1,tab_mg)*V459*T459/MGMT)</f>
        <v>0</v>
      </c>
      <c r="AA459" s="113" cm="1">
        <f t="array" ref="AA459">IF(U459="",0,IF(U459="hybrid-Sch",_xlfn.XLOOKUP(E459&amp;U459&amp;F459,tab_act&amp;tab_mod&amp;tab_act1,tab_ls)*SchLS*T459/MGMT,_xlfn.XLOOKUP(E459&amp;U459&amp;F459,tab_act&amp;tab_mod&amp;tab_act1,tab_ls)*V459*T459/MGMT))</f>
        <v>0</v>
      </c>
      <c r="AB459" s="113" cm="1">
        <f t="array" ref="AB459">IF(U459="",0,_xlfn.XLOOKUP(E459&amp;U459&amp;F459,tab_act&amp;tab_mod&amp;tab_act1,tab_hu)*V459*T459/MGMT)</f>
        <v>0</v>
      </c>
      <c r="AC459" s="113" cm="1">
        <f t="array" ref="AC459">IF(U459="",0,_xlfn.XLOOKUP(E459&amp;U459&amp;F459,tab_act&amp;tab_mod&amp;tab_act1,tab_mnp)*V459*T459/MGMT)</f>
        <v>0</v>
      </c>
      <c r="AD459" s="113" cm="1">
        <f t="array" ref="AD459">IF(U459="",0,_xlfn.XLOOKUP(E459&amp;U459&amp;F459,tab_act&amp;tab_mod&amp;tab_act1,tab_Psup)*V459*T459/MGMT)</f>
        <v>0</v>
      </c>
      <c r="AE459" s="113" cm="1">
        <f t="array" ref="AE459">IF(U459="",0,_xlfn.XLOOKUP(E459&amp;U459&amp;F459,tab_act&amp;tab_mod&amp;tab_act1,tab_csb1)*V459*T459/MGMT)</f>
        <v>0</v>
      </c>
      <c r="AF459" s="113" cm="1">
        <f t="array" ref="AF459">IF(U459="",0,_xlfn.XLOOKUP(E459&amp;U459&amp;F459,tab_act&amp;tab_mod&amp;tab_act1,tab_csb2)*V459*T459/MGMT)</f>
        <v>0</v>
      </c>
      <c r="AG459" s="113" cm="1">
        <f t="array" ref="AG459">IF(U459="",0,_xlfn.XLOOKUP(E459&amp;U459&amp;F459,tab_act&amp;tab_mod&amp;tab_act1,tab_pdoz)*V459*T459/MGMT)</f>
        <v>0.66600000000000004</v>
      </c>
      <c r="AH459" s="113" cm="1">
        <f t="array" ref="AH459">IF(U459="",0,_xlfn.XLOOKUP(E459&amp;U459&amp;F459,tab_act&amp;tab_mod&amp;tab_act1,tab_lns)*V459*T459/MGMT)</f>
        <v>0</v>
      </c>
      <c r="AI459" s="114">
        <f t="shared" si="36"/>
        <v>0.66600000000000004</v>
      </c>
      <c r="AJ459" s="115" cm="1">
        <f t="array" ref="AJ459">IF(U459="",0,_xlfn.XLOOKUP(E459&amp;U459&amp;F459,tab_act&amp;tab_mod&amp;tab_act1,tab_cash)*T459)</f>
        <v>0</v>
      </c>
      <c r="AK459" s="148" cm="1">
        <f t="array" ref="AK459">IF(B459="",0,IF(C459="",0,AJ459/_xlfn.XLOOKUP(B459&amp;C459,RMth&amp;RYr,RAr)))</f>
        <v>0</v>
      </c>
      <c r="AL459" s="90"/>
      <c r="AM459" s="90"/>
      <c r="AN459" s="141" t="s">
        <v>248</v>
      </c>
    </row>
    <row r="460" spans="2:40" x14ac:dyDescent="0.35">
      <c r="B460" s="50" t="s">
        <v>130</v>
      </c>
      <c r="C460" s="44">
        <v>2023</v>
      </c>
      <c r="D460" s="44" t="s">
        <v>100</v>
      </c>
      <c r="E460" s="15" t="s">
        <v>39</v>
      </c>
      <c r="F460" s="108" t="s">
        <v>22</v>
      </c>
      <c r="G460" s="15" t="s">
        <v>159</v>
      </c>
      <c r="H460" s="44"/>
      <c r="I460" s="15" t="s">
        <v>213</v>
      </c>
      <c r="J460" s="15" t="s">
        <v>91</v>
      </c>
      <c r="K460" s="15" t="s">
        <v>97</v>
      </c>
      <c r="L460" s="15" t="s">
        <v>212</v>
      </c>
      <c r="M460" s="15" t="s">
        <v>158</v>
      </c>
      <c r="N460" s="15" t="s">
        <v>68</v>
      </c>
      <c r="O460" s="15" t="s">
        <v>102</v>
      </c>
      <c r="P460" s="15" t="s">
        <v>228</v>
      </c>
      <c r="Q460" s="135"/>
      <c r="R460" s="42"/>
      <c r="S460" s="42">
        <v>384</v>
      </c>
      <c r="T460" s="43">
        <f t="shared" si="35"/>
        <v>384</v>
      </c>
      <c r="U460" s="15" t="s">
        <v>41</v>
      </c>
      <c r="V460" s="150">
        <v>30</v>
      </c>
      <c r="W460" s="111" cm="1">
        <f t="array" ref="W460">IF(U460="",0,_xlfn.XLOOKUP(E460&amp;U460&amp;F460,tab_act&amp;tab_mod&amp;tab_act1,tab_riz)*V460*T460/MGMT)</f>
        <v>0</v>
      </c>
      <c r="X460" s="112" cm="1">
        <f t="array" ref="X460">IF(U460="",0,_xlfn.XLOOKUP(E460&amp;U460&amp;F460,tab_act&amp;tab_mod&amp;tab_act1,tab_mc)*V460*T460/MGMT)</f>
        <v>0</v>
      </c>
      <c r="Y460" s="112" cm="1">
        <f t="array" ref="Y460">IF(U460="",0,_xlfn.XLOOKUP(E460&amp;U460&amp;F460,tab_act&amp;tab_mod&amp;tab_act1,tab_sor)*V460*T460/MGMT)</f>
        <v>0</v>
      </c>
      <c r="Z460" s="112" cm="1">
        <f t="array" ref="Z460">IF(U460="",0,_xlfn.XLOOKUP(E460&amp;U460&amp;F460,tab_act&amp;tab_mod&amp;tab_act1,tab_mg)*V460*T460/MGMT)</f>
        <v>0</v>
      </c>
      <c r="AA460" s="113" cm="1">
        <f t="array" ref="AA460">IF(U460="",0,IF(U460="hybrid-Sch",_xlfn.XLOOKUP(E460&amp;U460&amp;F460,tab_act&amp;tab_mod&amp;tab_act1,tab_ls)*SchLS*T460/MGMT,_xlfn.XLOOKUP(E460&amp;U460&amp;F460,tab_act&amp;tab_mod&amp;tab_act1,tab_ls)*V460*T460/MGMT))</f>
        <v>0</v>
      </c>
      <c r="AB460" s="113" cm="1">
        <f t="array" ref="AB460">IF(U460="",0,_xlfn.XLOOKUP(E460&amp;U460&amp;F460,tab_act&amp;tab_mod&amp;tab_act1,tab_hu)*V460*T460/MGMT)</f>
        <v>0</v>
      </c>
      <c r="AC460" s="113" cm="1">
        <f t="array" ref="AC460">IF(U460="",0,_xlfn.XLOOKUP(E460&amp;U460&amp;F460,tab_act&amp;tab_mod&amp;tab_act1,tab_mnp)*V460*T460/MGMT)</f>
        <v>0</v>
      </c>
      <c r="AD460" s="113" cm="1">
        <f t="array" ref="AD460">IF(U460="",0,_xlfn.XLOOKUP(E460&amp;U460&amp;F460,tab_act&amp;tab_mod&amp;tab_act1,tab_Psup)*V460*T460/MGMT)</f>
        <v>0</v>
      </c>
      <c r="AE460" s="113" cm="1">
        <f t="array" ref="AE460">IF(U460="",0,_xlfn.XLOOKUP(E460&amp;U460&amp;F460,tab_act&amp;tab_mod&amp;tab_act1,tab_csb1)*V460*T460/MGMT)</f>
        <v>0</v>
      </c>
      <c r="AF460" s="113" cm="1">
        <f t="array" ref="AF460">IF(U460="",0,_xlfn.XLOOKUP(E460&amp;U460&amp;F460,tab_act&amp;tab_mod&amp;tab_act1,tab_csb2)*V460*T460/MGMT)</f>
        <v>0</v>
      </c>
      <c r="AG460" s="113" cm="1">
        <f t="array" ref="AG460">IF(U460="",0,_xlfn.XLOOKUP(E460&amp;U460&amp;F460,tab_act&amp;tab_mod&amp;tab_act1,tab_pdoz)*V460*T460/MGMT)</f>
        <v>0.57599999999999996</v>
      </c>
      <c r="AH460" s="113" cm="1">
        <f t="array" ref="AH460">IF(U460="",0,_xlfn.XLOOKUP(E460&amp;U460&amp;F460,tab_act&amp;tab_mod&amp;tab_act1,tab_lns)*V460*T460/MGMT)</f>
        <v>0</v>
      </c>
      <c r="AI460" s="114">
        <f t="shared" si="36"/>
        <v>0.57599999999999996</v>
      </c>
      <c r="AJ460" s="115" cm="1">
        <f t="array" ref="AJ460">IF(U460="",0,_xlfn.XLOOKUP(E460&amp;U460&amp;F460,tab_act&amp;tab_mod&amp;tab_act1,tab_cash)*T460)</f>
        <v>0</v>
      </c>
      <c r="AK460" s="148" cm="1">
        <f t="array" ref="AK460">IF(B460="",0,IF(C460="",0,AJ460/_xlfn.XLOOKUP(B460&amp;C460,RMth&amp;RYr,RAr)))</f>
        <v>0</v>
      </c>
      <c r="AL460" s="90"/>
      <c r="AM460" s="90"/>
      <c r="AN460" s="141" t="s">
        <v>248</v>
      </c>
    </row>
    <row r="461" spans="2:40" x14ac:dyDescent="0.35">
      <c r="B461" s="50" t="s">
        <v>130</v>
      </c>
      <c r="C461" s="44">
        <v>2023</v>
      </c>
      <c r="D461" s="44" t="s">
        <v>100</v>
      </c>
      <c r="E461" s="15" t="s">
        <v>39</v>
      </c>
      <c r="F461" s="108" t="s">
        <v>22</v>
      </c>
      <c r="G461" s="15" t="s">
        <v>159</v>
      </c>
      <c r="H461" s="44"/>
      <c r="I461" s="15" t="s">
        <v>213</v>
      </c>
      <c r="J461" s="15" t="s">
        <v>91</v>
      </c>
      <c r="K461" s="15" t="s">
        <v>97</v>
      </c>
      <c r="L461" s="15" t="s">
        <v>212</v>
      </c>
      <c r="M461" s="15" t="s">
        <v>158</v>
      </c>
      <c r="N461" s="15" t="s">
        <v>68</v>
      </c>
      <c r="O461" s="15" t="s">
        <v>102</v>
      </c>
      <c r="P461" s="15" t="s">
        <v>229</v>
      </c>
      <c r="Q461" s="135"/>
      <c r="R461" s="42"/>
      <c r="S461" s="42">
        <v>102</v>
      </c>
      <c r="T461" s="43">
        <f t="shared" si="35"/>
        <v>102</v>
      </c>
      <c r="U461" s="15" t="s">
        <v>41</v>
      </c>
      <c r="V461" s="150">
        <v>30</v>
      </c>
      <c r="W461" s="111" cm="1">
        <f t="array" ref="W461">IF(U461="",0,_xlfn.XLOOKUP(E461&amp;U461&amp;F461,tab_act&amp;tab_mod&amp;tab_act1,tab_riz)*V461*T461/MGMT)</f>
        <v>0</v>
      </c>
      <c r="X461" s="112" cm="1">
        <f t="array" ref="X461">IF(U461="",0,_xlfn.XLOOKUP(E461&amp;U461&amp;F461,tab_act&amp;tab_mod&amp;tab_act1,tab_mc)*V461*T461/MGMT)</f>
        <v>0</v>
      </c>
      <c r="Y461" s="112" cm="1">
        <f t="array" ref="Y461">IF(U461="",0,_xlfn.XLOOKUP(E461&amp;U461&amp;F461,tab_act&amp;tab_mod&amp;tab_act1,tab_sor)*V461*T461/MGMT)</f>
        <v>0</v>
      </c>
      <c r="Z461" s="112" cm="1">
        <f t="array" ref="Z461">IF(U461="",0,_xlfn.XLOOKUP(E461&amp;U461&amp;F461,tab_act&amp;tab_mod&amp;tab_act1,tab_mg)*V461*T461/MGMT)</f>
        <v>0</v>
      </c>
      <c r="AA461" s="113" cm="1">
        <f t="array" ref="AA461">IF(U461="",0,IF(U461="hybrid-Sch",_xlfn.XLOOKUP(E461&amp;U461&amp;F461,tab_act&amp;tab_mod&amp;tab_act1,tab_ls)*SchLS*T461/MGMT,_xlfn.XLOOKUP(E461&amp;U461&amp;F461,tab_act&amp;tab_mod&amp;tab_act1,tab_ls)*V461*T461/MGMT))</f>
        <v>0</v>
      </c>
      <c r="AB461" s="113" cm="1">
        <f t="array" ref="AB461">IF(U461="",0,_xlfn.XLOOKUP(E461&amp;U461&amp;F461,tab_act&amp;tab_mod&amp;tab_act1,tab_hu)*V461*T461/MGMT)</f>
        <v>0</v>
      </c>
      <c r="AC461" s="113" cm="1">
        <f t="array" ref="AC461">IF(U461="",0,_xlfn.XLOOKUP(E461&amp;U461&amp;F461,tab_act&amp;tab_mod&amp;tab_act1,tab_mnp)*V461*T461/MGMT)</f>
        <v>0</v>
      </c>
      <c r="AD461" s="113" cm="1">
        <f t="array" ref="AD461">IF(U461="",0,_xlfn.XLOOKUP(E461&amp;U461&amp;F461,tab_act&amp;tab_mod&amp;tab_act1,tab_Psup)*V461*T461/MGMT)</f>
        <v>0</v>
      </c>
      <c r="AE461" s="113" cm="1">
        <f t="array" ref="AE461">IF(U461="",0,_xlfn.XLOOKUP(E461&amp;U461&amp;F461,tab_act&amp;tab_mod&amp;tab_act1,tab_csb1)*V461*T461/MGMT)</f>
        <v>0</v>
      </c>
      <c r="AF461" s="113" cm="1">
        <f t="array" ref="AF461">IF(U461="",0,_xlfn.XLOOKUP(E461&amp;U461&amp;F461,tab_act&amp;tab_mod&amp;tab_act1,tab_csb2)*V461*T461/MGMT)</f>
        <v>0</v>
      </c>
      <c r="AG461" s="113" cm="1">
        <f t="array" ref="AG461">IF(U461="",0,_xlfn.XLOOKUP(E461&amp;U461&amp;F461,tab_act&amp;tab_mod&amp;tab_act1,tab_pdoz)*V461*T461/MGMT)</f>
        <v>0.153</v>
      </c>
      <c r="AH461" s="113" cm="1">
        <f t="array" ref="AH461">IF(U461="",0,_xlfn.XLOOKUP(E461&amp;U461&amp;F461,tab_act&amp;tab_mod&amp;tab_act1,tab_lns)*V461*T461/MGMT)</f>
        <v>0</v>
      </c>
      <c r="AI461" s="114">
        <f t="shared" si="36"/>
        <v>0.153</v>
      </c>
      <c r="AJ461" s="115" cm="1">
        <f t="array" ref="AJ461">IF(U461="",0,_xlfn.XLOOKUP(E461&amp;U461&amp;F461,tab_act&amp;tab_mod&amp;tab_act1,tab_cash)*T461)</f>
        <v>0</v>
      </c>
      <c r="AK461" s="148" cm="1">
        <f t="array" ref="AK461">IF(B461="",0,IF(C461="",0,AJ461/_xlfn.XLOOKUP(B461&amp;C461,RMth&amp;RYr,RAr)))</f>
        <v>0</v>
      </c>
      <c r="AL461" s="90"/>
      <c r="AM461" s="90"/>
      <c r="AN461" s="141" t="s">
        <v>248</v>
      </c>
    </row>
    <row r="462" spans="2:40" x14ac:dyDescent="0.35">
      <c r="B462" s="50" t="s">
        <v>130</v>
      </c>
      <c r="C462" s="44">
        <v>2023</v>
      </c>
      <c r="D462" s="44" t="s">
        <v>100</v>
      </c>
      <c r="E462" s="15" t="s">
        <v>39</v>
      </c>
      <c r="F462" s="108" t="s">
        <v>22</v>
      </c>
      <c r="G462" s="15" t="s">
        <v>159</v>
      </c>
      <c r="H462" s="44"/>
      <c r="I462" s="15" t="s">
        <v>213</v>
      </c>
      <c r="J462" s="15" t="s">
        <v>91</v>
      </c>
      <c r="K462" s="15" t="s">
        <v>97</v>
      </c>
      <c r="L462" s="15" t="s">
        <v>212</v>
      </c>
      <c r="M462" s="15" t="s">
        <v>158</v>
      </c>
      <c r="N462" s="15" t="s">
        <v>68</v>
      </c>
      <c r="O462" s="15" t="s">
        <v>102</v>
      </c>
      <c r="P462" s="15" t="s">
        <v>230</v>
      </c>
      <c r="Q462" s="135"/>
      <c r="R462" s="42"/>
      <c r="S462" s="42">
        <v>170</v>
      </c>
      <c r="T462" s="43">
        <f t="shared" si="35"/>
        <v>170</v>
      </c>
      <c r="U462" s="15" t="s">
        <v>41</v>
      </c>
      <c r="V462" s="150">
        <v>30</v>
      </c>
      <c r="W462" s="111" cm="1">
        <f t="array" ref="W462">IF(U462="",0,_xlfn.XLOOKUP(E462&amp;U462&amp;F462,tab_act&amp;tab_mod&amp;tab_act1,tab_riz)*V462*T462/MGMT)</f>
        <v>0</v>
      </c>
      <c r="X462" s="112" cm="1">
        <f t="array" ref="X462">IF(U462="",0,_xlfn.XLOOKUP(E462&amp;U462&amp;F462,tab_act&amp;tab_mod&amp;tab_act1,tab_mc)*V462*T462/MGMT)</f>
        <v>0</v>
      </c>
      <c r="Y462" s="112" cm="1">
        <f t="array" ref="Y462">IF(U462="",0,_xlfn.XLOOKUP(E462&amp;U462&amp;F462,tab_act&amp;tab_mod&amp;tab_act1,tab_sor)*V462*T462/MGMT)</f>
        <v>0</v>
      </c>
      <c r="Z462" s="112" cm="1">
        <f t="array" ref="Z462">IF(U462="",0,_xlfn.XLOOKUP(E462&amp;U462&amp;F462,tab_act&amp;tab_mod&amp;tab_act1,tab_mg)*V462*T462/MGMT)</f>
        <v>0</v>
      </c>
      <c r="AA462" s="113" cm="1">
        <f t="array" ref="AA462">IF(U462="",0,IF(U462="hybrid-Sch",_xlfn.XLOOKUP(E462&amp;U462&amp;F462,tab_act&amp;tab_mod&amp;tab_act1,tab_ls)*SchLS*T462/MGMT,_xlfn.XLOOKUP(E462&amp;U462&amp;F462,tab_act&amp;tab_mod&amp;tab_act1,tab_ls)*V462*T462/MGMT))</f>
        <v>0</v>
      </c>
      <c r="AB462" s="113" cm="1">
        <f t="array" ref="AB462">IF(U462="",0,_xlfn.XLOOKUP(E462&amp;U462&amp;F462,tab_act&amp;tab_mod&amp;tab_act1,tab_hu)*V462*T462/MGMT)</f>
        <v>0</v>
      </c>
      <c r="AC462" s="113" cm="1">
        <f t="array" ref="AC462">IF(U462="",0,_xlfn.XLOOKUP(E462&amp;U462&amp;F462,tab_act&amp;tab_mod&amp;tab_act1,tab_mnp)*V462*T462/MGMT)</f>
        <v>0</v>
      </c>
      <c r="AD462" s="113" cm="1">
        <f t="array" ref="AD462">IF(U462="",0,_xlfn.XLOOKUP(E462&amp;U462&amp;F462,tab_act&amp;tab_mod&amp;tab_act1,tab_Psup)*V462*T462/MGMT)</f>
        <v>0</v>
      </c>
      <c r="AE462" s="113" cm="1">
        <f t="array" ref="AE462">IF(U462="",0,_xlfn.XLOOKUP(E462&amp;U462&amp;F462,tab_act&amp;tab_mod&amp;tab_act1,tab_csb1)*V462*T462/MGMT)</f>
        <v>0</v>
      </c>
      <c r="AF462" s="113" cm="1">
        <f t="array" ref="AF462">IF(U462="",0,_xlfn.XLOOKUP(E462&amp;U462&amp;F462,tab_act&amp;tab_mod&amp;tab_act1,tab_csb2)*V462*T462/MGMT)</f>
        <v>0</v>
      </c>
      <c r="AG462" s="113" cm="1">
        <f t="array" ref="AG462">IF(U462="",0,_xlfn.XLOOKUP(E462&amp;U462&amp;F462,tab_act&amp;tab_mod&amp;tab_act1,tab_pdoz)*V462*T462/MGMT)</f>
        <v>0.255</v>
      </c>
      <c r="AH462" s="113" cm="1">
        <f t="array" ref="AH462">IF(U462="",0,_xlfn.XLOOKUP(E462&amp;U462&amp;F462,tab_act&amp;tab_mod&amp;tab_act1,tab_lns)*V462*T462/MGMT)</f>
        <v>0</v>
      </c>
      <c r="AI462" s="114">
        <f t="shared" si="36"/>
        <v>0.255</v>
      </c>
      <c r="AJ462" s="115" cm="1">
        <f t="array" ref="AJ462">IF(U462="",0,_xlfn.XLOOKUP(E462&amp;U462&amp;F462,tab_act&amp;tab_mod&amp;tab_act1,tab_cash)*T462)</f>
        <v>0</v>
      </c>
      <c r="AK462" s="148" cm="1">
        <f t="array" ref="AK462">IF(B462="",0,IF(C462="",0,AJ462/_xlfn.XLOOKUP(B462&amp;C462,RMth&amp;RYr,RAr)))</f>
        <v>0</v>
      </c>
      <c r="AL462" s="90"/>
      <c r="AM462" s="90"/>
      <c r="AN462" s="141" t="s">
        <v>248</v>
      </c>
    </row>
    <row r="463" spans="2:40" x14ac:dyDescent="0.35">
      <c r="B463" s="50" t="s">
        <v>130</v>
      </c>
      <c r="C463" s="44">
        <v>2023</v>
      </c>
      <c r="D463" s="44" t="s">
        <v>100</v>
      </c>
      <c r="E463" s="15" t="s">
        <v>39</v>
      </c>
      <c r="F463" s="108" t="s">
        <v>22</v>
      </c>
      <c r="G463" s="15" t="s">
        <v>159</v>
      </c>
      <c r="H463" s="44"/>
      <c r="I463" s="15" t="s">
        <v>213</v>
      </c>
      <c r="J463" s="15" t="s">
        <v>91</v>
      </c>
      <c r="K463" s="15" t="s">
        <v>97</v>
      </c>
      <c r="L463" s="15" t="s">
        <v>212</v>
      </c>
      <c r="M463" s="15" t="s">
        <v>158</v>
      </c>
      <c r="N463" s="15" t="s">
        <v>68</v>
      </c>
      <c r="O463" s="15" t="s">
        <v>102</v>
      </c>
      <c r="P463" s="15" t="s">
        <v>231</v>
      </c>
      <c r="Q463" s="135"/>
      <c r="R463" s="42"/>
      <c r="S463" s="42">
        <v>698</v>
      </c>
      <c r="T463" s="43">
        <f t="shared" si="35"/>
        <v>698</v>
      </c>
      <c r="U463" s="15" t="s">
        <v>41</v>
      </c>
      <c r="V463" s="150">
        <v>30</v>
      </c>
      <c r="W463" s="111" cm="1">
        <f t="array" ref="W463">IF(U463="",0,_xlfn.XLOOKUP(E463&amp;U463&amp;F463,tab_act&amp;tab_mod&amp;tab_act1,tab_riz)*V463*T463/MGMT)</f>
        <v>0</v>
      </c>
      <c r="X463" s="112" cm="1">
        <f t="array" ref="X463">IF(U463="",0,_xlfn.XLOOKUP(E463&amp;U463&amp;F463,tab_act&amp;tab_mod&amp;tab_act1,tab_mc)*V463*T463/MGMT)</f>
        <v>0</v>
      </c>
      <c r="Y463" s="112" cm="1">
        <f t="array" ref="Y463">IF(U463="",0,_xlfn.XLOOKUP(E463&amp;U463&amp;F463,tab_act&amp;tab_mod&amp;tab_act1,tab_sor)*V463*T463/MGMT)</f>
        <v>0</v>
      </c>
      <c r="Z463" s="112" cm="1">
        <f t="array" ref="Z463">IF(U463="",0,_xlfn.XLOOKUP(E463&amp;U463&amp;F463,tab_act&amp;tab_mod&amp;tab_act1,tab_mg)*V463*T463/MGMT)</f>
        <v>0</v>
      </c>
      <c r="AA463" s="113" cm="1">
        <f t="array" ref="AA463">IF(U463="",0,IF(U463="hybrid-Sch",_xlfn.XLOOKUP(E463&amp;U463&amp;F463,tab_act&amp;tab_mod&amp;tab_act1,tab_ls)*SchLS*T463/MGMT,_xlfn.XLOOKUP(E463&amp;U463&amp;F463,tab_act&amp;tab_mod&amp;tab_act1,tab_ls)*V463*T463/MGMT))</f>
        <v>0</v>
      </c>
      <c r="AB463" s="113" cm="1">
        <f t="array" ref="AB463">IF(U463="",0,_xlfn.XLOOKUP(E463&amp;U463&amp;F463,tab_act&amp;tab_mod&amp;tab_act1,tab_hu)*V463*T463/MGMT)</f>
        <v>0</v>
      </c>
      <c r="AC463" s="113" cm="1">
        <f t="array" ref="AC463">IF(U463="",0,_xlfn.XLOOKUP(E463&amp;U463&amp;F463,tab_act&amp;tab_mod&amp;tab_act1,tab_mnp)*V463*T463/MGMT)</f>
        <v>0</v>
      </c>
      <c r="AD463" s="113" cm="1">
        <f t="array" ref="AD463">IF(U463="",0,_xlfn.XLOOKUP(E463&amp;U463&amp;F463,tab_act&amp;tab_mod&amp;tab_act1,tab_Psup)*V463*T463/MGMT)</f>
        <v>0</v>
      </c>
      <c r="AE463" s="113" cm="1">
        <f t="array" ref="AE463">IF(U463="",0,_xlfn.XLOOKUP(E463&amp;U463&amp;F463,tab_act&amp;tab_mod&amp;tab_act1,tab_csb1)*V463*T463/MGMT)</f>
        <v>0</v>
      </c>
      <c r="AF463" s="113" cm="1">
        <f t="array" ref="AF463">IF(U463="",0,_xlfn.XLOOKUP(E463&amp;U463&amp;F463,tab_act&amp;tab_mod&amp;tab_act1,tab_csb2)*V463*T463/MGMT)</f>
        <v>0</v>
      </c>
      <c r="AG463" s="113" cm="1">
        <f t="array" ref="AG463">IF(U463="",0,_xlfn.XLOOKUP(E463&amp;U463&amp;F463,tab_act&amp;tab_mod&amp;tab_act1,tab_pdoz)*V463*T463/MGMT)</f>
        <v>1.0469999999999999</v>
      </c>
      <c r="AH463" s="113" cm="1">
        <f t="array" ref="AH463">IF(U463="",0,_xlfn.XLOOKUP(E463&amp;U463&amp;F463,tab_act&amp;tab_mod&amp;tab_act1,tab_lns)*V463*T463/MGMT)</f>
        <v>0</v>
      </c>
      <c r="AI463" s="114">
        <f t="shared" si="36"/>
        <v>1.0469999999999999</v>
      </c>
      <c r="AJ463" s="115" cm="1">
        <f t="array" ref="AJ463">IF(U463="",0,_xlfn.XLOOKUP(E463&amp;U463&amp;F463,tab_act&amp;tab_mod&amp;tab_act1,tab_cash)*T463)</f>
        <v>0</v>
      </c>
      <c r="AK463" s="148" cm="1">
        <f t="array" ref="AK463">IF(B463="",0,IF(C463="",0,AJ463/_xlfn.XLOOKUP(B463&amp;C463,RMth&amp;RYr,RAr)))</f>
        <v>0</v>
      </c>
      <c r="AL463" s="90"/>
      <c r="AM463" s="90"/>
      <c r="AN463" s="141" t="s">
        <v>248</v>
      </c>
    </row>
    <row r="464" spans="2:40" x14ac:dyDescent="0.35">
      <c r="B464" s="50" t="s">
        <v>130</v>
      </c>
      <c r="C464" s="44">
        <v>2023</v>
      </c>
      <c r="D464" s="44" t="s">
        <v>100</v>
      </c>
      <c r="E464" s="15" t="s">
        <v>39</v>
      </c>
      <c r="F464" s="108" t="s">
        <v>22</v>
      </c>
      <c r="G464" s="15" t="s">
        <v>159</v>
      </c>
      <c r="H464" s="44"/>
      <c r="I464" s="15" t="s">
        <v>213</v>
      </c>
      <c r="J464" s="15" t="s">
        <v>91</v>
      </c>
      <c r="K464" s="15" t="s">
        <v>97</v>
      </c>
      <c r="L464" s="15" t="s">
        <v>212</v>
      </c>
      <c r="M464" s="15" t="s">
        <v>158</v>
      </c>
      <c r="N464" s="15" t="s">
        <v>68</v>
      </c>
      <c r="O464" s="15" t="s">
        <v>102</v>
      </c>
      <c r="P464" s="15" t="s">
        <v>232</v>
      </c>
      <c r="Q464" s="135"/>
      <c r="R464" s="42"/>
      <c r="S464" s="42">
        <v>434</v>
      </c>
      <c r="T464" s="43">
        <f t="shared" si="35"/>
        <v>434</v>
      </c>
      <c r="U464" s="15" t="s">
        <v>41</v>
      </c>
      <c r="V464" s="150">
        <v>30</v>
      </c>
      <c r="W464" s="111" cm="1">
        <f t="array" ref="W464">IF(U464="",0,_xlfn.XLOOKUP(E464&amp;U464&amp;F464,tab_act&amp;tab_mod&amp;tab_act1,tab_riz)*V464*T464/MGMT)</f>
        <v>0</v>
      </c>
      <c r="X464" s="112" cm="1">
        <f t="array" ref="X464">IF(U464="",0,_xlfn.XLOOKUP(E464&amp;U464&amp;F464,tab_act&amp;tab_mod&amp;tab_act1,tab_mc)*V464*T464/MGMT)</f>
        <v>0</v>
      </c>
      <c r="Y464" s="112" cm="1">
        <f t="array" ref="Y464">IF(U464="",0,_xlfn.XLOOKUP(E464&amp;U464&amp;F464,tab_act&amp;tab_mod&amp;tab_act1,tab_sor)*V464*T464/MGMT)</f>
        <v>0</v>
      </c>
      <c r="Z464" s="112" cm="1">
        <f t="array" ref="Z464">IF(U464="",0,_xlfn.XLOOKUP(E464&amp;U464&amp;F464,tab_act&amp;tab_mod&amp;tab_act1,tab_mg)*V464*T464/MGMT)</f>
        <v>0</v>
      </c>
      <c r="AA464" s="113" cm="1">
        <f t="array" ref="AA464">IF(U464="",0,IF(U464="hybrid-Sch",_xlfn.XLOOKUP(E464&amp;U464&amp;F464,tab_act&amp;tab_mod&amp;tab_act1,tab_ls)*SchLS*T464/MGMT,_xlfn.XLOOKUP(E464&amp;U464&amp;F464,tab_act&amp;tab_mod&amp;tab_act1,tab_ls)*V464*T464/MGMT))</f>
        <v>0</v>
      </c>
      <c r="AB464" s="113" cm="1">
        <f t="array" ref="AB464">IF(U464="",0,_xlfn.XLOOKUP(E464&amp;U464&amp;F464,tab_act&amp;tab_mod&amp;tab_act1,tab_hu)*V464*T464/MGMT)</f>
        <v>0</v>
      </c>
      <c r="AC464" s="113" cm="1">
        <f t="array" ref="AC464">IF(U464="",0,_xlfn.XLOOKUP(E464&amp;U464&amp;F464,tab_act&amp;tab_mod&amp;tab_act1,tab_mnp)*V464*T464/MGMT)</f>
        <v>0</v>
      </c>
      <c r="AD464" s="113" cm="1">
        <f t="array" ref="AD464">IF(U464="",0,_xlfn.XLOOKUP(E464&amp;U464&amp;F464,tab_act&amp;tab_mod&amp;tab_act1,tab_Psup)*V464*T464/MGMT)</f>
        <v>0</v>
      </c>
      <c r="AE464" s="113" cm="1">
        <f t="array" ref="AE464">IF(U464="",0,_xlfn.XLOOKUP(E464&amp;U464&amp;F464,tab_act&amp;tab_mod&amp;tab_act1,tab_csb1)*V464*T464/MGMT)</f>
        <v>0</v>
      </c>
      <c r="AF464" s="113" cm="1">
        <f t="array" ref="AF464">IF(U464="",0,_xlfn.XLOOKUP(E464&amp;U464&amp;F464,tab_act&amp;tab_mod&amp;tab_act1,tab_csb2)*V464*T464/MGMT)</f>
        <v>0</v>
      </c>
      <c r="AG464" s="113" cm="1">
        <f t="array" ref="AG464">IF(U464="",0,_xlfn.XLOOKUP(E464&amp;U464&amp;F464,tab_act&amp;tab_mod&amp;tab_act1,tab_pdoz)*V464*T464/MGMT)</f>
        <v>0.65100000000000002</v>
      </c>
      <c r="AH464" s="113" cm="1">
        <f t="array" ref="AH464">IF(U464="",0,_xlfn.XLOOKUP(E464&amp;U464&amp;F464,tab_act&amp;tab_mod&amp;tab_act1,tab_lns)*V464*T464/MGMT)</f>
        <v>0</v>
      </c>
      <c r="AI464" s="114">
        <f t="shared" si="36"/>
        <v>0.65100000000000002</v>
      </c>
      <c r="AJ464" s="115" cm="1">
        <f t="array" ref="AJ464">IF(U464="",0,_xlfn.XLOOKUP(E464&amp;U464&amp;F464,tab_act&amp;tab_mod&amp;tab_act1,tab_cash)*T464)</f>
        <v>0</v>
      </c>
      <c r="AK464" s="148" cm="1">
        <f t="array" ref="AK464">IF(B464="",0,IF(C464="",0,AJ464/_xlfn.XLOOKUP(B464&amp;C464,RMth&amp;RYr,RAr)))</f>
        <v>0</v>
      </c>
      <c r="AL464" s="90"/>
      <c r="AM464" s="90"/>
      <c r="AN464" s="141" t="s">
        <v>248</v>
      </c>
    </row>
    <row r="465" spans="2:40" x14ac:dyDescent="0.35">
      <c r="B465" s="50" t="s">
        <v>130</v>
      </c>
      <c r="C465" s="44">
        <v>2023</v>
      </c>
      <c r="D465" s="44" t="s">
        <v>100</v>
      </c>
      <c r="E465" s="15" t="s">
        <v>39</v>
      </c>
      <c r="F465" s="108" t="s">
        <v>22</v>
      </c>
      <c r="G465" s="15" t="s">
        <v>159</v>
      </c>
      <c r="H465" s="44"/>
      <c r="I465" s="15" t="s">
        <v>213</v>
      </c>
      <c r="J465" s="15" t="s">
        <v>91</v>
      </c>
      <c r="K465" s="15" t="s">
        <v>97</v>
      </c>
      <c r="L465" s="15" t="s">
        <v>212</v>
      </c>
      <c r="M465" s="15" t="s">
        <v>158</v>
      </c>
      <c r="N465" s="15" t="s">
        <v>68</v>
      </c>
      <c r="O465" s="15" t="s">
        <v>104</v>
      </c>
      <c r="P465" s="15" t="s">
        <v>233</v>
      </c>
      <c r="Q465" s="135"/>
      <c r="R465" s="42"/>
      <c r="S465" s="42">
        <v>509</v>
      </c>
      <c r="T465" s="43">
        <f t="shared" si="35"/>
        <v>509</v>
      </c>
      <c r="U465" s="15" t="s">
        <v>41</v>
      </c>
      <c r="V465" s="150">
        <v>30</v>
      </c>
      <c r="W465" s="111" cm="1">
        <f t="array" ref="W465">IF(U465="",0,_xlfn.XLOOKUP(E465&amp;U465&amp;F465,tab_act&amp;tab_mod&amp;tab_act1,tab_riz)*V465*T465/MGMT)</f>
        <v>0</v>
      </c>
      <c r="X465" s="112" cm="1">
        <f t="array" ref="X465">IF(U465="",0,_xlfn.XLOOKUP(E465&amp;U465&amp;F465,tab_act&amp;tab_mod&amp;tab_act1,tab_mc)*V465*T465/MGMT)</f>
        <v>0</v>
      </c>
      <c r="Y465" s="112" cm="1">
        <f t="array" ref="Y465">IF(U465="",0,_xlfn.XLOOKUP(E465&amp;U465&amp;F465,tab_act&amp;tab_mod&amp;tab_act1,tab_sor)*V465*T465/MGMT)</f>
        <v>0</v>
      </c>
      <c r="Z465" s="112" cm="1">
        <f t="array" ref="Z465">IF(U465="",0,_xlfn.XLOOKUP(E465&amp;U465&amp;F465,tab_act&amp;tab_mod&amp;tab_act1,tab_mg)*V465*T465/MGMT)</f>
        <v>0</v>
      </c>
      <c r="AA465" s="113" cm="1">
        <f t="array" ref="AA465">IF(U465="",0,IF(U465="hybrid-Sch",_xlfn.XLOOKUP(E465&amp;U465&amp;F465,tab_act&amp;tab_mod&amp;tab_act1,tab_ls)*SchLS*T465/MGMT,_xlfn.XLOOKUP(E465&amp;U465&amp;F465,tab_act&amp;tab_mod&amp;tab_act1,tab_ls)*V465*T465/MGMT))</f>
        <v>0</v>
      </c>
      <c r="AB465" s="113" cm="1">
        <f t="array" ref="AB465">IF(U465="",0,_xlfn.XLOOKUP(E465&amp;U465&amp;F465,tab_act&amp;tab_mod&amp;tab_act1,tab_hu)*V465*T465/MGMT)</f>
        <v>0</v>
      </c>
      <c r="AC465" s="113" cm="1">
        <f t="array" ref="AC465">IF(U465="",0,_xlfn.XLOOKUP(E465&amp;U465&amp;F465,tab_act&amp;tab_mod&amp;tab_act1,tab_mnp)*V465*T465/MGMT)</f>
        <v>0</v>
      </c>
      <c r="AD465" s="113" cm="1">
        <f t="array" ref="AD465">IF(U465="",0,_xlfn.XLOOKUP(E465&amp;U465&amp;F465,tab_act&amp;tab_mod&amp;tab_act1,tab_Psup)*V465*T465/MGMT)</f>
        <v>0</v>
      </c>
      <c r="AE465" s="113" cm="1">
        <f t="array" ref="AE465">IF(U465="",0,_xlfn.XLOOKUP(E465&amp;U465&amp;F465,tab_act&amp;tab_mod&amp;tab_act1,tab_csb1)*V465*T465/MGMT)</f>
        <v>0</v>
      </c>
      <c r="AF465" s="113" cm="1">
        <f t="array" ref="AF465">IF(U465="",0,_xlfn.XLOOKUP(E465&amp;U465&amp;F465,tab_act&amp;tab_mod&amp;tab_act1,tab_csb2)*V465*T465/MGMT)</f>
        <v>0</v>
      </c>
      <c r="AG465" s="113" cm="1">
        <f t="array" ref="AG465">IF(U465="",0,_xlfn.XLOOKUP(E465&amp;U465&amp;F465,tab_act&amp;tab_mod&amp;tab_act1,tab_pdoz)*V465*T465/MGMT)</f>
        <v>0.76349999999999996</v>
      </c>
      <c r="AH465" s="113" cm="1">
        <f t="array" ref="AH465">IF(U465="",0,_xlfn.XLOOKUP(E465&amp;U465&amp;F465,tab_act&amp;tab_mod&amp;tab_act1,tab_lns)*V465*T465/MGMT)</f>
        <v>0</v>
      </c>
      <c r="AI465" s="114">
        <f t="shared" si="36"/>
        <v>0.76349999999999996</v>
      </c>
      <c r="AJ465" s="115" cm="1">
        <f t="array" ref="AJ465">IF(U465="",0,_xlfn.XLOOKUP(E465&amp;U465&amp;F465,tab_act&amp;tab_mod&amp;tab_act1,tab_cash)*T465)</f>
        <v>0</v>
      </c>
      <c r="AK465" s="148" cm="1">
        <f t="array" ref="AK465">IF(B465="",0,IF(C465="",0,AJ465/_xlfn.XLOOKUP(B465&amp;C465,RMth&amp;RYr,RAr)))</f>
        <v>0</v>
      </c>
      <c r="AL465" s="90"/>
      <c r="AM465" s="90"/>
      <c r="AN465" s="141" t="s">
        <v>248</v>
      </c>
    </row>
    <row r="466" spans="2:40" x14ac:dyDescent="0.35">
      <c r="B466" s="50" t="s">
        <v>130</v>
      </c>
      <c r="C466" s="44">
        <v>2023</v>
      </c>
      <c r="D466" s="44" t="s">
        <v>100</v>
      </c>
      <c r="E466" s="15" t="s">
        <v>39</v>
      </c>
      <c r="F466" s="108" t="s">
        <v>22</v>
      </c>
      <c r="G466" s="15" t="s">
        <v>159</v>
      </c>
      <c r="H466" s="44"/>
      <c r="I466" s="15" t="s">
        <v>213</v>
      </c>
      <c r="J466" s="15" t="s">
        <v>91</v>
      </c>
      <c r="K466" s="15" t="s">
        <v>97</v>
      </c>
      <c r="L466" s="15" t="s">
        <v>212</v>
      </c>
      <c r="M466" s="15" t="s">
        <v>158</v>
      </c>
      <c r="N466" s="15" t="s">
        <v>68</v>
      </c>
      <c r="O466" s="15" t="s">
        <v>104</v>
      </c>
      <c r="P466" s="15" t="s">
        <v>234</v>
      </c>
      <c r="Q466" s="135"/>
      <c r="R466" s="42"/>
      <c r="S466" s="42">
        <v>188</v>
      </c>
      <c r="T466" s="43">
        <f t="shared" si="35"/>
        <v>188</v>
      </c>
      <c r="U466" s="15" t="s">
        <v>41</v>
      </c>
      <c r="V466" s="150">
        <v>30</v>
      </c>
      <c r="W466" s="111" cm="1">
        <f t="array" ref="W466">IF(U466="",0,_xlfn.XLOOKUP(E466&amp;U466&amp;F466,tab_act&amp;tab_mod&amp;tab_act1,tab_riz)*V466*T466/MGMT)</f>
        <v>0</v>
      </c>
      <c r="X466" s="112" cm="1">
        <f t="array" ref="X466">IF(U466="",0,_xlfn.XLOOKUP(E466&amp;U466&amp;F466,tab_act&amp;tab_mod&amp;tab_act1,tab_mc)*V466*T466/MGMT)</f>
        <v>0</v>
      </c>
      <c r="Y466" s="112" cm="1">
        <f t="array" ref="Y466">IF(U466="",0,_xlfn.XLOOKUP(E466&amp;U466&amp;F466,tab_act&amp;tab_mod&amp;tab_act1,tab_sor)*V466*T466/MGMT)</f>
        <v>0</v>
      </c>
      <c r="Z466" s="112" cm="1">
        <f t="array" ref="Z466">IF(U466="",0,_xlfn.XLOOKUP(E466&amp;U466&amp;F466,tab_act&amp;tab_mod&amp;tab_act1,tab_mg)*V466*T466/MGMT)</f>
        <v>0</v>
      </c>
      <c r="AA466" s="113" cm="1">
        <f t="array" ref="AA466">IF(U466="",0,IF(U466="hybrid-Sch",_xlfn.XLOOKUP(E466&amp;U466&amp;F466,tab_act&amp;tab_mod&amp;tab_act1,tab_ls)*SchLS*T466/MGMT,_xlfn.XLOOKUP(E466&amp;U466&amp;F466,tab_act&amp;tab_mod&amp;tab_act1,tab_ls)*V466*T466/MGMT))</f>
        <v>0</v>
      </c>
      <c r="AB466" s="113" cm="1">
        <f t="array" ref="AB466">IF(U466="",0,_xlfn.XLOOKUP(E466&amp;U466&amp;F466,tab_act&amp;tab_mod&amp;tab_act1,tab_hu)*V466*T466/MGMT)</f>
        <v>0</v>
      </c>
      <c r="AC466" s="113" cm="1">
        <f t="array" ref="AC466">IF(U466="",0,_xlfn.XLOOKUP(E466&amp;U466&amp;F466,tab_act&amp;tab_mod&amp;tab_act1,tab_mnp)*V466*T466/MGMT)</f>
        <v>0</v>
      </c>
      <c r="AD466" s="113" cm="1">
        <f t="array" ref="AD466">IF(U466="",0,_xlfn.XLOOKUP(E466&amp;U466&amp;F466,tab_act&amp;tab_mod&amp;tab_act1,tab_Psup)*V466*T466/MGMT)</f>
        <v>0</v>
      </c>
      <c r="AE466" s="113" cm="1">
        <f t="array" ref="AE466">IF(U466="",0,_xlfn.XLOOKUP(E466&amp;U466&amp;F466,tab_act&amp;tab_mod&amp;tab_act1,tab_csb1)*V466*T466/MGMT)</f>
        <v>0</v>
      </c>
      <c r="AF466" s="113" cm="1">
        <f t="array" ref="AF466">IF(U466="",0,_xlfn.XLOOKUP(E466&amp;U466&amp;F466,tab_act&amp;tab_mod&amp;tab_act1,tab_csb2)*V466*T466/MGMT)</f>
        <v>0</v>
      </c>
      <c r="AG466" s="113" cm="1">
        <f t="array" ref="AG466">IF(U466="",0,_xlfn.XLOOKUP(E466&amp;U466&amp;F466,tab_act&amp;tab_mod&amp;tab_act1,tab_pdoz)*V466*T466/MGMT)</f>
        <v>0.28199999999999997</v>
      </c>
      <c r="AH466" s="113" cm="1">
        <f t="array" ref="AH466">IF(U466="",0,_xlfn.XLOOKUP(E466&amp;U466&amp;F466,tab_act&amp;tab_mod&amp;tab_act1,tab_lns)*V466*T466/MGMT)</f>
        <v>0</v>
      </c>
      <c r="AI466" s="114">
        <f t="shared" si="36"/>
        <v>0.28199999999999997</v>
      </c>
      <c r="AJ466" s="115" cm="1">
        <f t="array" ref="AJ466">IF(U466="",0,_xlfn.XLOOKUP(E466&amp;U466&amp;F466,tab_act&amp;tab_mod&amp;tab_act1,tab_cash)*T466)</f>
        <v>0</v>
      </c>
      <c r="AK466" s="148" cm="1">
        <f t="array" ref="AK466">IF(B466="",0,IF(C466="",0,AJ466/_xlfn.XLOOKUP(B466&amp;C466,RMth&amp;RYr,RAr)))</f>
        <v>0</v>
      </c>
      <c r="AL466" s="90"/>
      <c r="AM466" s="90"/>
      <c r="AN466" s="141" t="s">
        <v>248</v>
      </c>
    </row>
    <row r="467" spans="2:40" x14ac:dyDescent="0.35">
      <c r="B467" s="50" t="s">
        <v>130</v>
      </c>
      <c r="C467" s="44">
        <v>2023</v>
      </c>
      <c r="D467" s="44" t="s">
        <v>100</v>
      </c>
      <c r="E467" s="15" t="s">
        <v>39</v>
      </c>
      <c r="F467" s="108" t="s">
        <v>22</v>
      </c>
      <c r="G467" s="15" t="s">
        <v>159</v>
      </c>
      <c r="H467" s="44"/>
      <c r="I467" s="15" t="s">
        <v>213</v>
      </c>
      <c r="J467" s="15" t="s">
        <v>91</v>
      </c>
      <c r="K467" s="15" t="s">
        <v>97</v>
      </c>
      <c r="L467" s="15" t="s">
        <v>212</v>
      </c>
      <c r="M467" s="15" t="s">
        <v>158</v>
      </c>
      <c r="N467" s="15" t="s">
        <v>68</v>
      </c>
      <c r="O467" s="15" t="s">
        <v>104</v>
      </c>
      <c r="P467" s="15" t="s">
        <v>235</v>
      </c>
      <c r="Q467" s="135"/>
      <c r="R467" s="42"/>
      <c r="S467" s="42">
        <v>244</v>
      </c>
      <c r="T467" s="43">
        <f t="shared" si="35"/>
        <v>244</v>
      </c>
      <c r="U467" s="15" t="s">
        <v>41</v>
      </c>
      <c r="V467" s="150">
        <v>30</v>
      </c>
      <c r="W467" s="111" cm="1">
        <f t="array" ref="W467">IF(U467="",0,_xlfn.XLOOKUP(E467&amp;U467&amp;F467,tab_act&amp;tab_mod&amp;tab_act1,tab_riz)*V467*T467/MGMT)</f>
        <v>0</v>
      </c>
      <c r="X467" s="112" cm="1">
        <f t="array" ref="X467">IF(U467="",0,_xlfn.XLOOKUP(E467&amp;U467&amp;F467,tab_act&amp;tab_mod&amp;tab_act1,tab_mc)*V467*T467/MGMT)</f>
        <v>0</v>
      </c>
      <c r="Y467" s="112" cm="1">
        <f t="array" ref="Y467">IF(U467="",0,_xlfn.XLOOKUP(E467&amp;U467&amp;F467,tab_act&amp;tab_mod&amp;tab_act1,tab_sor)*V467*T467/MGMT)</f>
        <v>0</v>
      </c>
      <c r="Z467" s="112" cm="1">
        <f t="array" ref="Z467">IF(U467="",0,_xlfn.XLOOKUP(E467&amp;U467&amp;F467,tab_act&amp;tab_mod&amp;tab_act1,tab_mg)*V467*T467/MGMT)</f>
        <v>0</v>
      </c>
      <c r="AA467" s="113" cm="1">
        <f t="array" ref="AA467">IF(U467="",0,IF(U467="hybrid-Sch",_xlfn.XLOOKUP(E467&amp;U467&amp;F467,tab_act&amp;tab_mod&amp;tab_act1,tab_ls)*SchLS*T467/MGMT,_xlfn.XLOOKUP(E467&amp;U467&amp;F467,tab_act&amp;tab_mod&amp;tab_act1,tab_ls)*V467*T467/MGMT))</f>
        <v>0</v>
      </c>
      <c r="AB467" s="113" cm="1">
        <f t="array" ref="AB467">IF(U467="",0,_xlfn.XLOOKUP(E467&amp;U467&amp;F467,tab_act&amp;tab_mod&amp;tab_act1,tab_hu)*V467*T467/MGMT)</f>
        <v>0</v>
      </c>
      <c r="AC467" s="113" cm="1">
        <f t="array" ref="AC467">IF(U467="",0,_xlfn.XLOOKUP(E467&amp;U467&amp;F467,tab_act&amp;tab_mod&amp;tab_act1,tab_mnp)*V467*T467/MGMT)</f>
        <v>0</v>
      </c>
      <c r="AD467" s="113" cm="1">
        <f t="array" ref="AD467">IF(U467="",0,_xlfn.XLOOKUP(E467&amp;U467&amp;F467,tab_act&amp;tab_mod&amp;tab_act1,tab_Psup)*V467*T467/MGMT)</f>
        <v>0</v>
      </c>
      <c r="AE467" s="113" cm="1">
        <f t="array" ref="AE467">IF(U467="",0,_xlfn.XLOOKUP(E467&amp;U467&amp;F467,tab_act&amp;tab_mod&amp;tab_act1,tab_csb1)*V467*T467/MGMT)</f>
        <v>0</v>
      </c>
      <c r="AF467" s="113" cm="1">
        <f t="array" ref="AF467">IF(U467="",0,_xlfn.XLOOKUP(E467&amp;U467&amp;F467,tab_act&amp;tab_mod&amp;tab_act1,tab_csb2)*V467*T467/MGMT)</f>
        <v>0</v>
      </c>
      <c r="AG467" s="113" cm="1">
        <f t="array" ref="AG467">IF(U467="",0,_xlfn.XLOOKUP(E467&amp;U467&amp;F467,tab_act&amp;tab_mod&amp;tab_act1,tab_pdoz)*V467*T467/MGMT)</f>
        <v>0.36599999999999999</v>
      </c>
      <c r="AH467" s="113" cm="1">
        <f t="array" ref="AH467">IF(U467="",0,_xlfn.XLOOKUP(E467&amp;U467&amp;F467,tab_act&amp;tab_mod&amp;tab_act1,tab_lns)*V467*T467/MGMT)</f>
        <v>0</v>
      </c>
      <c r="AI467" s="114">
        <f t="shared" si="36"/>
        <v>0.36599999999999999</v>
      </c>
      <c r="AJ467" s="115" cm="1">
        <f t="array" ref="AJ467">IF(U467="",0,_xlfn.XLOOKUP(E467&amp;U467&amp;F467,tab_act&amp;tab_mod&amp;tab_act1,tab_cash)*T467)</f>
        <v>0</v>
      </c>
      <c r="AK467" s="148" cm="1">
        <f t="array" ref="AK467">IF(B467="",0,IF(C467="",0,AJ467/_xlfn.XLOOKUP(B467&amp;C467,RMth&amp;RYr,RAr)))</f>
        <v>0</v>
      </c>
      <c r="AL467" s="90"/>
      <c r="AM467" s="90"/>
      <c r="AN467" s="141" t="s">
        <v>248</v>
      </c>
    </row>
    <row r="468" spans="2:40" x14ac:dyDescent="0.35">
      <c r="B468" s="50" t="s">
        <v>130</v>
      </c>
      <c r="C468" s="44">
        <v>2023</v>
      </c>
      <c r="D468" s="44" t="s">
        <v>100</v>
      </c>
      <c r="E468" s="15" t="s">
        <v>39</v>
      </c>
      <c r="F468" s="108" t="s">
        <v>22</v>
      </c>
      <c r="G468" s="15" t="s">
        <v>159</v>
      </c>
      <c r="H468" s="44"/>
      <c r="I468" s="15" t="s">
        <v>213</v>
      </c>
      <c r="J468" s="15" t="s">
        <v>91</v>
      </c>
      <c r="K468" s="15" t="s">
        <v>97</v>
      </c>
      <c r="L468" s="15" t="s">
        <v>212</v>
      </c>
      <c r="M468" s="15" t="s">
        <v>158</v>
      </c>
      <c r="N468" s="15" t="s">
        <v>68</v>
      </c>
      <c r="O468" s="15" t="s">
        <v>104</v>
      </c>
      <c r="P468" s="15" t="s">
        <v>236</v>
      </c>
      <c r="Q468" s="135"/>
      <c r="R468" s="42"/>
      <c r="S468" s="42">
        <v>579</v>
      </c>
      <c r="T468" s="43">
        <f t="shared" si="35"/>
        <v>579</v>
      </c>
      <c r="U468" s="15" t="s">
        <v>41</v>
      </c>
      <c r="V468" s="150">
        <v>30</v>
      </c>
      <c r="W468" s="111" cm="1">
        <f t="array" ref="W468">IF(U468="",0,_xlfn.XLOOKUP(E468&amp;U468&amp;F468,tab_act&amp;tab_mod&amp;tab_act1,tab_riz)*V468*T468/MGMT)</f>
        <v>0</v>
      </c>
      <c r="X468" s="112" cm="1">
        <f t="array" ref="X468">IF(U468="",0,_xlfn.XLOOKUP(E468&amp;U468&amp;F468,tab_act&amp;tab_mod&amp;tab_act1,tab_mc)*V468*T468/MGMT)</f>
        <v>0</v>
      </c>
      <c r="Y468" s="112" cm="1">
        <f t="array" ref="Y468">IF(U468="",0,_xlfn.XLOOKUP(E468&amp;U468&amp;F468,tab_act&amp;tab_mod&amp;tab_act1,tab_sor)*V468*T468/MGMT)</f>
        <v>0</v>
      </c>
      <c r="Z468" s="112" cm="1">
        <f t="array" ref="Z468">IF(U468="",0,_xlfn.XLOOKUP(E468&amp;U468&amp;F468,tab_act&amp;tab_mod&amp;tab_act1,tab_mg)*V468*T468/MGMT)</f>
        <v>0</v>
      </c>
      <c r="AA468" s="113" cm="1">
        <f t="array" ref="AA468">IF(U468="",0,IF(U468="hybrid-Sch",_xlfn.XLOOKUP(E468&amp;U468&amp;F468,tab_act&amp;tab_mod&amp;tab_act1,tab_ls)*SchLS*T468/MGMT,_xlfn.XLOOKUP(E468&amp;U468&amp;F468,tab_act&amp;tab_mod&amp;tab_act1,tab_ls)*V468*T468/MGMT))</f>
        <v>0</v>
      </c>
      <c r="AB468" s="113" cm="1">
        <f t="array" ref="AB468">IF(U468="",0,_xlfn.XLOOKUP(E468&amp;U468&amp;F468,tab_act&amp;tab_mod&amp;tab_act1,tab_hu)*V468*T468/MGMT)</f>
        <v>0</v>
      </c>
      <c r="AC468" s="113" cm="1">
        <f t="array" ref="AC468">IF(U468="",0,_xlfn.XLOOKUP(E468&amp;U468&amp;F468,tab_act&amp;tab_mod&amp;tab_act1,tab_mnp)*V468*T468/MGMT)</f>
        <v>0</v>
      </c>
      <c r="AD468" s="113" cm="1">
        <f t="array" ref="AD468">IF(U468="",0,_xlfn.XLOOKUP(E468&amp;U468&amp;F468,tab_act&amp;tab_mod&amp;tab_act1,tab_Psup)*V468*T468/MGMT)</f>
        <v>0</v>
      </c>
      <c r="AE468" s="113" cm="1">
        <f t="array" ref="AE468">IF(U468="",0,_xlfn.XLOOKUP(E468&amp;U468&amp;F468,tab_act&amp;tab_mod&amp;tab_act1,tab_csb1)*V468*T468/MGMT)</f>
        <v>0</v>
      </c>
      <c r="AF468" s="113" cm="1">
        <f t="array" ref="AF468">IF(U468="",0,_xlfn.XLOOKUP(E468&amp;U468&amp;F468,tab_act&amp;tab_mod&amp;tab_act1,tab_csb2)*V468*T468/MGMT)</f>
        <v>0</v>
      </c>
      <c r="AG468" s="113" cm="1">
        <f t="array" ref="AG468">IF(U468="",0,_xlfn.XLOOKUP(E468&amp;U468&amp;F468,tab_act&amp;tab_mod&amp;tab_act1,tab_pdoz)*V468*T468/MGMT)</f>
        <v>0.86850000000000005</v>
      </c>
      <c r="AH468" s="113" cm="1">
        <f t="array" ref="AH468">IF(U468="",0,_xlfn.XLOOKUP(E468&amp;U468&amp;F468,tab_act&amp;tab_mod&amp;tab_act1,tab_lns)*V468*T468/MGMT)</f>
        <v>0</v>
      </c>
      <c r="AI468" s="114">
        <f t="shared" si="36"/>
        <v>0.86850000000000005</v>
      </c>
      <c r="AJ468" s="115" cm="1">
        <f t="array" ref="AJ468">IF(U468="",0,_xlfn.XLOOKUP(E468&amp;U468&amp;F468,tab_act&amp;tab_mod&amp;tab_act1,tab_cash)*T468)</f>
        <v>0</v>
      </c>
      <c r="AK468" s="148" cm="1">
        <f t="array" ref="AK468">IF(B468="",0,IF(C468="",0,AJ468/_xlfn.XLOOKUP(B468&amp;C468,RMth&amp;RYr,RAr)))</f>
        <v>0</v>
      </c>
      <c r="AL468" s="90"/>
      <c r="AM468" s="90"/>
      <c r="AN468" s="141" t="s">
        <v>248</v>
      </c>
    </row>
    <row r="469" spans="2:40" x14ac:dyDescent="0.35">
      <c r="B469" s="50" t="s">
        <v>130</v>
      </c>
      <c r="C469" s="44">
        <v>2023</v>
      </c>
      <c r="D469" s="44" t="s">
        <v>100</v>
      </c>
      <c r="E469" s="15" t="s">
        <v>39</v>
      </c>
      <c r="F469" s="108" t="s">
        <v>22</v>
      </c>
      <c r="G469" s="15" t="s">
        <v>159</v>
      </c>
      <c r="H469" s="44"/>
      <c r="I469" s="15" t="s">
        <v>213</v>
      </c>
      <c r="J469" s="15" t="s">
        <v>91</v>
      </c>
      <c r="K469" s="15" t="s">
        <v>97</v>
      </c>
      <c r="L469" s="15" t="s">
        <v>212</v>
      </c>
      <c r="M469" s="15" t="s">
        <v>158</v>
      </c>
      <c r="N469" s="15" t="s">
        <v>68</v>
      </c>
      <c r="O469" s="15" t="s">
        <v>103</v>
      </c>
      <c r="P469" s="15" t="s">
        <v>237</v>
      </c>
      <c r="Q469" s="135"/>
      <c r="R469" s="42"/>
      <c r="S469" s="42">
        <v>118</v>
      </c>
      <c r="T469" s="43">
        <f t="shared" si="35"/>
        <v>118</v>
      </c>
      <c r="U469" s="15" t="s">
        <v>41</v>
      </c>
      <c r="V469" s="150">
        <v>30</v>
      </c>
      <c r="W469" s="111" cm="1">
        <f t="array" ref="W469">IF(U469="",0,_xlfn.XLOOKUP(E469&amp;U469&amp;F469,tab_act&amp;tab_mod&amp;tab_act1,tab_riz)*V469*T469/MGMT)</f>
        <v>0</v>
      </c>
      <c r="X469" s="112" cm="1">
        <f t="array" ref="X469">IF(U469="",0,_xlfn.XLOOKUP(E469&amp;U469&amp;F469,tab_act&amp;tab_mod&amp;tab_act1,tab_mc)*V469*T469/MGMT)</f>
        <v>0</v>
      </c>
      <c r="Y469" s="112" cm="1">
        <f t="array" ref="Y469">IF(U469="",0,_xlfn.XLOOKUP(E469&amp;U469&amp;F469,tab_act&amp;tab_mod&amp;tab_act1,tab_sor)*V469*T469/MGMT)</f>
        <v>0</v>
      </c>
      <c r="Z469" s="112" cm="1">
        <f t="array" ref="Z469">IF(U469="",0,_xlfn.XLOOKUP(E469&amp;U469&amp;F469,tab_act&amp;tab_mod&amp;tab_act1,tab_mg)*V469*T469/MGMT)</f>
        <v>0</v>
      </c>
      <c r="AA469" s="113" cm="1">
        <f t="array" ref="AA469">IF(U469="",0,IF(U469="hybrid-Sch",_xlfn.XLOOKUP(E469&amp;U469&amp;F469,tab_act&amp;tab_mod&amp;tab_act1,tab_ls)*SchLS*T469/MGMT,_xlfn.XLOOKUP(E469&amp;U469&amp;F469,tab_act&amp;tab_mod&amp;tab_act1,tab_ls)*V469*T469/MGMT))</f>
        <v>0</v>
      </c>
      <c r="AB469" s="113" cm="1">
        <f t="array" ref="AB469">IF(U469="",0,_xlfn.XLOOKUP(E469&amp;U469&amp;F469,tab_act&amp;tab_mod&amp;tab_act1,tab_hu)*V469*T469/MGMT)</f>
        <v>0</v>
      </c>
      <c r="AC469" s="113" cm="1">
        <f t="array" ref="AC469">IF(U469="",0,_xlfn.XLOOKUP(E469&amp;U469&amp;F469,tab_act&amp;tab_mod&amp;tab_act1,tab_mnp)*V469*T469/MGMT)</f>
        <v>0</v>
      </c>
      <c r="AD469" s="113" cm="1">
        <f t="array" ref="AD469">IF(U469="",0,_xlfn.XLOOKUP(E469&amp;U469&amp;F469,tab_act&amp;tab_mod&amp;tab_act1,tab_Psup)*V469*T469/MGMT)</f>
        <v>0</v>
      </c>
      <c r="AE469" s="113" cm="1">
        <f t="array" ref="AE469">IF(U469="",0,_xlfn.XLOOKUP(E469&amp;U469&amp;F469,tab_act&amp;tab_mod&amp;tab_act1,tab_csb1)*V469*T469/MGMT)</f>
        <v>0</v>
      </c>
      <c r="AF469" s="113" cm="1">
        <f t="array" ref="AF469">IF(U469="",0,_xlfn.XLOOKUP(E469&amp;U469&amp;F469,tab_act&amp;tab_mod&amp;tab_act1,tab_csb2)*V469*T469/MGMT)</f>
        <v>0</v>
      </c>
      <c r="AG469" s="113" cm="1">
        <f t="array" ref="AG469">IF(U469="",0,_xlfn.XLOOKUP(E469&amp;U469&amp;F469,tab_act&amp;tab_mod&amp;tab_act1,tab_pdoz)*V469*T469/MGMT)</f>
        <v>0.17699999999999999</v>
      </c>
      <c r="AH469" s="113" cm="1">
        <f t="array" ref="AH469">IF(U469="",0,_xlfn.XLOOKUP(E469&amp;U469&amp;F469,tab_act&amp;tab_mod&amp;tab_act1,tab_lns)*V469*T469/MGMT)</f>
        <v>0</v>
      </c>
      <c r="AI469" s="114">
        <f t="shared" si="36"/>
        <v>0.17699999999999999</v>
      </c>
      <c r="AJ469" s="115" cm="1">
        <f t="array" ref="AJ469">IF(U469="",0,_xlfn.XLOOKUP(E469&amp;U469&amp;F469,tab_act&amp;tab_mod&amp;tab_act1,tab_cash)*T469)</f>
        <v>0</v>
      </c>
      <c r="AK469" s="148" cm="1">
        <f t="array" ref="AK469">IF(B469="",0,IF(C469="",0,AJ469/_xlfn.XLOOKUP(B469&amp;C469,RMth&amp;RYr,RAr)))</f>
        <v>0</v>
      </c>
      <c r="AL469" s="90"/>
      <c r="AM469" s="90"/>
      <c r="AN469" s="141" t="s">
        <v>248</v>
      </c>
    </row>
    <row r="470" spans="2:40" x14ac:dyDescent="0.35">
      <c r="B470" s="50" t="s">
        <v>130</v>
      </c>
      <c r="C470" s="44">
        <v>2023</v>
      </c>
      <c r="D470" s="44" t="s">
        <v>100</v>
      </c>
      <c r="E470" s="15" t="s">
        <v>39</v>
      </c>
      <c r="F470" s="108" t="s">
        <v>22</v>
      </c>
      <c r="G470" s="15" t="s">
        <v>159</v>
      </c>
      <c r="H470" s="44"/>
      <c r="I470" s="15" t="s">
        <v>213</v>
      </c>
      <c r="J470" s="15" t="s">
        <v>91</v>
      </c>
      <c r="K470" s="15" t="s">
        <v>97</v>
      </c>
      <c r="L470" s="15" t="s">
        <v>212</v>
      </c>
      <c r="M470" s="15" t="s">
        <v>158</v>
      </c>
      <c r="N470" s="15" t="s">
        <v>68</v>
      </c>
      <c r="O470" s="15" t="s">
        <v>103</v>
      </c>
      <c r="P470" s="15" t="s">
        <v>238</v>
      </c>
      <c r="Q470" s="135"/>
      <c r="R470" s="42"/>
      <c r="S470" s="42">
        <v>244</v>
      </c>
      <c r="T470" s="43">
        <f t="shared" si="35"/>
        <v>244</v>
      </c>
      <c r="U470" s="15" t="s">
        <v>41</v>
      </c>
      <c r="V470" s="150">
        <v>30</v>
      </c>
      <c r="W470" s="111" cm="1">
        <f t="array" ref="W470">IF(U470="",0,_xlfn.XLOOKUP(E470&amp;U470&amp;F470,tab_act&amp;tab_mod&amp;tab_act1,tab_riz)*V470*T470/MGMT)</f>
        <v>0</v>
      </c>
      <c r="X470" s="112" cm="1">
        <f t="array" ref="X470">IF(U470="",0,_xlfn.XLOOKUP(E470&amp;U470&amp;F470,tab_act&amp;tab_mod&amp;tab_act1,tab_mc)*V470*T470/MGMT)</f>
        <v>0</v>
      </c>
      <c r="Y470" s="112" cm="1">
        <f t="array" ref="Y470">IF(U470="",0,_xlfn.XLOOKUP(E470&amp;U470&amp;F470,tab_act&amp;tab_mod&amp;tab_act1,tab_sor)*V470*T470/MGMT)</f>
        <v>0</v>
      </c>
      <c r="Z470" s="112" cm="1">
        <f t="array" ref="Z470">IF(U470="",0,_xlfn.XLOOKUP(E470&amp;U470&amp;F470,tab_act&amp;tab_mod&amp;tab_act1,tab_mg)*V470*T470/MGMT)</f>
        <v>0</v>
      </c>
      <c r="AA470" s="113" cm="1">
        <f t="array" ref="AA470">IF(U470="",0,IF(U470="hybrid-Sch",_xlfn.XLOOKUP(E470&amp;U470&amp;F470,tab_act&amp;tab_mod&amp;tab_act1,tab_ls)*SchLS*T470/MGMT,_xlfn.XLOOKUP(E470&amp;U470&amp;F470,tab_act&amp;tab_mod&amp;tab_act1,tab_ls)*V470*T470/MGMT))</f>
        <v>0</v>
      </c>
      <c r="AB470" s="113" cm="1">
        <f t="array" ref="AB470">IF(U470="",0,_xlfn.XLOOKUP(E470&amp;U470&amp;F470,tab_act&amp;tab_mod&amp;tab_act1,tab_hu)*V470*T470/MGMT)</f>
        <v>0</v>
      </c>
      <c r="AC470" s="113" cm="1">
        <f t="array" ref="AC470">IF(U470="",0,_xlfn.XLOOKUP(E470&amp;U470&amp;F470,tab_act&amp;tab_mod&amp;tab_act1,tab_mnp)*V470*T470/MGMT)</f>
        <v>0</v>
      </c>
      <c r="AD470" s="113" cm="1">
        <f t="array" ref="AD470">IF(U470="",0,_xlfn.XLOOKUP(E470&amp;U470&amp;F470,tab_act&amp;tab_mod&amp;tab_act1,tab_Psup)*V470*T470/MGMT)</f>
        <v>0</v>
      </c>
      <c r="AE470" s="113" cm="1">
        <f t="array" ref="AE470">IF(U470="",0,_xlfn.XLOOKUP(E470&amp;U470&amp;F470,tab_act&amp;tab_mod&amp;tab_act1,tab_csb1)*V470*T470/MGMT)</f>
        <v>0</v>
      </c>
      <c r="AF470" s="113" cm="1">
        <f t="array" ref="AF470">IF(U470="",0,_xlfn.XLOOKUP(E470&amp;U470&amp;F470,tab_act&amp;tab_mod&amp;tab_act1,tab_csb2)*V470*T470/MGMT)</f>
        <v>0</v>
      </c>
      <c r="AG470" s="113" cm="1">
        <f t="array" ref="AG470">IF(U470="",0,_xlfn.XLOOKUP(E470&amp;U470&amp;F470,tab_act&amp;tab_mod&amp;tab_act1,tab_pdoz)*V470*T470/MGMT)</f>
        <v>0.36599999999999999</v>
      </c>
      <c r="AH470" s="113" cm="1">
        <f t="array" ref="AH470">IF(U470="",0,_xlfn.XLOOKUP(E470&amp;U470&amp;F470,tab_act&amp;tab_mod&amp;tab_act1,tab_lns)*V470*T470/MGMT)</f>
        <v>0</v>
      </c>
      <c r="AI470" s="114">
        <f t="shared" si="36"/>
        <v>0.36599999999999999</v>
      </c>
      <c r="AJ470" s="115" cm="1">
        <f t="array" ref="AJ470">IF(U470="",0,_xlfn.XLOOKUP(E470&amp;U470&amp;F470,tab_act&amp;tab_mod&amp;tab_act1,tab_cash)*T470)</f>
        <v>0</v>
      </c>
      <c r="AK470" s="148" cm="1">
        <f t="array" ref="AK470">IF(B470="",0,IF(C470="",0,AJ470/_xlfn.XLOOKUP(B470&amp;C470,RMth&amp;RYr,RAr)))</f>
        <v>0</v>
      </c>
      <c r="AL470" s="90"/>
      <c r="AM470" s="90"/>
      <c r="AN470" s="141" t="s">
        <v>248</v>
      </c>
    </row>
    <row r="471" spans="2:40" x14ac:dyDescent="0.35">
      <c r="B471" s="50" t="s">
        <v>130</v>
      </c>
      <c r="C471" s="44">
        <v>2023</v>
      </c>
      <c r="D471" s="44" t="s">
        <v>100</v>
      </c>
      <c r="E471" s="15" t="s">
        <v>39</v>
      </c>
      <c r="F471" s="108" t="s">
        <v>22</v>
      </c>
      <c r="G471" s="15" t="s">
        <v>159</v>
      </c>
      <c r="H471" s="44"/>
      <c r="I471" s="15" t="s">
        <v>213</v>
      </c>
      <c r="J471" s="15" t="s">
        <v>91</v>
      </c>
      <c r="K471" s="15" t="s">
        <v>97</v>
      </c>
      <c r="L471" s="15" t="s">
        <v>212</v>
      </c>
      <c r="M471" s="15" t="s">
        <v>158</v>
      </c>
      <c r="N471" s="15" t="s">
        <v>68</v>
      </c>
      <c r="O471" s="15" t="s">
        <v>103</v>
      </c>
      <c r="P471" s="15" t="s">
        <v>239</v>
      </c>
      <c r="Q471" s="135"/>
      <c r="R471" s="42"/>
      <c r="S471" s="42">
        <v>140</v>
      </c>
      <c r="T471" s="43">
        <f t="shared" si="35"/>
        <v>140</v>
      </c>
      <c r="U471" s="15" t="s">
        <v>41</v>
      </c>
      <c r="V471" s="150">
        <v>30</v>
      </c>
      <c r="W471" s="111" cm="1">
        <f t="array" ref="W471">IF(U471="",0,_xlfn.XLOOKUP(E471&amp;U471&amp;F471,tab_act&amp;tab_mod&amp;tab_act1,tab_riz)*V471*T471/MGMT)</f>
        <v>0</v>
      </c>
      <c r="X471" s="112" cm="1">
        <f t="array" ref="X471">IF(U471="",0,_xlfn.XLOOKUP(E471&amp;U471&amp;F471,tab_act&amp;tab_mod&amp;tab_act1,tab_mc)*V471*T471/MGMT)</f>
        <v>0</v>
      </c>
      <c r="Y471" s="112" cm="1">
        <f t="array" ref="Y471">IF(U471="",0,_xlfn.XLOOKUP(E471&amp;U471&amp;F471,tab_act&amp;tab_mod&amp;tab_act1,tab_sor)*V471*T471/MGMT)</f>
        <v>0</v>
      </c>
      <c r="Z471" s="112" cm="1">
        <f t="array" ref="Z471">IF(U471="",0,_xlfn.XLOOKUP(E471&amp;U471&amp;F471,tab_act&amp;tab_mod&amp;tab_act1,tab_mg)*V471*T471/MGMT)</f>
        <v>0</v>
      </c>
      <c r="AA471" s="113" cm="1">
        <f t="array" ref="AA471">IF(U471="",0,IF(U471="hybrid-Sch",_xlfn.XLOOKUP(E471&amp;U471&amp;F471,tab_act&amp;tab_mod&amp;tab_act1,tab_ls)*SchLS*T471/MGMT,_xlfn.XLOOKUP(E471&amp;U471&amp;F471,tab_act&amp;tab_mod&amp;tab_act1,tab_ls)*V471*T471/MGMT))</f>
        <v>0</v>
      </c>
      <c r="AB471" s="113" cm="1">
        <f t="array" ref="AB471">IF(U471="",0,_xlfn.XLOOKUP(E471&amp;U471&amp;F471,tab_act&amp;tab_mod&amp;tab_act1,tab_hu)*V471*T471/MGMT)</f>
        <v>0</v>
      </c>
      <c r="AC471" s="113" cm="1">
        <f t="array" ref="AC471">IF(U471="",0,_xlfn.XLOOKUP(E471&amp;U471&amp;F471,tab_act&amp;tab_mod&amp;tab_act1,tab_mnp)*V471*T471/MGMT)</f>
        <v>0</v>
      </c>
      <c r="AD471" s="113" cm="1">
        <f t="array" ref="AD471">IF(U471="",0,_xlfn.XLOOKUP(E471&amp;U471&amp;F471,tab_act&amp;tab_mod&amp;tab_act1,tab_Psup)*V471*T471/MGMT)</f>
        <v>0</v>
      </c>
      <c r="AE471" s="113" cm="1">
        <f t="array" ref="AE471">IF(U471="",0,_xlfn.XLOOKUP(E471&amp;U471&amp;F471,tab_act&amp;tab_mod&amp;tab_act1,tab_csb1)*V471*T471/MGMT)</f>
        <v>0</v>
      </c>
      <c r="AF471" s="113" cm="1">
        <f t="array" ref="AF471">IF(U471="",0,_xlfn.XLOOKUP(E471&amp;U471&amp;F471,tab_act&amp;tab_mod&amp;tab_act1,tab_csb2)*V471*T471/MGMT)</f>
        <v>0</v>
      </c>
      <c r="AG471" s="113" cm="1">
        <f t="array" ref="AG471">IF(U471="",0,_xlfn.XLOOKUP(E471&amp;U471&amp;F471,tab_act&amp;tab_mod&amp;tab_act1,tab_pdoz)*V471*T471/MGMT)</f>
        <v>0.21</v>
      </c>
      <c r="AH471" s="113" cm="1">
        <f t="array" ref="AH471">IF(U471="",0,_xlfn.XLOOKUP(E471&amp;U471&amp;F471,tab_act&amp;tab_mod&amp;tab_act1,tab_lns)*V471*T471/MGMT)</f>
        <v>0</v>
      </c>
      <c r="AI471" s="114">
        <f t="shared" si="36"/>
        <v>0.21</v>
      </c>
      <c r="AJ471" s="115" cm="1">
        <f t="array" ref="AJ471">IF(U471="",0,_xlfn.XLOOKUP(E471&amp;U471&amp;F471,tab_act&amp;tab_mod&amp;tab_act1,tab_cash)*T471)</f>
        <v>0</v>
      </c>
      <c r="AK471" s="148" cm="1">
        <f t="array" ref="AK471">IF(B471="",0,IF(C471="",0,AJ471/_xlfn.XLOOKUP(B471&amp;C471,RMth&amp;RYr,RAr)))</f>
        <v>0</v>
      </c>
      <c r="AL471" s="90"/>
      <c r="AM471" s="90"/>
      <c r="AN471" s="141" t="s">
        <v>248</v>
      </c>
    </row>
    <row r="472" spans="2:40" x14ac:dyDescent="0.35">
      <c r="B472" s="50" t="s">
        <v>130</v>
      </c>
      <c r="C472" s="44">
        <v>2023</v>
      </c>
      <c r="D472" s="44" t="s">
        <v>100</v>
      </c>
      <c r="E472" s="15" t="s">
        <v>39</v>
      </c>
      <c r="F472" s="108" t="s">
        <v>22</v>
      </c>
      <c r="G472" s="15" t="s">
        <v>159</v>
      </c>
      <c r="H472" s="44"/>
      <c r="I472" s="15" t="s">
        <v>213</v>
      </c>
      <c r="J472" s="15" t="s">
        <v>91</v>
      </c>
      <c r="K472" s="15" t="s">
        <v>97</v>
      </c>
      <c r="L472" s="15" t="s">
        <v>212</v>
      </c>
      <c r="M472" s="15" t="s">
        <v>158</v>
      </c>
      <c r="N472" s="15" t="s">
        <v>68</v>
      </c>
      <c r="O472" s="15" t="s">
        <v>103</v>
      </c>
      <c r="P472" s="15" t="s">
        <v>240</v>
      </c>
      <c r="Q472" s="135"/>
      <c r="R472" s="42"/>
      <c r="S472" s="42">
        <v>200</v>
      </c>
      <c r="T472" s="43">
        <f t="shared" si="35"/>
        <v>200</v>
      </c>
      <c r="U472" s="15" t="s">
        <v>41</v>
      </c>
      <c r="V472" s="150">
        <v>30</v>
      </c>
      <c r="W472" s="111" cm="1">
        <f t="array" ref="W472">IF(U472="",0,_xlfn.XLOOKUP(E472&amp;U472&amp;F472,tab_act&amp;tab_mod&amp;tab_act1,tab_riz)*V472*T472/MGMT)</f>
        <v>0</v>
      </c>
      <c r="X472" s="112" cm="1">
        <f t="array" ref="X472">IF(U472="",0,_xlfn.XLOOKUP(E472&amp;U472&amp;F472,tab_act&amp;tab_mod&amp;tab_act1,tab_mc)*V472*T472/MGMT)</f>
        <v>0</v>
      </c>
      <c r="Y472" s="112" cm="1">
        <f t="array" ref="Y472">IF(U472="",0,_xlfn.XLOOKUP(E472&amp;U472&amp;F472,tab_act&amp;tab_mod&amp;tab_act1,tab_sor)*V472*T472/MGMT)</f>
        <v>0</v>
      </c>
      <c r="Z472" s="112" cm="1">
        <f t="array" ref="Z472">IF(U472="",0,_xlfn.XLOOKUP(E472&amp;U472&amp;F472,tab_act&amp;tab_mod&amp;tab_act1,tab_mg)*V472*T472/MGMT)</f>
        <v>0</v>
      </c>
      <c r="AA472" s="113" cm="1">
        <f t="array" ref="AA472">IF(U472="",0,IF(U472="hybrid-Sch",_xlfn.XLOOKUP(E472&amp;U472&amp;F472,tab_act&amp;tab_mod&amp;tab_act1,tab_ls)*SchLS*T472/MGMT,_xlfn.XLOOKUP(E472&amp;U472&amp;F472,tab_act&amp;tab_mod&amp;tab_act1,tab_ls)*V472*T472/MGMT))</f>
        <v>0</v>
      </c>
      <c r="AB472" s="113" cm="1">
        <f t="array" ref="AB472">IF(U472="",0,_xlfn.XLOOKUP(E472&amp;U472&amp;F472,tab_act&amp;tab_mod&amp;tab_act1,tab_hu)*V472*T472/MGMT)</f>
        <v>0</v>
      </c>
      <c r="AC472" s="113" cm="1">
        <f t="array" ref="AC472">IF(U472="",0,_xlfn.XLOOKUP(E472&amp;U472&amp;F472,tab_act&amp;tab_mod&amp;tab_act1,tab_mnp)*V472*T472/MGMT)</f>
        <v>0</v>
      </c>
      <c r="AD472" s="113" cm="1">
        <f t="array" ref="AD472">IF(U472="",0,_xlfn.XLOOKUP(E472&amp;U472&amp;F472,tab_act&amp;tab_mod&amp;tab_act1,tab_Psup)*V472*T472/MGMT)</f>
        <v>0</v>
      </c>
      <c r="AE472" s="113" cm="1">
        <f t="array" ref="AE472">IF(U472="",0,_xlfn.XLOOKUP(E472&amp;U472&amp;F472,tab_act&amp;tab_mod&amp;tab_act1,tab_csb1)*V472*T472/MGMT)</f>
        <v>0</v>
      </c>
      <c r="AF472" s="113" cm="1">
        <f t="array" ref="AF472">IF(U472="",0,_xlfn.XLOOKUP(E472&amp;U472&amp;F472,tab_act&amp;tab_mod&amp;tab_act1,tab_csb2)*V472*T472/MGMT)</f>
        <v>0</v>
      </c>
      <c r="AG472" s="113" cm="1">
        <f t="array" ref="AG472">IF(U472="",0,_xlfn.XLOOKUP(E472&amp;U472&amp;F472,tab_act&amp;tab_mod&amp;tab_act1,tab_pdoz)*V472*T472/MGMT)</f>
        <v>0.3</v>
      </c>
      <c r="AH472" s="113" cm="1">
        <f t="array" ref="AH472">IF(U472="",0,_xlfn.XLOOKUP(E472&amp;U472&amp;F472,tab_act&amp;tab_mod&amp;tab_act1,tab_lns)*V472*T472/MGMT)</f>
        <v>0</v>
      </c>
      <c r="AI472" s="114">
        <f t="shared" si="36"/>
        <v>0.3</v>
      </c>
      <c r="AJ472" s="115" cm="1">
        <f t="array" ref="AJ472">IF(U472="",0,_xlfn.XLOOKUP(E472&amp;U472&amp;F472,tab_act&amp;tab_mod&amp;tab_act1,tab_cash)*T472)</f>
        <v>0</v>
      </c>
      <c r="AK472" s="148" cm="1">
        <f t="array" ref="AK472">IF(B472="",0,IF(C472="",0,AJ472/_xlfn.XLOOKUP(B472&amp;C472,RMth&amp;RYr,RAr)))</f>
        <v>0</v>
      </c>
      <c r="AL472" s="90"/>
      <c r="AM472" s="90"/>
      <c r="AN472" s="141" t="s">
        <v>248</v>
      </c>
    </row>
    <row r="473" spans="2:40" x14ac:dyDescent="0.35">
      <c r="B473" s="50" t="s">
        <v>130</v>
      </c>
      <c r="C473" s="44">
        <v>2023</v>
      </c>
      <c r="D473" s="44" t="s">
        <v>100</v>
      </c>
      <c r="E473" s="15" t="s">
        <v>39</v>
      </c>
      <c r="F473" s="108" t="s">
        <v>22</v>
      </c>
      <c r="G473" s="15" t="s">
        <v>159</v>
      </c>
      <c r="H473" s="44"/>
      <c r="I473" s="15" t="s">
        <v>213</v>
      </c>
      <c r="J473" s="15" t="s">
        <v>91</v>
      </c>
      <c r="K473" s="15" t="s">
        <v>97</v>
      </c>
      <c r="L473" s="15" t="s">
        <v>212</v>
      </c>
      <c r="M473" s="15" t="s">
        <v>158</v>
      </c>
      <c r="N473" s="15" t="s">
        <v>68</v>
      </c>
      <c r="O473" s="15" t="s">
        <v>103</v>
      </c>
      <c r="P473" s="15" t="s">
        <v>241</v>
      </c>
      <c r="Q473" s="135"/>
      <c r="R473" s="42"/>
      <c r="S473" s="42">
        <v>160</v>
      </c>
      <c r="T473" s="43">
        <f t="shared" si="35"/>
        <v>160</v>
      </c>
      <c r="U473" s="15" t="s">
        <v>41</v>
      </c>
      <c r="V473" s="150">
        <v>30</v>
      </c>
      <c r="W473" s="111" cm="1">
        <f t="array" ref="W473">IF(U473="",0,_xlfn.XLOOKUP(E473&amp;U473&amp;F473,tab_act&amp;tab_mod&amp;tab_act1,tab_riz)*V473*T473/MGMT)</f>
        <v>0</v>
      </c>
      <c r="X473" s="112" cm="1">
        <f t="array" ref="X473">IF(U473="",0,_xlfn.XLOOKUP(E473&amp;U473&amp;F473,tab_act&amp;tab_mod&amp;tab_act1,tab_mc)*V473*T473/MGMT)</f>
        <v>0</v>
      </c>
      <c r="Y473" s="112" cm="1">
        <f t="array" ref="Y473">IF(U473="",0,_xlfn.XLOOKUP(E473&amp;U473&amp;F473,tab_act&amp;tab_mod&amp;tab_act1,tab_sor)*V473*T473/MGMT)</f>
        <v>0</v>
      </c>
      <c r="Z473" s="112" cm="1">
        <f t="array" ref="Z473">IF(U473="",0,_xlfn.XLOOKUP(E473&amp;U473&amp;F473,tab_act&amp;tab_mod&amp;tab_act1,tab_mg)*V473*T473/MGMT)</f>
        <v>0</v>
      </c>
      <c r="AA473" s="113" cm="1">
        <f t="array" ref="AA473">IF(U473="",0,IF(U473="hybrid-Sch",_xlfn.XLOOKUP(E473&amp;U473&amp;F473,tab_act&amp;tab_mod&amp;tab_act1,tab_ls)*SchLS*T473/MGMT,_xlfn.XLOOKUP(E473&amp;U473&amp;F473,tab_act&amp;tab_mod&amp;tab_act1,tab_ls)*V473*T473/MGMT))</f>
        <v>0</v>
      </c>
      <c r="AB473" s="113" cm="1">
        <f t="array" ref="AB473">IF(U473="",0,_xlfn.XLOOKUP(E473&amp;U473&amp;F473,tab_act&amp;tab_mod&amp;tab_act1,tab_hu)*V473*T473/MGMT)</f>
        <v>0</v>
      </c>
      <c r="AC473" s="113" cm="1">
        <f t="array" ref="AC473">IF(U473="",0,_xlfn.XLOOKUP(E473&amp;U473&amp;F473,tab_act&amp;tab_mod&amp;tab_act1,tab_mnp)*V473*T473/MGMT)</f>
        <v>0</v>
      </c>
      <c r="AD473" s="113" cm="1">
        <f t="array" ref="AD473">IF(U473="",0,_xlfn.XLOOKUP(E473&amp;U473&amp;F473,tab_act&amp;tab_mod&amp;tab_act1,tab_Psup)*V473*T473/MGMT)</f>
        <v>0</v>
      </c>
      <c r="AE473" s="113" cm="1">
        <f t="array" ref="AE473">IF(U473="",0,_xlfn.XLOOKUP(E473&amp;U473&amp;F473,tab_act&amp;tab_mod&amp;tab_act1,tab_csb1)*V473*T473/MGMT)</f>
        <v>0</v>
      </c>
      <c r="AF473" s="113" cm="1">
        <f t="array" ref="AF473">IF(U473="",0,_xlfn.XLOOKUP(E473&amp;U473&amp;F473,tab_act&amp;tab_mod&amp;tab_act1,tab_csb2)*V473*T473/MGMT)</f>
        <v>0</v>
      </c>
      <c r="AG473" s="113" cm="1">
        <f t="array" ref="AG473">IF(U473="",0,_xlfn.XLOOKUP(E473&amp;U473&amp;F473,tab_act&amp;tab_mod&amp;tab_act1,tab_pdoz)*V473*T473/MGMT)</f>
        <v>0.24</v>
      </c>
      <c r="AH473" s="113" cm="1">
        <f t="array" ref="AH473">IF(U473="",0,_xlfn.XLOOKUP(E473&amp;U473&amp;F473,tab_act&amp;tab_mod&amp;tab_act1,tab_lns)*V473*T473/MGMT)</f>
        <v>0</v>
      </c>
      <c r="AI473" s="114">
        <f t="shared" si="36"/>
        <v>0.24</v>
      </c>
      <c r="AJ473" s="115" cm="1">
        <f t="array" ref="AJ473">IF(U473="",0,_xlfn.XLOOKUP(E473&amp;U473&amp;F473,tab_act&amp;tab_mod&amp;tab_act1,tab_cash)*T473)</f>
        <v>0</v>
      </c>
      <c r="AK473" s="148" cm="1">
        <f t="array" ref="AK473">IF(B473="",0,IF(C473="",0,AJ473/_xlfn.XLOOKUP(B473&amp;C473,RMth&amp;RYr,RAr)))</f>
        <v>0</v>
      </c>
      <c r="AL473" s="90"/>
      <c r="AM473" s="90"/>
      <c r="AN473" s="141" t="s">
        <v>248</v>
      </c>
    </row>
    <row r="474" spans="2:40" x14ac:dyDescent="0.35">
      <c r="B474" s="50" t="s">
        <v>130</v>
      </c>
      <c r="C474" s="44">
        <v>2023</v>
      </c>
      <c r="D474" s="44" t="s">
        <v>100</v>
      </c>
      <c r="E474" s="15" t="s">
        <v>39</v>
      </c>
      <c r="F474" s="108" t="s">
        <v>22</v>
      </c>
      <c r="G474" s="15" t="s">
        <v>159</v>
      </c>
      <c r="H474" s="44"/>
      <c r="I474" s="15" t="s">
        <v>213</v>
      </c>
      <c r="J474" s="15" t="s">
        <v>91</v>
      </c>
      <c r="K474" s="15" t="s">
        <v>97</v>
      </c>
      <c r="L474" s="15" t="s">
        <v>212</v>
      </c>
      <c r="M474" s="15" t="s">
        <v>158</v>
      </c>
      <c r="N474" s="15" t="s">
        <v>68</v>
      </c>
      <c r="O474" s="15" t="s">
        <v>103</v>
      </c>
      <c r="P474" s="15" t="s">
        <v>242</v>
      </c>
      <c r="Q474" s="135"/>
      <c r="R474" s="42"/>
      <c r="S474" s="42">
        <v>162</v>
      </c>
      <c r="T474" s="43">
        <f t="shared" si="35"/>
        <v>162</v>
      </c>
      <c r="U474" s="15" t="s">
        <v>41</v>
      </c>
      <c r="V474" s="150">
        <v>30</v>
      </c>
      <c r="W474" s="111" cm="1">
        <f t="array" ref="W474">IF(U474="",0,_xlfn.XLOOKUP(E474&amp;U474&amp;F474,tab_act&amp;tab_mod&amp;tab_act1,tab_riz)*V474*T474/MGMT)</f>
        <v>0</v>
      </c>
      <c r="X474" s="112" cm="1">
        <f t="array" ref="X474">IF(U474="",0,_xlfn.XLOOKUP(E474&amp;U474&amp;F474,tab_act&amp;tab_mod&amp;tab_act1,tab_mc)*V474*T474/MGMT)</f>
        <v>0</v>
      </c>
      <c r="Y474" s="112" cm="1">
        <f t="array" ref="Y474">IF(U474="",0,_xlfn.XLOOKUP(E474&amp;U474&amp;F474,tab_act&amp;tab_mod&amp;tab_act1,tab_sor)*V474*T474/MGMT)</f>
        <v>0</v>
      </c>
      <c r="Z474" s="112" cm="1">
        <f t="array" ref="Z474">IF(U474="",0,_xlfn.XLOOKUP(E474&amp;U474&amp;F474,tab_act&amp;tab_mod&amp;tab_act1,tab_mg)*V474*T474/MGMT)</f>
        <v>0</v>
      </c>
      <c r="AA474" s="113" cm="1">
        <f t="array" ref="AA474">IF(U474="",0,IF(U474="hybrid-Sch",_xlfn.XLOOKUP(E474&amp;U474&amp;F474,tab_act&amp;tab_mod&amp;tab_act1,tab_ls)*SchLS*T474/MGMT,_xlfn.XLOOKUP(E474&amp;U474&amp;F474,tab_act&amp;tab_mod&amp;tab_act1,tab_ls)*V474*T474/MGMT))</f>
        <v>0</v>
      </c>
      <c r="AB474" s="113" cm="1">
        <f t="array" ref="AB474">IF(U474="",0,_xlfn.XLOOKUP(E474&amp;U474&amp;F474,tab_act&amp;tab_mod&amp;tab_act1,tab_hu)*V474*T474/MGMT)</f>
        <v>0</v>
      </c>
      <c r="AC474" s="113" cm="1">
        <f t="array" ref="AC474">IF(U474="",0,_xlfn.XLOOKUP(E474&amp;U474&amp;F474,tab_act&amp;tab_mod&amp;tab_act1,tab_mnp)*V474*T474/MGMT)</f>
        <v>0</v>
      </c>
      <c r="AD474" s="113" cm="1">
        <f t="array" ref="AD474">IF(U474="",0,_xlfn.XLOOKUP(E474&amp;U474&amp;F474,tab_act&amp;tab_mod&amp;tab_act1,tab_Psup)*V474*T474/MGMT)</f>
        <v>0</v>
      </c>
      <c r="AE474" s="113" cm="1">
        <f t="array" ref="AE474">IF(U474="",0,_xlfn.XLOOKUP(E474&amp;U474&amp;F474,tab_act&amp;tab_mod&amp;tab_act1,tab_csb1)*V474*T474/MGMT)</f>
        <v>0</v>
      </c>
      <c r="AF474" s="113" cm="1">
        <f t="array" ref="AF474">IF(U474="",0,_xlfn.XLOOKUP(E474&amp;U474&amp;F474,tab_act&amp;tab_mod&amp;tab_act1,tab_csb2)*V474*T474/MGMT)</f>
        <v>0</v>
      </c>
      <c r="AG474" s="113" cm="1">
        <f t="array" ref="AG474">IF(U474="",0,_xlfn.XLOOKUP(E474&amp;U474&amp;F474,tab_act&amp;tab_mod&amp;tab_act1,tab_pdoz)*V474*T474/MGMT)</f>
        <v>0.24299999999999999</v>
      </c>
      <c r="AH474" s="113" cm="1">
        <f t="array" ref="AH474">IF(U474="",0,_xlfn.XLOOKUP(E474&amp;U474&amp;F474,tab_act&amp;tab_mod&amp;tab_act1,tab_lns)*V474*T474/MGMT)</f>
        <v>0</v>
      </c>
      <c r="AI474" s="114">
        <f t="shared" si="36"/>
        <v>0.24299999999999999</v>
      </c>
      <c r="AJ474" s="115" cm="1">
        <f t="array" ref="AJ474">IF(U474="",0,_xlfn.XLOOKUP(E474&amp;U474&amp;F474,tab_act&amp;tab_mod&amp;tab_act1,tab_cash)*T474)</f>
        <v>0</v>
      </c>
      <c r="AK474" s="148" cm="1">
        <f t="array" ref="AK474">IF(B474="",0,IF(C474="",0,AJ474/_xlfn.XLOOKUP(B474&amp;C474,RMth&amp;RYr,RAr)))</f>
        <v>0</v>
      </c>
      <c r="AL474" s="90"/>
      <c r="AM474" s="90"/>
      <c r="AN474" s="141" t="s">
        <v>248</v>
      </c>
    </row>
    <row r="475" spans="2:40" x14ac:dyDescent="0.35">
      <c r="B475" s="50" t="s">
        <v>130</v>
      </c>
      <c r="C475" s="44">
        <v>2023</v>
      </c>
      <c r="D475" s="44" t="s">
        <v>100</v>
      </c>
      <c r="E475" s="15" t="s">
        <v>39</v>
      </c>
      <c r="F475" s="108" t="s">
        <v>22</v>
      </c>
      <c r="G475" s="15" t="s">
        <v>159</v>
      </c>
      <c r="H475" s="44"/>
      <c r="I475" s="15" t="s">
        <v>213</v>
      </c>
      <c r="J475" s="15" t="s">
        <v>91</v>
      </c>
      <c r="K475" s="15" t="s">
        <v>97</v>
      </c>
      <c r="L475" s="15" t="s">
        <v>212</v>
      </c>
      <c r="M475" s="15" t="s">
        <v>158</v>
      </c>
      <c r="N475" s="15" t="s">
        <v>68</v>
      </c>
      <c r="O475" s="15" t="s">
        <v>103</v>
      </c>
      <c r="P475" s="15" t="s">
        <v>243</v>
      </c>
      <c r="Q475" s="135"/>
      <c r="R475" s="42"/>
      <c r="S475" s="42">
        <v>274</v>
      </c>
      <c r="T475" s="43">
        <f t="shared" si="35"/>
        <v>274</v>
      </c>
      <c r="U475" s="15" t="s">
        <v>41</v>
      </c>
      <c r="V475" s="150">
        <v>30</v>
      </c>
      <c r="W475" s="111" cm="1">
        <f t="array" ref="W475">IF(U475="",0,_xlfn.XLOOKUP(E475&amp;U475&amp;F475,tab_act&amp;tab_mod&amp;tab_act1,tab_riz)*V475*T475/MGMT)</f>
        <v>0</v>
      </c>
      <c r="X475" s="112" cm="1">
        <f t="array" ref="X475">IF(U475="",0,_xlfn.XLOOKUP(E475&amp;U475&amp;F475,tab_act&amp;tab_mod&amp;tab_act1,tab_mc)*V475*T475/MGMT)</f>
        <v>0</v>
      </c>
      <c r="Y475" s="112" cm="1">
        <f t="array" ref="Y475">IF(U475="",0,_xlfn.XLOOKUP(E475&amp;U475&amp;F475,tab_act&amp;tab_mod&amp;tab_act1,tab_sor)*V475*T475/MGMT)</f>
        <v>0</v>
      </c>
      <c r="Z475" s="112" cm="1">
        <f t="array" ref="Z475">IF(U475="",0,_xlfn.XLOOKUP(E475&amp;U475&amp;F475,tab_act&amp;tab_mod&amp;tab_act1,tab_mg)*V475*T475/MGMT)</f>
        <v>0</v>
      </c>
      <c r="AA475" s="113" cm="1">
        <f t="array" ref="AA475">IF(U475="",0,IF(U475="hybrid-Sch",_xlfn.XLOOKUP(E475&amp;U475&amp;F475,tab_act&amp;tab_mod&amp;tab_act1,tab_ls)*SchLS*T475/MGMT,_xlfn.XLOOKUP(E475&amp;U475&amp;F475,tab_act&amp;tab_mod&amp;tab_act1,tab_ls)*V475*T475/MGMT))</f>
        <v>0</v>
      </c>
      <c r="AB475" s="113" cm="1">
        <f t="array" ref="AB475">IF(U475="",0,_xlfn.XLOOKUP(E475&amp;U475&amp;F475,tab_act&amp;tab_mod&amp;tab_act1,tab_hu)*V475*T475/MGMT)</f>
        <v>0</v>
      </c>
      <c r="AC475" s="113" cm="1">
        <f t="array" ref="AC475">IF(U475="",0,_xlfn.XLOOKUP(E475&amp;U475&amp;F475,tab_act&amp;tab_mod&amp;tab_act1,tab_mnp)*V475*T475/MGMT)</f>
        <v>0</v>
      </c>
      <c r="AD475" s="113" cm="1">
        <f t="array" ref="AD475">IF(U475="",0,_xlfn.XLOOKUP(E475&amp;U475&amp;F475,tab_act&amp;tab_mod&amp;tab_act1,tab_Psup)*V475*T475/MGMT)</f>
        <v>0</v>
      </c>
      <c r="AE475" s="113" cm="1">
        <f t="array" ref="AE475">IF(U475="",0,_xlfn.XLOOKUP(E475&amp;U475&amp;F475,tab_act&amp;tab_mod&amp;tab_act1,tab_csb1)*V475*T475/MGMT)</f>
        <v>0</v>
      </c>
      <c r="AF475" s="113" cm="1">
        <f t="array" ref="AF475">IF(U475="",0,_xlfn.XLOOKUP(E475&amp;U475&amp;F475,tab_act&amp;tab_mod&amp;tab_act1,tab_csb2)*V475*T475/MGMT)</f>
        <v>0</v>
      </c>
      <c r="AG475" s="113" cm="1">
        <f t="array" ref="AG475">IF(U475="",0,_xlfn.XLOOKUP(E475&amp;U475&amp;F475,tab_act&amp;tab_mod&amp;tab_act1,tab_pdoz)*V475*T475/MGMT)</f>
        <v>0.41099999999999998</v>
      </c>
      <c r="AH475" s="113" cm="1">
        <f t="array" ref="AH475">IF(U475="",0,_xlfn.XLOOKUP(E475&amp;U475&amp;F475,tab_act&amp;tab_mod&amp;tab_act1,tab_lns)*V475*T475/MGMT)</f>
        <v>0</v>
      </c>
      <c r="AI475" s="114">
        <f t="shared" si="36"/>
        <v>0.41099999999999998</v>
      </c>
      <c r="AJ475" s="115" cm="1">
        <f t="array" ref="AJ475">IF(U475="",0,_xlfn.XLOOKUP(E475&amp;U475&amp;F475,tab_act&amp;tab_mod&amp;tab_act1,tab_cash)*T475)</f>
        <v>0</v>
      </c>
      <c r="AK475" s="148" cm="1">
        <f t="array" ref="AK475">IF(B475="",0,IF(C475="",0,AJ475/_xlfn.XLOOKUP(B475&amp;C475,RMth&amp;RYr,RAr)))</f>
        <v>0</v>
      </c>
      <c r="AL475" s="90"/>
      <c r="AM475" s="90"/>
      <c r="AN475" s="141" t="s">
        <v>248</v>
      </c>
    </row>
    <row r="476" spans="2:40" x14ac:dyDescent="0.35">
      <c r="B476" s="116" t="s">
        <v>130</v>
      </c>
      <c r="C476" s="117">
        <v>2023</v>
      </c>
      <c r="D476" s="117" t="s">
        <v>100</v>
      </c>
      <c r="E476" s="118" t="s">
        <v>39</v>
      </c>
      <c r="F476" s="118" t="s">
        <v>22</v>
      </c>
      <c r="G476" s="118" t="s">
        <v>159</v>
      </c>
      <c r="H476" s="117"/>
      <c r="I476" s="118" t="s">
        <v>91</v>
      </c>
      <c r="J476" s="118" t="s">
        <v>91</v>
      </c>
      <c r="K476" s="118" t="s">
        <v>97</v>
      </c>
      <c r="L476" s="118" t="s">
        <v>246</v>
      </c>
      <c r="M476" s="118" t="s">
        <v>91</v>
      </c>
      <c r="N476" s="118" t="s">
        <v>68</v>
      </c>
      <c r="O476" s="118" t="s">
        <v>247</v>
      </c>
      <c r="P476" s="118" t="s">
        <v>247</v>
      </c>
      <c r="Q476" s="136"/>
      <c r="R476" s="136"/>
      <c r="S476" s="136">
        <v>1932</v>
      </c>
      <c r="T476" s="118">
        <f t="shared" si="35"/>
        <v>1932</v>
      </c>
      <c r="U476" s="118" t="s">
        <v>41</v>
      </c>
      <c r="V476" s="151">
        <v>30</v>
      </c>
      <c r="W476" s="120" cm="1">
        <f t="array" ref="W476">IF(U476="",0,_xlfn.XLOOKUP(E476&amp;U476&amp;F476,tab_act&amp;tab_mod&amp;tab_act1,tab_riz)*V476*T476/MGMT)</f>
        <v>0</v>
      </c>
      <c r="X476" s="121" cm="1">
        <f t="array" ref="X476">IF(U476="",0,_xlfn.XLOOKUP(E476&amp;U476&amp;F476,tab_act&amp;tab_mod&amp;tab_act1,tab_mc)*V476*T476/MGMT)</f>
        <v>0</v>
      </c>
      <c r="Y476" s="121" cm="1">
        <f t="array" ref="Y476">IF(U476="",0,_xlfn.XLOOKUP(E476&amp;U476&amp;F476,tab_act&amp;tab_mod&amp;tab_act1,tab_sor)*V476*T476/MGMT)</f>
        <v>0</v>
      </c>
      <c r="Z476" s="121" cm="1">
        <f t="array" ref="Z476">IF(U476="",0,_xlfn.XLOOKUP(E476&amp;U476&amp;F476,tab_act&amp;tab_mod&amp;tab_act1,tab_mg)*V476*T476/MGMT)</f>
        <v>0</v>
      </c>
      <c r="AA476" s="122" cm="1">
        <f t="array" ref="AA476">IF(U476="",0,IF(U476="hybrid-Sch",_xlfn.XLOOKUP(E476&amp;U476&amp;F476,tab_act&amp;tab_mod&amp;tab_act1,tab_ls)*SchLS*T476/MGMT,_xlfn.XLOOKUP(E476&amp;U476&amp;F476,tab_act&amp;tab_mod&amp;tab_act1,tab_ls)*V476*T476/MGMT))</f>
        <v>0</v>
      </c>
      <c r="AB476" s="122" cm="1">
        <f t="array" ref="AB476">IF(U476="",0,_xlfn.XLOOKUP(E476&amp;U476&amp;F476,tab_act&amp;tab_mod&amp;tab_act1,tab_hu)*V476*T476/MGMT)</f>
        <v>0</v>
      </c>
      <c r="AC476" s="122" cm="1">
        <f t="array" ref="AC476">IF(U476="",0,_xlfn.XLOOKUP(E476&amp;U476&amp;F476,tab_act&amp;tab_mod&amp;tab_act1,tab_mnp)*V476*T476/MGMT)</f>
        <v>0</v>
      </c>
      <c r="AD476" s="122" cm="1">
        <f t="array" ref="AD476">IF(U476="",0,_xlfn.XLOOKUP(E476&amp;U476&amp;F476,tab_act&amp;tab_mod&amp;tab_act1,tab_Psup)*V476*T476/MGMT)</f>
        <v>0</v>
      </c>
      <c r="AE476" s="122" cm="1">
        <f t="array" ref="AE476">IF(U476="",0,_xlfn.XLOOKUP(E476&amp;U476&amp;F476,tab_act&amp;tab_mod&amp;tab_act1,tab_csb1)*V476*T476/MGMT)</f>
        <v>0</v>
      </c>
      <c r="AF476" s="122" cm="1">
        <f t="array" ref="AF476">IF(U476="",0,_xlfn.XLOOKUP(E476&amp;U476&amp;F476,tab_act&amp;tab_mod&amp;tab_act1,tab_csb2)*V476*T476/MGMT)</f>
        <v>0</v>
      </c>
      <c r="AG476" s="122" cm="1">
        <f t="array" ref="AG476">IF(U476="",0,_xlfn.XLOOKUP(E476&amp;U476&amp;F476,tab_act&amp;tab_mod&amp;tab_act1,tab_pdoz)*V476*T476/MGMT)</f>
        <v>2.8980000000000001</v>
      </c>
      <c r="AH476" s="122" cm="1">
        <f t="array" ref="AH476">IF(U476="",0,_xlfn.XLOOKUP(E476&amp;U476&amp;F476,tab_act&amp;tab_mod&amp;tab_act1,tab_lns)*V476*T476/MGMT)</f>
        <v>0</v>
      </c>
      <c r="AI476" s="123">
        <f t="shared" si="36"/>
        <v>2.8980000000000001</v>
      </c>
      <c r="AJ476" s="124" cm="1">
        <f t="array" ref="AJ476">IF(U476="",0,_xlfn.XLOOKUP(E476&amp;U476&amp;F476,tab_act&amp;tab_mod&amp;tab_act1,tab_cash)*T476)</f>
        <v>0</v>
      </c>
      <c r="AK476" s="139" cm="1">
        <f t="array" ref="AK476">IF(B476="",0,IF(C476="",0,AJ476/_xlfn.XLOOKUP(B476&amp;C476,RMth&amp;RYr,RAr)))</f>
        <v>0</v>
      </c>
      <c r="AL476" s="90"/>
      <c r="AM476" s="90"/>
      <c r="AN476" s="141" t="s">
        <v>248</v>
      </c>
    </row>
    <row r="477" spans="2:40" x14ac:dyDescent="0.35">
      <c r="B477" s="126" t="s">
        <v>130</v>
      </c>
      <c r="C477" s="127">
        <v>2023</v>
      </c>
      <c r="D477" s="127" t="s">
        <v>100</v>
      </c>
      <c r="E477" s="128" t="s">
        <v>39</v>
      </c>
      <c r="F477" s="128" t="s">
        <v>22</v>
      </c>
      <c r="G477" s="128" t="s">
        <v>159</v>
      </c>
      <c r="H477" s="127"/>
      <c r="I477" s="128" t="s">
        <v>213</v>
      </c>
      <c r="J477" s="128" t="s">
        <v>91</v>
      </c>
      <c r="K477" s="128" t="s">
        <v>97</v>
      </c>
      <c r="L477" s="128" t="s">
        <v>249</v>
      </c>
      <c r="M477" s="128" t="s">
        <v>158</v>
      </c>
      <c r="N477" s="128" t="s">
        <v>68</v>
      </c>
      <c r="O477" s="128" t="s">
        <v>250</v>
      </c>
      <c r="P477" s="128" t="s">
        <v>250</v>
      </c>
      <c r="Q477" s="136"/>
      <c r="R477" s="136"/>
      <c r="S477" s="136">
        <v>1861</v>
      </c>
      <c r="T477" s="118">
        <f t="shared" si="35"/>
        <v>1861</v>
      </c>
      <c r="U477" s="128" t="s">
        <v>41</v>
      </c>
      <c r="V477" s="152">
        <v>30</v>
      </c>
      <c r="W477" s="120" cm="1">
        <f t="array" ref="W477">IF(U477="",0,_xlfn.XLOOKUP(E477&amp;U477&amp;F477,tab_act&amp;tab_mod&amp;tab_act1,tab_riz)*V477*T477/MGMT)</f>
        <v>0</v>
      </c>
      <c r="X477" s="121" cm="1">
        <f t="array" ref="X477">IF(U477="",0,_xlfn.XLOOKUP(E477&amp;U477&amp;F477,tab_act&amp;tab_mod&amp;tab_act1,tab_mc)*V477*T477/MGMT)</f>
        <v>0</v>
      </c>
      <c r="Y477" s="121" cm="1">
        <f t="array" ref="Y477">IF(U477="",0,_xlfn.XLOOKUP(E477&amp;U477&amp;F477,tab_act&amp;tab_mod&amp;tab_act1,tab_sor)*V477*T477/MGMT)</f>
        <v>0</v>
      </c>
      <c r="Z477" s="121" cm="1">
        <f t="array" ref="Z477">IF(U477="",0,_xlfn.XLOOKUP(E477&amp;U477&amp;F477,tab_act&amp;tab_mod&amp;tab_act1,tab_mg)*V477*T477/MGMT)</f>
        <v>0</v>
      </c>
      <c r="AA477" s="122" cm="1">
        <f t="array" ref="AA477">IF(U477="",0,IF(U477="hybrid-Sch",_xlfn.XLOOKUP(E477&amp;U477&amp;F477,tab_act&amp;tab_mod&amp;tab_act1,tab_ls)*SchLS*T477/MGMT,_xlfn.XLOOKUP(E477&amp;U477&amp;F477,tab_act&amp;tab_mod&amp;tab_act1,tab_ls)*V477*T477/MGMT))</f>
        <v>0</v>
      </c>
      <c r="AB477" s="122" cm="1">
        <f t="array" ref="AB477">IF(U477="",0,_xlfn.XLOOKUP(E477&amp;U477&amp;F477,tab_act&amp;tab_mod&amp;tab_act1,tab_hu)*V477*T477/MGMT)</f>
        <v>0</v>
      </c>
      <c r="AC477" s="122" cm="1">
        <f t="array" ref="AC477">IF(U477="",0,_xlfn.XLOOKUP(E477&amp;U477&amp;F477,tab_act&amp;tab_mod&amp;tab_act1,tab_mnp)*V477*T477/MGMT)</f>
        <v>0</v>
      </c>
      <c r="AD477" s="122" cm="1">
        <f t="array" ref="AD477">IF(U477="",0,_xlfn.XLOOKUP(E477&amp;U477&amp;F477,tab_act&amp;tab_mod&amp;tab_act1,tab_Psup)*V477*T477/MGMT)</f>
        <v>0</v>
      </c>
      <c r="AE477" s="122" cm="1">
        <f t="array" ref="AE477">IF(U477="",0,_xlfn.XLOOKUP(E477&amp;U477&amp;F477,tab_act&amp;tab_mod&amp;tab_act1,tab_csb1)*V477*T477/MGMT)</f>
        <v>0</v>
      </c>
      <c r="AF477" s="122" cm="1">
        <f t="array" ref="AF477">IF(U477="",0,_xlfn.XLOOKUP(E477&amp;U477&amp;F477,tab_act&amp;tab_mod&amp;tab_act1,tab_csb2)*V477*T477/MGMT)</f>
        <v>0</v>
      </c>
      <c r="AG477" s="122" cm="1">
        <f t="array" ref="AG477">IF(U477="",0,_xlfn.XLOOKUP(E477&amp;U477&amp;F477,tab_act&amp;tab_mod&amp;tab_act1,tab_pdoz)*V477*T477/MGMT)</f>
        <v>2.7915000000000001</v>
      </c>
      <c r="AH477" s="122" cm="1">
        <f t="array" ref="AH477">IF(U477="",0,_xlfn.XLOOKUP(E477&amp;U477&amp;F477,tab_act&amp;tab_mod&amp;tab_act1,tab_lns)*V477*T477/MGMT)</f>
        <v>0</v>
      </c>
      <c r="AI477" s="123">
        <f t="shared" si="36"/>
        <v>2.7915000000000001</v>
      </c>
      <c r="AJ477" s="124" cm="1">
        <f t="array" ref="AJ477">IF(U477="",0,_xlfn.XLOOKUP(E477&amp;U477&amp;F477,tab_act&amp;tab_mod&amp;tab_act1,tab_cash)*T477)</f>
        <v>0</v>
      </c>
      <c r="AK477" s="139" cm="1">
        <f t="array" ref="AK477">IF(B477="",0,IF(C477="",0,AJ477/_xlfn.XLOOKUP(B477&amp;C477,RMth&amp;RYr,RAr)))</f>
        <v>0</v>
      </c>
      <c r="AL477" s="90"/>
      <c r="AM477" s="90"/>
      <c r="AN477" s="141" t="s">
        <v>248</v>
      </c>
    </row>
  </sheetData>
  <autoFilter ref="A3:AN477" xr:uid="{5E2F787F-D738-4E97-8E0D-FA727217020A}">
    <sortState xmlns:xlrd2="http://schemas.microsoft.com/office/spreadsheetml/2017/richdata2" ref="A4:AN419">
      <sortCondition ref="B3"/>
    </sortState>
  </autoFilter>
  <phoneticPr fontId="12" type="noConversion"/>
  <dataValidations count="4">
    <dataValidation type="list" allowBlank="1" showInputMessage="1" showErrorMessage="1" sqref="N4:N161 N320:N477" xr:uid="{00454159-1975-4FF0-BC66-B0772B6F6FE5}">
      <formula1>partner</formula1>
    </dataValidation>
    <dataValidation type="list" allowBlank="1" showInputMessage="1" showErrorMessage="1" sqref="U4:U161 U320:U477" xr:uid="{457972A2-F801-4151-9A28-333F1D094BC2}">
      <formula1>madmod</formula1>
    </dataValidation>
    <dataValidation type="list" allowBlank="1" showInputMessage="1" showErrorMessage="1" sqref="C4:C161 C320:C477" xr:uid="{3C292E3F-9CA4-4771-B547-F7251A502029}">
      <formula1>mg_yr</formula1>
    </dataValidation>
    <dataValidation type="list" allowBlank="1" showInputMessage="1" showErrorMessage="1" sqref="B4:B161 B316:B477" xr:uid="{871B530B-7333-4EAD-9290-C89A28A1EA6D}">
      <formula1>Mg_mth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250A-1059-479D-81BB-44E2EE8DE8C1}">
  <sheetPr codeName="Sheet3"/>
  <dimension ref="B2:Y182"/>
  <sheetViews>
    <sheetView showGridLines="0" zoomScale="85" zoomScaleNormal="85" workbookViewId="0">
      <pane xSplit="2" ySplit="2" topLeftCell="C164" activePane="bottomRight" state="frozen"/>
      <selection activeCell="M10" sqref="M10"/>
      <selection pane="topRight" activeCell="M10" sqref="M10"/>
      <selection pane="bottomLeft" activeCell="M10" sqref="M10"/>
      <selection pane="bottomRight" activeCell="Q25" sqref="Q25"/>
    </sheetView>
  </sheetViews>
  <sheetFormatPr defaultRowHeight="14.5" x14ac:dyDescent="0.35"/>
  <cols>
    <col min="1" max="1" width="3.6328125" customWidth="1"/>
    <col min="5" max="5" width="33.54296875" bestFit="1" customWidth="1"/>
    <col min="6" max="6" width="12" customWidth="1"/>
    <col min="7" max="7" width="11.08984375" customWidth="1"/>
    <col min="9" max="9" width="9.54296875" customWidth="1"/>
    <col min="10" max="10" width="6.90625" customWidth="1"/>
    <col min="11" max="11" width="10.08984375" customWidth="1"/>
    <col min="12" max="12" width="7.453125" customWidth="1"/>
    <col min="14" max="14" width="7.453125" customWidth="1"/>
    <col min="19" max="19" width="17.08984375" bestFit="1" customWidth="1"/>
    <col min="20" max="20" width="13.453125" style="87" bestFit="1" customWidth="1"/>
    <col min="21" max="21" width="11.453125" customWidth="1"/>
    <col min="22" max="22" width="11.90625" customWidth="1"/>
    <col min="23" max="23" width="16.08984375" style="28" customWidth="1"/>
  </cols>
  <sheetData>
    <row r="2" spans="2:25" x14ac:dyDescent="0.35">
      <c r="B2" s="5" t="s">
        <v>0</v>
      </c>
      <c r="C2" s="5" t="s">
        <v>43</v>
      </c>
      <c r="D2" s="5" t="s">
        <v>118</v>
      </c>
      <c r="E2" s="6" t="s">
        <v>1</v>
      </c>
      <c r="F2" s="6" t="s">
        <v>37</v>
      </c>
      <c r="G2" s="10" t="s">
        <v>42</v>
      </c>
      <c r="H2" s="7" t="s">
        <v>2</v>
      </c>
      <c r="I2" s="7" t="s">
        <v>3</v>
      </c>
      <c r="J2" s="7" t="s">
        <v>32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36</v>
      </c>
      <c r="P2" s="7" t="s">
        <v>35</v>
      </c>
      <c r="Q2" s="7" t="s">
        <v>33</v>
      </c>
      <c r="R2" s="7" t="s">
        <v>34</v>
      </c>
      <c r="S2" s="7" t="s">
        <v>8</v>
      </c>
      <c r="T2" s="84" t="s">
        <v>9</v>
      </c>
      <c r="U2" s="7" t="s">
        <v>10</v>
      </c>
      <c r="V2" s="7" t="s">
        <v>11</v>
      </c>
      <c r="W2" s="81" t="s">
        <v>155</v>
      </c>
    </row>
    <row r="3" spans="2:25" x14ac:dyDescent="0.35">
      <c r="B3" s="1" t="s">
        <v>12</v>
      </c>
      <c r="C3" s="50" t="s">
        <v>128</v>
      </c>
      <c r="D3" s="44">
        <v>2023</v>
      </c>
      <c r="E3" s="34" t="s">
        <v>135</v>
      </c>
      <c r="F3" s="8" t="s">
        <v>40</v>
      </c>
      <c r="G3" s="30" t="s">
        <v>9</v>
      </c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85" cm="1">
        <f t="array" ref="T3">IF(C3="",0,IF(W3="",0,W3/_xlfn.XLOOKUP(C3&amp;D3,RMth&amp;RYr,RAr)))</f>
        <v>34.219075081213269</v>
      </c>
      <c r="U3" s="20">
        <v>30</v>
      </c>
      <c r="V3" s="2">
        <v>15</v>
      </c>
      <c r="W3" s="82">
        <v>150000</v>
      </c>
      <c r="Y3" s="72"/>
    </row>
    <row r="4" spans="2:25" x14ac:dyDescent="0.35">
      <c r="B4" s="1" t="s">
        <v>12</v>
      </c>
      <c r="C4" s="50" t="s">
        <v>128</v>
      </c>
      <c r="D4" s="44">
        <v>2023</v>
      </c>
      <c r="E4" s="34" t="s">
        <v>135</v>
      </c>
      <c r="F4" s="8" t="s">
        <v>40</v>
      </c>
      <c r="G4" s="30" t="s">
        <v>41</v>
      </c>
      <c r="H4" s="14">
        <f>400*5</f>
        <v>2000</v>
      </c>
      <c r="I4" s="15"/>
      <c r="J4" s="15"/>
      <c r="K4" s="15"/>
      <c r="L4" s="15">
        <f>60*5</f>
        <v>300</v>
      </c>
      <c r="M4" s="15">
        <f>35*5</f>
        <v>175</v>
      </c>
      <c r="N4" s="15"/>
      <c r="O4" s="15"/>
      <c r="P4" s="15"/>
      <c r="Q4" s="15"/>
      <c r="R4" s="15"/>
      <c r="S4" s="16"/>
      <c r="T4" s="85" cm="1">
        <f t="array" ref="T4">IF(C4="",0,IF(W4="",0,W4/_xlfn.XLOOKUP(C4&amp;D4,RMth&amp;RYr,RAr)))</f>
        <v>0</v>
      </c>
      <c r="U4" s="21">
        <v>30</v>
      </c>
      <c r="V4" s="2">
        <v>15</v>
      </c>
      <c r="W4" s="82"/>
    </row>
    <row r="5" spans="2:25" x14ac:dyDescent="0.35">
      <c r="B5" s="1" t="s">
        <v>12</v>
      </c>
      <c r="C5" s="50" t="s">
        <v>128</v>
      </c>
      <c r="D5" s="44">
        <v>2023</v>
      </c>
      <c r="E5" s="34" t="s">
        <v>136</v>
      </c>
      <c r="F5" s="8" t="s">
        <v>40</v>
      </c>
      <c r="G5" s="30" t="s">
        <v>9</v>
      </c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85" cm="1">
        <f t="array" ref="T5">IF(C5="",0,IF(W5="",0,W5/_xlfn.XLOOKUP(C5&amp;D5,RMth&amp;RYr,RAr)))</f>
        <v>27.375260064970615</v>
      </c>
      <c r="U5" s="21">
        <v>30</v>
      </c>
      <c r="V5" s="2">
        <v>15</v>
      </c>
      <c r="W5" s="82">
        <v>120000</v>
      </c>
    </row>
    <row r="6" spans="2:25" x14ac:dyDescent="0.35">
      <c r="B6" s="1" t="s">
        <v>12</v>
      </c>
      <c r="C6" s="50" t="s">
        <v>128</v>
      </c>
      <c r="D6" s="44">
        <v>2023</v>
      </c>
      <c r="E6" s="34" t="s">
        <v>136</v>
      </c>
      <c r="F6" s="8" t="s">
        <v>40</v>
      </c>
      <c r="G6" s="30" t="s">
        <v>41</v>
      </c>
      <c r="H6" s="14">
        <f>400*5</f>
        <v>2000</v>
      </c>
      <c r="I6" s="15"/>
      <c r="J6" s="15"/>
      <c r="K6" s="15"/>
      <c r="L6" s="15">
        <f>60*5</f>
        <v>300</v>
      </c>
      <c r="M6" s="15">
        <f>35*5</f>
        <v>175</v>
      </c>
      <c r="N6" s="15"/>
      <c r="O6" s="15"/>
      <c r="P6" s="15"/>
      <c r="Q6" s="15"/>
      <c r="R6" s="15"/>
      <c r="S6" s="16"/>
      <c r="T6" s="85" cm="1">
        <f t="array" ref="T6">IF(C6="",0,IF(W6="",0,W6/_xlfn.XLOOKUP(C6&amp;D6,RMth&amp;RYr,RAr)))</f>
        <v>0</v>
      </c>
      <c r="U6" s="21">
        <v>30</v>
      </c>
      <c r="V6" s="2">
        <v>15</v>
      </c>
      <c r="W6" s="82"/>
    </row>
    <row r="7" spans="2:25" x14ac:dyDescent="0.35">
      <c r="B7" s="1" t="s">
        <v>12</v>
      </c>
      <c r="C7" s="50" t="s">
        <v>128</v>
      </c>
      <c r="D7" s="44">
        <v>2023</v>
      </c>
      <c r="E7" t="s">
        <v>18</v>
      </c>
      <c r="F7" s="8" t="s">
        <v>40</v>
      </c>
      <c r="G7" s="30" t="s">
        <v>41</v>
      </c>
      <c r="H7" s="14">
        <f>400*5</f>
        <v>2000</v>
      </c>
      <c r="I7" s="15"/>
      <c r="J7" s="15"/>
      <c r="K7" s="15"/>
      <c r="L7" s="15">
        <f>60*5</f>
        <v>300</v>
      </c>
      <c r="M7" s="15"/>
      <c r="N7" s="15"/>
      <c r="O7" s="15"/>
      <c r="P7" s="15"/>
      <c r="Q7" s="15"/>
      <c r="R7" s="15"/>
      <c r="S7" s="16"/>
      <c r="T7" s="85" cm="1">
        <f t="array" ref="T7">IF(C7="",0,IF(W7="",0,W7/_xlfn.XLOOKUP(C7&amp;D7,RMth&amp;RYr,RAr)))</f>
        <v>0</v>
      </c>
      <c r="U7" s="21">
        <v>30</v>
      </c>
      <c r="V7" s="2">
        <v>15</v>
      </c>
      <c r="W7" s="82"/>
    </row>
    <row r="8" spans="2:25" x14ac:dyDescent="0.35">
      <c r="B8" s="1" t="s">
        <v>29</v>
      </c>
      <c r="C8" s="50" t="s">
        <v>128</v>
      </c>
      <c r="D8" s="44">
        <v>2023</v>
      </c>
      <c r="E8" t="s">
        <v>30</v>
      </c>
      <c r="F8" s="8" t="s">
        <v>40</v>
      </c>
      <c r="G8" s="30" t="s">
        <v>41</v>
      </c>
      <c r="H8" s="14">
        <f>400*5</f>
        <v>2000</v>
      </c>
      <c r="I8" s="15"/>
      <c r="J8" s="15"/>
      <c r="K8" s="15"/>
      <c r="L8" s="15">
        <f>60*5</f>
        <v>300</v>
      </c>
      <c r="M8" s="15"/>
      <c r="N8" s="15"/>
      <c r="O8" s="15"/>
      <c r="P8" s="15"/>
      <c r="Q8" s="15"/>
      <c r="R8" s="15"/>
      <c r="S8" s="16"/>
      <c r="T8" s="85" cm="1">
        <f t="array" ref="T8">IF(C8="",0,IF(W8="",0,W8/_xlfn.XLOOKUP(C8&amp;D8,RMth&amp;RYr,RAr)))</f>
        <v>0</v>
      </c>
      <c r="U8" s="21">
        <v>20</v>
      </c>
      <c r="V8" s="2"/>
      <c r="W8" s="82"/>
    </row>
    <row r="9" spans="2:25" x14ac:dyDescent="0.35">
      <c r="B9" s="1" t="s">
        <v>29</v>
      </c>
      <c r="C9" s="50" t="s">
        <v>128</v>
      </c>
      <c r="D9" s="44">
        <v>2023</v>
      </c>
      <c r="E9" t="s">
        <v>31</v>
      </c>
      <c r="F9" s="8" t="s">
        <v>40</v>
      </c>
      <c r="G9" s="30" t="s">
        <v>9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  <c r="T9" s="85" cm="1">
        <f t="array" ref="T9">IF(C9="",0,IF(W9="",0,W9/_xlfn.XLOOKUP(C9&amp;D9,RMth&amp;RYr,RAr)))</f>
        <v>0</v>
      </c>
      <c r="U9" s="21">
        <v>20</v>
      </c>
      <c r="V9" s="2"/>
      <c r="W9" s="82"/>
    </row>
    <row r="10" spans="2:25" x14ac:dyDescent="0.35">
      <c r="B10" s="1" t="s">
        <v>12</v>
      </c>
      <c r="C10" s="50" t="s">
        <v>128</v>
      </c>
      <c r="D10" s="44">
        <v>2023</v>
      </c>
      <c r="E10" s="34" t="s">
        <v>98</v>
      </c>
      <c r="F10" s="8" t="s">
        <v>39</v>
      </c>
      <c r="G10" s="30" t="s">
        <v>41</v>
      </c>
      <c r="H10" s="14"/>
      <c r="I10" s="15"/>
      <c r="J10" s="15"/>
      <c r="K10" s="15"/>
      <c r="L10" s="15"/>
      <c r="M10" s="15"/>
      <c r="N10" s="15"/>
      <c r="O10" s="15">
        <v>100</v>
      </c>
      <c r="P10" s="15"/>
      <c r="Q10" s="15"/>
      <c r="R10" s="15"/>
      <c r="S10" s="16"/>
      <c r="T10" s="85" cm="1">
        <f t="array" ref="T10">IF(C10="",0,IF(W10="",0,W10/_xlfn.XLOOKUP(C10&amp;D10,RMth&amp;RYr,RAr)))</f>
        <v>0</v>
      </c>
      <c r="U10" s="21">
        <v>30</v>
      </c>
      <c r="V10" s="2"/>
      <c r="W10" s="82"/>
    </row>
    <row r="11" spans="2:25" x14ac:dyDescent="0.35">
      <c r="B11" s="1" t="s">
        <v>12</v>
      </c>
      <c r="C11" s="50" t="s">
        <v>128</v>
      </c>
      <c r="D11" s="44">
        <v>2023</v>
      </c>
      <c r="E11" s="34" t="s">
        <v>150</v>
      </c>
      <c r="F11" s="8" t="s">
        <v>39</v>
      </c>
      <c r="G11" s="30" t="s">
        <v>41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>
        <v>50</v>
      </c>
      <c r="S11" s="16"/>
      <c r="T11" s="85" cm="1">
        <f t="array" ref="T11">IF(C11="",0,IF(W11="",0,W11/_xlfn.XLOOKUP(C11&amp;D11,RMth&amp;RYr,RAr)))</f>
        <v>0</v>
      </c>
      <c r="U11" s="21"/>
      <c r="V11" s="2"/>
      <c r="W11" s="82"/>
    </row>
    <row r="12" spans="2:25" x14ac:dyDescent="0.35">
      <c r="B12" s="1" t="s">
        <v>12</v>
      </c>
      <c r="C12" s="50" t="s">
        <v>128</v>
      </c>
      <c r="D12" s="44">
        <v>2023</v>
      </c>
      <c r="E12" s="34" t="s">
        <v>151</v>
      </c>
      <c r="F12" s="8" t="s">
        <v>39</v>
      </c>
      <c r="G12" s="30" t="s">
        <v>41</v>
      </c>
      <c r="H12" s="14"/>
      <c r="I12" s="15"/>
      <c r="J12" s="15"/>
      <c r="K12" s="15"/>
      <c r="L12" s="15"/>
      <c r="M12" s="15">
        <v>20</v>
      </c>
      <c r="N12" s="15"/>
      <c r="O12" s="15"/>
      <c r="P12" s="15">
        <v>200</v>
      </c>
      <c r="Q12" s="15"/>
      <c r="R12" s="15"/>
      <c r="S12" s="16"/>
      <c r="T12" s="85" cm="1">
        <f t="array" ref="T12">IF(C12="",0,IF(W12="",0,W12/_xlfn.XLOOKUP(C12&amp;D12,RMth&amp;RYr,RAr)))</f>
        <v>0</v>
      </c>
      <c r="U12" s="21"/>
      <c r="V12" s="2"/>
      <c r="W12" s="82"/>
    </row>
    <row r="13" spans="2:25" x14ac:dyDescent="0.35">
      <c r="B13" s="1" t="s">
        <v>12</v>
      </c>
      <c r="C13" s="50" t="s">
        <v>128</v>
      </c>
      <c r="D13" s="44">
        <v>2023</v>
      </c>
      <c r="E13" s="34" t="s">
        <v>156</v>
      </c>
      <c r="F13" s="8" t="s">
        <v>39</v>
      </c>
      <c r="G13" s="30" t="s">
        <v>41</v>
      </c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>
        <v>50</v>
      </c>
      <c r="S13" s="16"/>
      <c r="T13" s="85" cm="1">
        <f t="array" ref="T13">IF(C13="",0,IF(W13="",0,W13/_xlfn.XLOOKUP(C13&amp;D13,RMth&amp;RYr,RAr)))</f>
        <v>0</v>
      </c>
      <c r="U13" s="21"/>
      <c r="V13" s="2"/>
      <c r="W13" s="82"/>
    </row>
    <row r="14" spans="2:25" x14ac:dyDescent="0.35">
      <c r="B14" s="1" t="s">
        <v>12</v>
      </c>
      <c r="C14" s="50" t="s">
        <v>128</v>
      </c>
      <c r="D14" s="44">
        <v>2023</v>
      </c>
      <c r="E14" s="34" t="s">
        <v>157</v>
      </c>
      <c r="F14" s="8" t="s">
        <v>39</v>
      </c>
      <c r="G14" s="30" t="s">
        <v>41</v>
      </c>
      <c r="H14" s="14"/>
      <c r="I14" s="15"/>
      <c r="J14" s="15"/>
      <c r="K14" s="15"/>
      <c r="L14" s="15"/>
      <c r="M14" s="15">
        <v>20</v>
      </c>
      <c r="N14" s="15"/>
      <c r="O14" s="15"/>
      <c r="P14" s="15">
        <v>200</v>
      </c>
      <c r="Q14" s="15"/>
      <c r="R14" s="15"/>
      <c r="S14" s="16"/>
      <c r="T14" s="85" cm="1">
        <f t="array" ref="T14">IF(C14="",0,IF(W14="",0,W14/_xlfn.XLOOKUP(C14&amp;D14,RMth&amp;RYr,RAr)))</f>
        <v>0</v>
      </c>
      <c r="U14" s="21"/>
      <c r="V14" s="2"/>
      <c r="W14" s="82"/>
    </row>
    <row r="15" spans="2:25" x14ac:dyDescent="0.35">
      <c r="B15" s="1" t="s">
        <v>12</v>
      </c>
      <c r="C15" s="50" t="s">
        <v>128</v>
      </c>
      <c r="D15" s="44">
        <v>2023</v>
      </c>
      <c r="E15" t="s">
        <v>14</v>
      </c>
      <c r="F15" s="8" t="s">
        <v>39</v>
      </c>
      <c r="G15" s="30" t="s">
        <v>41</v>
      </c>
      <c r="H15" s="14"/>
      <c r="I15" s="15"/>
      <c r="J15" s="15"/>
      <c r="K15" s="15"/>
      <c r="L15" s="15"/>
      <c r="M15" s="15"/>
      <c r="N15" s="15"/>
      <c r="O15" s="15"/>
      <c r="P15" s="15"/>
      <c r="Q15" s="15">
        <v>200</v>
      </c>
      <c r="R15" s="15"/>
      <c r="S15" s="16"/>
      <c r="T15" s="85" cm="1">
        <f t="array" ref="T15">IF(C15="",0,IF(W15="",0,W15/_xlfn.XLOOKUP(C15&amp;D15,RMth&amp;RYr,RAr)))</f>
        <v>0</v>
      </c>
      <c r="U15" s="21">
        <v>30</v>
      </c>
      <c r="V15" s="2"/>
      <c r="W15" s="82"/>
    </row>
    <row r="16" spans="2:25" x14ac:dyDescent="0.35">
      <c r="B16" s="1" t="s">
        <v>12</v>
      </c>
      <c r="C16" s="50" t="s">
        <v>128</v>
      </c>
      <c r="D16" s="44">
        <v>2023</v>
      </c>
      <c r="E16" s="34" t="s">
        <v>15</v>
      </c>
      <c r="F16" s="8" t="s">
        <v>39</v>
      </c>
      <c r="G16" s="30" t="s">
        <v>9</v>
      </c>
      <c r="H16" s="14"/>
      <c r="I16" s="15"/>
      <c r="J16" s="15"/>
      <c r="K16" s="15"/>
      <c r="L16" s="15"/>
      <c r="M16" s="15">
        <v>20</v>
      </c>
      <c r="N16" s="15"/>
      <c r="O16" s="15"/>
      <c r="P16" s="15">
        <v>200</v>
      </c>
      <c r="Q16" s="15"/>
      <c r="R16" s="15"/>
      <c r="S16" s="16"/>
      <c r="T16" s="85" cm="1">
        <f t="array" ref="T16">IF(C16="",0,IF(W16="",0,W16/_xlfn.XLOOKUP(C16&amp;D16,RMth&amp;RYr,RAr)))</f>
        <v>22.812716720808844</v>
      </c>
      <c r="U16" s="21">
        <v>30</v>
      </c>
      <c r="V16" s="2"/>
      <c r="W16" s="82">
        <v>100000</v>
      </c>
    </row>
    <row r="17" spans="2:23" x14ac:dyDescent="0.35">
      <c r="B17" s="1" t="s">
        <v>12</v>
      </c>
      <c r="C17" s="50" t="s">
        <v>128</v>
      </c>
      <c r="D17" s="44">
        <v>2023</v>
      </c>
      <c r="E17" t="s">
        <v>15</v>
      </c>
      <c r="F17" s="8" t="s">
        <v>39</v>
      </c>
      <c r="G17" s="30" t="s">
        <v>41</v>
      </c>
      <c r="H17" s="14"/>
      <c r="I17" s="15"/>
      <c r="J17" s="15"/>
      <c r="K17" s="15"/>
      <c r="L17" s="15"/>
      <c r="M17" s="15">
        <v>20</v>
      </c>
      <c r="N17" s="15"/>
      <c r="O17" s="15"/>
      <c r="P17" s="15">
        <v>200</v>
      </c>
      <c r="Q17" s="15"/>
      <c r="R17" s="15"/>
      <c r="S17" s="16"/>
      <c r="T17" s="85" cm="1">
        <f t="array" ref="T17">IF(C17="",0,IF(W17="",0,W17/_xlfn.XLOOKUP(C17&amp;D17,RMth&amp;RYr,RAr)))</f>
        <v>0</v>
      </c>
      <c r="U17" s="21">
        <v>30</v>
      </c>
      <c r="V17" s="2"/>
      <c r="W17" s="82"/>
    </row>
    <row r="18" spans="2:23" x14ac:dyDescent="0.35">
      <c r="B18" s="1" t="s">
        <v>12</v>
      </c>
      <c r="C18" s="50" t="s">
        <v>128</v>
      </c>
      <c r="D18" s="44">
        <v>2023</v>
      </c>
      <c r="E18" t="s">
        <v>16</v>
      </c>
      <c r="F18" s="8" t="s">
        <v>39</v>
      </c>
      <c r="G18" s="30" t="s">
        <v>41</v>
      </c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>
        <v>50</v>
      </c>
      <c r="S18" s="16"/>
      <c r="T18" s="85" cm="1">
        <f t="array" ref="T18">IF(C18="",0,IF(W18="",0,W18/_xlfn.XLOOKUP(C18&amp;D18,RMth&amp;RYr,RAr)))</f>
        <v>0</v>
      </c>
      <c r="U18" s="21">
        <v>30</v>
      </c>
      <c r="V18" s="2"/>
      <c r="W18" s="82"/>
    </row>
    <row r="19" spans="2:23" x14ac:dyDescent="0.35">
      <c r="B19" s="1" t="s">
        <v>12</v>
      </c>
      <c r="C19" s="50" t="s">
        <v>128</v>
      </c>
      <c r="D19" s="44">
        <v>2023</v>
      </c>
      <c r="E19" t="s">
        <v>17</v>
      </c>
      <c r="F19" s="8" t="s">
        <v>39</v>
      </c>
      <c r="G19" s="30" t="s">
        <v>41</v>
      </c>
      <c r="H19" s="14"/>
      <c r="I19" s="15"/>
      <c r="J19" s="15"/>
      <c r="K19" s="15"/>
      <c r="L19" s="15"/>
      <c r="M19" s="15">
        <v>20</v>
      </c>
      <c r="N19" s="15"/>
      <c r="O19" s="15"/>
      <c r="P19" s="15">
        <v>200</v>
      </c>
      <c r="Q19" s="15">
        <v>200</v>
      </c>
      <c r="R19" s="15"/>
      <c r="S19" s="16"/>
      <c r="T19" s="85" cm="1">
        <f t="array" ref="T19">IF(C19="",0,IF(W19="",0,W19/_xlfn.XLOOKUP(C19&amp;D19,RMth&amp;RYr,RAr)))</f>
        <v>0</v>
      </c>
      <c r="U19" s="21">
        <v>30</v>
      </c>
      <c r="V19" s="2"/>
      <c r="W19" s="82"/>
    </row>
    <row r="20" spans="2:23" x14ac:dyDescent="0.35">
      <c r="B20" s="1" t="s">
        <v>19</v>
      </c>
      <c r="C20" s="50" t="s">
        <v>128</v>
      </c>
      <c r="D20" s="44">
        <v>2023</v>
      </c>
      <c r="E20" t="s">
        <v>20</v>
      </c>
      <c r="F20" s="8" t="s">
        <v>39</v>
      </c>
      <c r="G20" s="30" t="s">
        <v>41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>
        <v>20</v>
      </c>
      <c r="T20" s="85" cm="1">
        <f t="array" ref="T20">IF(C20="",0,IF(W20="",0,W20/_xlfn.XLOOKUP(C20&amp;D20,RMth&amp;RYr,RAr)))</f>
        <v>0</v>
      </c>
      <c r="U20" s="21">
        <v>30</v>
      </c>
      <c r="V20" s="2"/>
      <c r="W20" s="82"/>
    </row>
    <row r="21" spans="2:23" x14ac:dyDescent="0.35">
      <c r="B21" s="1" t="s">
        <v>19</v>
      </c>
      <c r="C21" s="50" t="s">
        <v>128</v>
      </c>
      <c r="D21" s="44">
        <v>2023</v>
      </c>
      <c r="E21" t="s">
        <v>21</v>
      </c>
      <c r="F21" s="8" t="s">
        <v>39</v>
      </c>
      <c r="G21" s="30" t="s">
        <v>41</v>
      </c>
      <c r="H21" s="14"/>
      <c r="I21" s="15"/>
      <c r="J21" s="15"/>
      <c r="K21" s="15"/>
      <c r="L21" s="15"/>
      <c r="M21" s="15">
        <v>20</v>
      </c>
      <c r="N21" s="15"/>
      <c r="O21" s="15"/>
      <c r="P21" s="15">
        <v>200</v>
      </c>
      <c r="Q21" s="15"/>
      <c r="R21" s="15"/>
      <c r="S21" s="16"/>
      <c r="T21" s="85" cm="1">
        <f t="array" ref="T21">IF(C21="",0,IF(W21="",0,W21/_xlfn.XLOOKUP(C21&amp;D21,RMth&amp;RYr,RAr)))</f>
        <v>0</v>
      </c>
      <c r="U21" s="21">
        <v>30</v>
      </c>
      <c r="V21" s="2"/>
      <c r="W21" s="82"/>
    </row>
    <row r="22" spans="2:23" x14ac:dyDescent="0.35">
      <c r="B22" s="1" t="s">
        <v>19</v>
      </c>
      <c r="C22" s="50" t="s">
        <v>128</v>
      </c>
      <c r="D22" s="44">
        <v>2023</v>
      </c>
      <c r="E22" s="34" t="s">
        <v>101</v>
      </c>
      <c r="F22" s="8" t="s">
        <v>39</v>
      </c>
      <c r="G22" s="30" t="s">
        <v>41</v>
      </c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>
        <v>20</v>
      </c>
      <c r="T22" s="85" cm="1">
        <f t="array" ref="T22">IF(C22="",0,IF(W22="",0,W22/_xlfn.XLOOKUP(C22&amp;D22,RMth&amp;RYr,RAr)))</f>
        <v>0</v>
      </c>
      <c r="U22" s="21">
        <v>30</v>
      </c>
      <c r="V22" s="2"/>
      <c r="W22" s="82"/>
    </row>
    <row r="23" spans="2:23" x14ac:dyDescent="0.35">
      <c r="B23" s="1" t="s">
        <v>19</v>
      </c>
      <c r="C23" s="50" t="s">
        <v>128</v>
      </c>
      <c r="D23" s="44">
        <v>2023</v>
      </c>
      <c r="E23" s="34" t="s">
        <v>117</v>
      </c>
      <c r="F23" s="8" t="s">
        <v>39</v>
      </c>
      <c r="G23" s="30" t="s">
        <v>41</v>
      </c>
      <c r="H23" s="14"/>
      <c r="I23" s="15"/>
      <c r="J23" s="15"/>
      <c r="K23" s="15"/>
      <c r="L23" s="15"/>
      <c r="M23" s="15">
        <v>20</v>
      </c>
      <c r="N23" s="15"/>
      <c r="O23" s="15"/>
      <c r="P23" s="15">
        <v>200</v>
      </c>
      <c r="Q23" s="15"/>
      <c r="R23" s="15"/>
      <c r="S23" s="16"/>
      <c r="T23" s="85" cm="1">
        <f t="array" ref="T23">IF(C23="",0,IF(W23="",0,W23/_xlfn.XLOOKUP(C23&amp;D23,RMth&amp;RYr,RAr)))</f>
        <v>0</v>
      </c>
      <c r="U23" s="21">
        <v>30</v>
      </c>
      <c r="V23" s="2"/>
      <c r="W23" s="82"/>
    </row>
    <row r="24" spans="2:23" x14ac:dyDescent="0.35">
      <c r="B24" s="92" t="s">
        <v>19</v>
      </c>
      <c r="C24" s="93" t="s">
        <v>128</v>
      </c>
      <c r="D24" s="94">
        <v>2023</v>
      </c>
      <c r="E24" s="95" t="s">
        <v>245</v>
      </c>
      <c r="F24" s="96" t="s">
        <v>39</v>
      </c>
      <c r="G24" s="97" t="s">
        <v>41</v>
      </c>
      <c r="H24" s="98"/>
      <c r="I24" s="99"/>
      <c r="J24" s="99"/>
      <c r="K24" s="99"/>
      <c r="L24" s="99"/>
      <c r="M24" s="99">
        <v>20</v>
      </c>
      <c r="N24" s="99"/>
      <c r="O24" s="99"/>
      <c r="P24" s="99">
        <v>81</v>
      </c>
      <c r="Q24" s="99">
        <v>119</v>
      </c>
      <c r="R24" s="99"/>
      <c r="S24" s="100"/>
      <c r="T24" s="101" cm="1">
        <f t="array" ref="T24">IF(C24="",0,IF(W24="",0,W24/_xlfn.XLOOKUP(C24&amp;D24,RMth&amp;RYr,RAr)))</f>
        <v>0</v>
      </c>
      <c r="U24" s="102"/>
      <c r="V24" s="103"/>
      <c r="W24" s="104"/>
    </row>
    <row r="25" spans="2:23" x14ac:dyDescent="0.35">
      <c r="B25" s="92" t="s">
        <v>19</v>
      </c>
      <c r="C25" s="93" t="s">
        <v>128</v>
      </c>
      <c r="D25" s="94">
        <v>2023</v>
      </c>
      <c r="E25" s="95" t="s">
        <v>244</v>
      </c>
      <c r="F25" s="96" t="s">
        <v>39</v>
      </c>
      <c r="G25" s="97" t="s">
        <v>41</v>
      </c>
      <c r="H25" s="98"/>
      <c r="I25" s="99"/>
      <c r="J25" s="99"/>
      <c r="K25" s="99"/>
      <c r="L25" s="99"/>
      <c r="M25" s="99">
        <v>20</v>
      </c>
      <c r="N25" s="99"/>
      <c r="O25" s="99"/>
      <c r="P25" s="99">
        <v>185</v>
      </c>
      <c r="Q25" s="99">
        <v>15</v>
      </c>
      <c r="R25" s="99"/>
      <c r="S25" s="100"/>
      <c r="T25" s="101" cm="1">
        <f t="array" ref="T25">IF(C25="",0,IF(W25="",0,W25/_xlfn.XLOOKUP(C25&amp;D25,RMth&amp;RYr,RAr)))</f>
        <v>0</v>
      </c>
      <c r="U25" s="102"/>
      <c r="V25" s="103"/>
      <c r="W25" s="104"/>
    </row>
    <row r="26" spans="2:23" x14ac:dyDescent="0.35">
      <c r="B26" s="1" t="s">
        <v>19</v>
      </c>
      <c r="C26" s="50" t="s">
        <v>128</v>
      </c>
      <c r="D26" s="44">
        <v>2023</v>
      </c>
      <c r="E26" t="s">
        <v>22</v>
      </c>
      <c r="F26" s="8" t="s">
        <v>39</v>
      </c>
      <c r="G26" s="30" t="s">
        <v>41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>
        <v>50</v>
      </c>
      <c r="S26" s="16">
        <v>0</v>
      </c>
      <c r="T26" s="85" cm="1">
        <f t="array" ref="T26">IF(C26="",0,IF(W26="",0,W26/_xlfn.XLOOKUP(C26&amp;D26,RMth&amp;RYr,RAr)))</f>
        <v>0</v>
      </c>
      <c r="U26" s="21">
        <v>30</v>
      </c>
      <c r="V26" s="2"/>
      <c r="W26" s="82"/>
    </row>
    <row r="27" spans="2:23" x14ac:dyDescent="0.35">
      <c r="B27" s="1" t="s">
        <v>19</v>
      </c>
      <c r="C27" s="50" t="s">
        <v>128</v>
      </c>
      <c r="D27" s="44">
        <v>2023</v>
      </c>
      <c r="E27" t="s">
        <v>24</v>
      </c>
      <c r="F27" s="8" t="s">
        <v>39</v>
      </c>
      <c r="G27" s="30" t="s">
        <v>9</v>
      </c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85" cm="1">
        <f t="array" ref="T27">IF(C27="",0,IF(W27="",0,W27/_xlfn.XLOOKUP(C27&amp;D27,RMth&amp;RYr,RAr)))</f>
        <v>0</v>
      </c>
      <c r="U27" s="21">
        <v>30</v>
      </c>
      <c r="V27" s="2"/>
      <c r="W27" s="82"/>
    </row>
    <row r="28" spans="2:23" x14ac:dyDescent="0.35">
      <c r="B28" s="1" t="s">
        <v>19</v>
      </c>
      <c r="C28" s="50" t="s">
        <v>128</v>
      </c>
      <c r="D28" s="44">
        <v>2023</v>
      </c>
      <c r="E28" t="s">
        <v>25</v>
      </c>
      <c r="F28" s="8" t="s">
        <v>39</v>
      </c>
      <c r="G28" s="30" t="s">
        <v>9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85" cm="1">
        <f t="array" ref="T28">IF(C28="",0,IF(W28="",0,W28/_xlfn.XLOOKUP(C28&amp;D28,RMth&amp;RYr,RAr)))</f>
        <v>0</v>
      </c>
      <c r="U28" s="21">
        <v>30</v>
      </c>
      <c r="V28" s="2"/>
      <c r="W28" s="82"/>
    </row>
    <row r="29" spans="2:23" x14ac:dyDescent="0.35">
      <c r="B29" s="1" t="s">
        <v>12</v>
      </c>
      <c r="C29" s="50" t="s">
        <v>128</v>
      </c>
      <c r="D29" s="44">
        <v>2023</v>
      </c>
      <c r="E29" s="34" t="s">
        <v>13</v>
      </c>
      <c r="F29" s="8" t="s">
        <v>38</v>
      </c>
      <c r="G29" s="30" t="s">
        <v>41</v>
      </c>
      <c r="H29" s="14">
        <f>400*5</f>
        <v>2000</v>
      </c>
      <c r="I29" s="15"/>
      <c r="J29" s="15"/>
      <c r="K29" s="15"/>
      <c r="L29" s="15">
        <f>60*5</f>
        <v>300</v>
      </c>
      <c r="M29" s="15">
        <f>35*5</f>
        <v>175</v>
      </c>
      <c r="N29" s="15"/>
      <c r="O29" s="15"/>
      <c r="P29" s="15"/>
      <c r="Q29" s="15"/>
      <c r="R29" s="15"/>
      <c r="S29" s="16"/>
      <c r="T29" s="85" cm="1">
        <f t="array" ref="T29">IF(C29="",0,IF(W29="",0,W29/_xlfn.XLOOKUP(C29&amp;D29,RMth&amp;RYr,RAr)))</f>
        <v>0</v>
      </c>
      <c r="U29" s="21">
        <v>20</v>
      </c>
      <c r="V29" s="2"/>
      <c r="W29" s="82"/>
    </row>
    <row r="30" spans="2:23" x14ac:dyDescent="0.35">
      <c r="B30" s="1" t="s">
        <v>12</v>
      </c>
      <c r="C30" s="50" t="s">
        <v>128</v>
      </c>
      <c r="D30" s="44">
        <v>2023</v>
      </c>
      <c r="E30" s="34" t="s">
        <v>13</v>
      </c>
      <c r="F30" s="8" t="s">
        <v>38</v>
      </c>
      <c r="G30" s="30" t="s">
        <v>9</v>
      </c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85" cm="1">
        <f t="array" ref="T30">IF(C30="",0,IF(W30="",0,W30/_xlfn.XLOOKUP(C30&amp;D30,RMth&amp;RYr,RAr)))</f>
        <v>13.687630032485307</v>
      </c>
      <c r="U30" s="21">
        <v>20</v>
      </c>
      <c r="V30" s="2"/>
      <c r="W30" s="82">
        <v>60000</v>
      </c>
    </row>
    <row r="31" spans="2:23" x14ac:dyDescent="0.35">
      <c r="B31" s="1" t="s">
        <v>26</v>
      </c>
      <c r="C31" s="50" t="s">
        <v>128</v>
      </c>
      <c r="D31" s="44">
        <v>2023</v>
      </c>
      <c r="E31" s="34" t="s">
        <v>27</v>
      </c>
      <c r="F31" s="8" t="s">
        <v>109</v>
      </c>
      <c r="G31" s="30" t="s">
        <v>111</v>
      </c>
      <c r="H31" s="14">
        <v>140</v>
      </c>
      <c r="I31" s="15"/>
      <c r="J31" s="15"/>
      <c r="K31" s="15"/>
      <c r="L31" s="15">
        <v>30</v>
      </c>
      <c r="M31" s="15">
        <v>10</v>
      </c>
      <c r="N31" s="15"/>
      <c r="O31" s="15"/>
      <c r="P31" s="15"/>
      <c r="Q31" s="15"/>
      <c r="R31" s="15"/>
      <c r="S31" s="16"/>
      <c r="T31" s="85" cm="1">
        <f t="array" ref="T31">IF(C31="",0,IF(W31="",0,W31/_xlfn.XLOOKUP(C31&amp;D31,RMth&amp;RYr,RAr)))</f>
        <v>7.1860057670547858E-2</v>
      </c>
      <c r="U31" s="21">
        <v>60</v>
      </c>
      <c r="V31" s="2">
        <v>13</v>
      </c>
      <c r="W31" s="82">
        <v>315</v>
      </c>
    </row>
    <row r="32" spans="2:23" x14ac:dyDescent="0.35">
      <c r="B32" s="3" t="s">
        <v>26</v>
      </c>
      <c r="C32" s="50" t="s">
        <v>128</v>
      </c>
      <c r="D32" s="44">
        <v>2023</v>
      </c>
      <c r="E32" s="33" t="s">
        <v>28</v>
      </c>
      <c r="F32" s="9" t="s">
        <v>109</v>
      </c>
      <c r="G32" s="9" t="s">
        <v>41</v>
      </c>
      <c r="H32" s="17">
        <v>140</v>
      </c>
      <c r="I32" s="18"/>
      <c r="J32" s="18"/>
      <c r="K32" s="18"/>
      <c r="L32" s="18">
        <v>30</v>
      </c>
      <c r="M32" s="18">
        <v>10</v>
      </c>
      <c r="N32" s="18"/>
      <c r="O32" s="18"/>
      <c r="P32" s="18"/>
      <c r="Q32" s="18"/>
      <c r="R32" s="18"/>
      <c r="S32" s="19"/>
      <c r="T32" s="86" cm="1">
        <f t="array" ref="T32">IF(C32="",0,IF(W32="",0,W32/_xlfn.XLOOKUP(C32&amp;D32,RMth&amp;RYr,RAr)))</f>
        <v>0</v>
      </c>
      <c r="U32" s="22">
        <v>60</v>
      </c>
      <c r="V32" s="4"/>
      <c r="W32" s="83"/>
    </row>
    <row r="34" spans="2:23" x14ac:dyDescent="0.35">
      <c r="B34" s="5" t="s">
        <v>0</v>
      </c>
      <c r="C34" s="5"/>
      <c r="D34" s="5"/>
      <c r="E34" s="6" t="s">
        <v>1</v>
      </c>
      <c r="F34" s="6" t="s">
        <v>37</v>
      </c>
      <c r="G34" s="10" t="s">
        <v>42</v>
      </c>
      <c r="H34" s="7" t="s">
        <v>2</v>
      </c>
      <c r="I34" s="7" t="s">
        <v>3</v>
      </c>
      <c r="J34" s="7" t="s">
        <v>32</v>
      </c>
      <c r="K34" s="7" t="s">
        <v>4</v>
      </c>
      <c r="L34" s="7" t="s">
        <v>5</v>
      </c>
      <c r="M34" s="7" t="s">
        <v>6</v>
      </c>
      <c r="N34" s="7" t="s">
        <v>7</v>
      </c>
      <c r="O34" s="7" t="s">
        <v>36</v>
      </c>
      <c r="P34" s="7" t="s">
        <v>35</v>
      </c>
      <c r="Q34" s="7" t="s">
        <v>33</v>
      </c>
      <c r="R34" s="7" t="s">
        <v>34</v>
      </c>
      <c r="S34" s="7" t="s">
        <v>8</v>
      </c>
      <c r="T34" s="84" t="s">
        <v>9</v>
      </c>
      <c r="U34" s="7" t="s">
        <v>10</v>
      </c>
      <c r="V34" s="7" t="s">
        <v>11</v>
      </c>
      <c r="W34" s="81" t="s">
        <v>155</v>
      </c>
    </row>
    <row r="35" spans="2:23" x14ac:dyDescent="0.35">
      <c r="B35" s="1" t="s">
        <v>12</v>
      </c>
      <c r="C35" s="50" t="s">
        <v>129</v>
      </c>
      <c r="D35" s="44">
        <v>2023</v>
      </c>
      <c r="E35" s="34" t="s">
        <v>135</v>
      </c>
      <c r="F35" s="8" t="s">
        <v>40</v>
      </c>
      <c r="G35" s="30" t="s">
        <v>9</v>
      </c>
      <c r="H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85" cm="1">
        <f t="array" ref="T35">IF(C35="",0,IF(W35="",0,W35/_xlfn.XLOOKUP(C35&amp;D35,RMth&amp;RYr,RAr)))</f>
        <v>34.219075081213269</v>
      </c>
      <c r="U35" s="20">
        <v>30</v>
      </c>
      <c r="V35" s="2">
        <v>15</v>
      </c>
      <c r="W35" s="82">
        <v>150000</v>
      </c>
    </row>
    <row r="36" spans="2:23" x14ac:dyDescent="0.35">
      <c r="B36" s="1" t="s">
        <v>12</v>
      </c>
      <c r="C36" s="50" t="s">
        <v>129</v>
      </c>
      <c r="D36" s="44">
        <v>2023</v>
      </c>
      <c r="E36" s="34" t="s">
        <v>135</v>
      </c>
      <c r="F36" s="8" t="s">
        <v>40</v>
      </c>
      <c r="G36" s="30" t="s">
        <v>41</v>
      </c>
      <c r="H36" s="14">
        <f>400*5</f>
        <v>2000</v>
      </c>
      <c r="I36" s="15"/>
      <c r="J36" s="15"/>
      <c r="K36" s="15"/>
      <c r="L36" s="15">
        <f>60*5</f>
        <v>300</v>
      </c>
      <c r="M36" s="15">
        <f>35*5</f>
        <v>175</v>
      </c>
      <c r="N36" s="15"/>
      <c r="O36" s="15"/>
      <c r="P36" s="15"/>
      <c r="Q36" s="15"/>
      <c r="R36" s="15"/>
      <c r="S36" s="16"/>
      <c r="T36" s="85" cm="1">
        <f t="array" ref="T36">IF(C36="",0,IF(W36="",0,W36/_xlfn.XLOOKUP(C36&amp;D36,RMth&amp;RYr,RAr)))</f>
        <v>0</v>
      </c>
      <c r="U36" s="21">
        <v>30</v>
      </c>
      <c r="V36" s="2">
        <v>15</v>
      </c>
      <c r="W36" s="82"/>
    </row>
    <row r="37" spans="2:23" x14ac:dyDescent="0.35">
      <c r="B37" s="1" t="s">
        <v>12</v>
      </c>
      <c r="C37" s="50" t="s">
        <v>129</v>
      </c>
      <c r="D37" s="44">
        <v>2023</v>
      </c>
      <c r="E37" s="34" t="s">
        <v>136</v>
      </c>
      <c r="F37" s="8" t="s">
        <v>40</v>
      </c>
      <c r="G37" s="30" t="s">
        <v>9</v>
      </c>
      <c r="H37" s="1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85" cm="1">
        <f t="array" ref="T37">IF(C37="",0,IF(W37="",0,W37/_xlfn.XLOOKUP(C37&amp;D37,RMth&amp;RYr,RAr)))</f>
        <v>27.375260064970615</v>
      </c>
      <c r="U37" s="21">
        <v>30</v>
      </c>
      <c r="V37" s="2">
        <v>15</v>
      </c>
      <c r="W37" s="82">
        <v>120000</v>
      </c>
    </row>
    <row r="38" spans="2:23" x14ac:dyDescent="0.35">
      <c r="B38" s="1" t="s">
        <v>12</v>
      </c>
      <c r="C38" s="50" t="s">
        <v>129</v>
      </c>
      <c r="D38" s="44">
        <v>2023</v>
      </c>
      <c r="E38" s="34" t="s">
        <v>136</v>
      </c>
      <c r="F38" s="8" t="s">
        <v>40</v>
      </c>
      <c r="G38" s="30" t="s">
        <v>41</v>
      </c>
      <c r="H38" s="14">
        <f>400*5</f>
        <v>2000</v>
      </c>
      <c r="I38" s="15"/>
      <c r="J38" s="15"/>
      <c r="K38" s="15"/>
      <c r="L38" s="15">
        <f>60*5</f>
        <v>300</v>
      </c>
      <c r="M38" s="15">
        <f>35*5</f>
        <v>175</v>
      </c>
      <c r="N38" s="15"/>
      <c r="O38" s="15"/>
      <c r="P38" s="15"/>
      <c r="Q38" s="15"/>
      <c r="R38" s="15"/>
      <c r="S38" s="16"/>
      <c r="T38" s="85" cm="1">
        <f t="array" ref="T38">IF(C38="",0,IF(W38="",0,W38/_xlfn.XLOOKUP(C38&amp;D38,RMth&amp;RYr,RAr)))</f>
        <v>0</v>
      </c>
      <c r="U38" s="21">
        <v>30</v>
      </c>
      <c r="V38" s="2">
        <v>15</v>
      </c>
      <c r="W38" s="82"/>
    </row>
    <row r="39" spans="2:23" x14ac:dyDescent="0.35">
      <c r="B39" s="1" t="s">
        <v>12</v>
      </c>
      <c r="C39" s="50" t="s">
        <v>129</v>
      </c>
      <c r="D39" s="44">
        <v>2023</v>
      </c>
      <c r="E39" t="s">
        <v>18</v>
      </c>
      <c r="F39" s="8" t="s">
        <v>40</v>
      </c>
      <c r="G39" s="30" t="s">
        <v>41</v>
      </c>
      <c r="H39" s="14">
        <f>400*5</f>
        <v>2000</v>
      </c>
      <c r="I39" s="15"/>
      <c r="J39" s="15"/>
      <c r="K39" s="15"/>
      <c r="L39" s="15">
        <f>60*5</f>
        <v>300</v>
      </c>
      <c r="M39" s="15"/>
      <c r="N39" s="15"/>
      <c r="O39" s="15"/>
      <c r="P39" s="15"/>
      <c r="Q39" s="15"/>
      <c r="R39" s="15"/>
      <c r="S39" s="16"/>
      <c r="T39" s="85" cm="1">
        <f t="array" ref="T39">IF(C39="",0,IF(W39="",0,W39/_xlfn.XLOOKUP(C39&amp;D39,RMth&amp;RYr,RAr)))</f>
        <v>0</v>
      </c>
      <c r="U39" s="21">
        <v>30</v>
      </c>
      <c r="V39" s="2">
        <v>15</v>
      </c>
      <c r="W39" s="82"/>
    </row>
    <row r="40" spans="2:23" x14ac:dyDescent="0.35">
      <c r="B40" s="1" t="s">
        <v>29</v>
      </c>
      <c r="C40" s="50" t="s">
        <v>129</v>
      </c>
      <c r="D40" s="44">
        <v>2023</v>
      </c>
      <c r="E40" t="s">
        <v>30</v>
      </c>
      <c r="F40" s="8" t="s">
        <v>40</v>
      </c>
      <c r="G40" s="30" t="s">
        <v>41</v>
      </c>
      <c r="H40" s="14">
        <f>400*5</f>
        <v>2000</v>
      </c>
      <c r="I40" s="15"/>
      <c r="J40" s="15"/>
      <c r="K40" s="15"/>
      <c r="L40" s="15">
        <f>60*5</f>
        <v>300</v>
      </c>
      <c r="M40" s="15"/>
      <c r="N40" s="15"/>
      <c r="O40" s="15"/>
      <c r="P40" s="15"/>
      <c r="Q40" s="15"/>
      <c r="R40" s="15"/>
      <c r="S40" s="16"/>
      <c r="T40" s="85" cm="1">
        <f t="array" ref="T40">IF(C40="",0,IF(W40="",0,W40/_xlfn.XLOOKUP(C40&amp;D40,RMth&amp;RYr,RAr)))</f>
        <v>0</v>
      </c>
      <c r="U40" s="21">
        <v>20</v>
      </c>
      <c r="V40" s="2"/>
      <c r="W40" s="82"/>
    </row>
    <row r="41" spans="2:23" x14ac:dyDescent="0.35">
      <c r="B41" s="1" t="s">
        <v>29</v>
      </c>
      <c r="C41" s="50" t="s">
        <v>129</v>
      </c>
      <c r="D41" s="44">
        <v>2023</v>
      </c>
      <c r="E41" t="s">
        <v>31</v>
      </c>
      <c r="F41" s="8" t="s">
        <v>40</v>
      </c>
      <c r="G41" s="30" t="s">
        <v>9</v>
      </c>
      <c r="H41" s="14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85" cm="1">
        <f t="array" ref="T41">IF(C41="",0,IF(W41="",0,W41/_xlfn.XLOOKUP(C41&amp;D41,RMth&amp;RYr,RAr)))</f>
        <v>0</v>
      </c>
      <c r="U41" s="21">
        <v>20</v>
      </c>
      <c r="V41" s="2"/>
      <c r="W41" s="82"/>
    </row>
    <row r="42" spans="2:23" x14ac:dyDescent="0.35">
      <c r="B42" s="1" t="s">
        <v>12</v>
      </c>
      <c r="C42" s="50" t="s">
        <v>129</v>
      </c>
      <c r="D42" s="44">
        <v>2023</v>
      </c>
      <c r="E42" s="34" t="s">
        <v>98</v>
      </c>
      <c r="F42" s="8" t="s">
        <v>39</v>
      </c>
      <c r="G42" s="30" t="s">
        <v>41</v>
      </c>
      <c r="H42" s="14"/>
      <c r="I42" s="15"/>
      <c r="J42" s="15"/>
      <c r="K42" s="15"/>
      <c r="L42" s="15"/>
      <c r="M42" s="15"/>
      <c r="N42" s="15"/>
      <c r="O42" s="15">
        <v>100</v>
      </c>
      <c r="P42" s="15"/>
      <c r="Q42" s="15"/>
      <c r="R42" s="15"/>
      <c r="S42" s="16"/>
      <c r="T42" s="85" cm="1">
        <f t="array" ref="T42">IF(C42="",0,IF(W42="",0,W42/_xlfn.XLOOKUP(C42&amp;D42,RMth&amp;RYr,RAr)))</f>
        <v>0</v>
      </c>
      <c r="U42" s="21">
        <v>30</v>
      </c>
      <c r="V42" s="2"/>
      <c r="W42" s="82"/>
    </row>
    <row r="43" spans="2:23" x14ac:dyDescent="0.35">
      <c r="B43" s="1" t="s">
        <v>12</v>
      </c>
      <c r="C43" s="50" t="s">
        <v>129</v>
      </c>
      <c r="D43" s="44">
        <v>2023</v>
      </c>
      <c r="E43" s="34" t="s">
        <v>150</v>
      </c>
      <c r="F43" s="8" t="s">
        <v>39</v>
      </c>
      <c r="G43" s="30" t="s">
        <v>41</v>
      </c>
      <c r="H43" s="14"/>
      <c r="I43" s="15"/>
      <c r="J43" s="15"/>
      <c r="K43" s="15"/>
      <c r="L43" s="15"/>
      <c r="M43" s="15"/>
      <c r="N43" s="15"/>
      <c r="O43" s="15"/>
      <c r="P43" s="15"/>
      <c r="Q43" s="15"/>
      <c r="R43" s="15">
        <v>50</v>
      </c>
      <c r="S43" s="16"/>
      <c r="T43" s="85" cm="1">
        <f t="array" ref="T43">IF(C43="",0,IF(W43="",0,W43/_xlfn.XLOOKUP(C43&amp;D43,RMth&amp;RYr,RAr)))</f>
        <v>0</v>
      </c>
      <c r="U43" s="21"/>
      <c r="V43" s="2"/>
      <c r="W43" s="82"/>
    </row>
    <row r="44" spans="2:23" x14ac:dyDescent="0.35">
      <c r="B44" s="1" t="s">
        <v>12</v>
      </c>
      <c r="C44" s="50" t="s">
        <v>129</v>
      </c>
      <c r="D44" s="44">
        <v>2023</v>
      </c>
      <c r="E44" s="34" t="s">
        <v>151</v>
      </c>
      <c r="F44" s="8" t="s">
        <v>39</v>
      </c>
      <c r="G44" s="30" t="s">
        <v>41</v>
      </c>
      <c r="H44" s="14"/>
      <c r="I44" s="15"/>
      <c r="J44" s="15"/>
      <c r="K44" s="15"/>
      <c r="L44" s="15"/>
      <c r="M44" s="15">
        <v>20</v>
      </c>
      <c r="N44" s="15"/>
      <c r="O44" s="15"/>
      <c r="P44" s="15">
        <v>200</v>
      </c>
      <c r="Q44" s="15"/>
      <c r="R44" s="15"/>
      <c r="S44" s="16"/>
      <c r="T44" s="85" cm="1">
        <f t="array" ref="T44">IF(C44="",0,IF(W44="",0,W44/_xlfn.XLOOKUP(C44&amp;D44,RMth&amp;RYr,RAr)))</f>
        <v>0</v>
      </c>
      <c r="U44" s="21"/>
      <c r="V44" s="2"/>
      <c r="W44" s="82"/>
    </row>
    <row r="45" spans="2:23" x14ac:dyDescent="0.35">
      <c r="B45" s="1" t="s">
        <v>12</v>
      </c>
      <c r="C45" s="50" t="s">
        <v>129</v>
      </c>
      <c r="D45" s="44">
        <v>2023</v>
      </c>
      <c r="E45" s="34" t="s">
        <v>156</v>
      </c>
      <c r="F45" s="8" t="s">
        <v>39</v>
      </c>
      <c r="G45" s="30" t="s">
        <v>41</v>
      </c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>
        <v>50</v>
      </c>
      <c r="S45" s="16"/>
      <c r="T45" s="85" cm="1">
        <f t="array" ref="T45">IF(C45="",0,IF(W45="",0,W45/_xlfn.XLOOKUP(C45&amp;D45,RMth&amp;RYr,RAr)))</f>
        <v>0</v>
      </c>
      <c r="U45" s="21"/>
      <c r="V45" s="2"/>
      <c r="W45" s="82"/>
    </row>
    <row r="46" spans="2:23" x14ac:dyDescent="0.35">
      <c r="B46" s="1" t="s">
        <v>12</v>
      </c>
      <c r="C46" s="50" t="s">
        <v>129</v>
      </c>
      <c r="D46" s="44">
        <v>2023</v>
      </c>
      <c r="E46" s="34" t="s">
        <v>157</v>
      </c>
      <c r="F46" s="8" t="s">
        <v>39</v>
      </c>
      <c r="G46" s="30" t="s">
        <v>41</v>
      </c>
      <c r="H46" s="14"/>
      <c r="I46" s="15"/>
      <c r="J46" s="15"/>
      <c r="K46" s="15"/>
      <c r="L46" s="15"/>
      <c r="M46" s="15">
        <v>20</v>
      </c>
      <c r="N46" s="15"/>
      <c r="O46" s="15"/>
      <c r="P46" s="15">
        <v>200</v>
      </c>
      <c r="Q46" s="15"/>
      <c r="R46" s="15"/>
      <c r="S46" s="16"/>
      <c r="T46" s="85" cm="1">
        <f t="array" ref="T46">IF(C46="",0,IF(W46="",0,W46/_xlfn.XLOOKUP(C46&amp;D46,RMth&amp;RYr,RAr)))</f>
        <v>0</v>
      </c>
      <c r="U46" s="21"/>
      <c r="V46" s="2"/>
      <c r="W46" s="82"/>
    </row>
    <row r="47" spans="2:23" x14ac:dyDescent="0.35">
      <c r="B47" s="1" t="s">
        <v>12</v>
      </c>
      <c r="C47" s="50" t="s">
        <v>129</v>
      </c>
      <c r="D47" s="44">
        <v>2023</v>
      </c>
      <c r="E47" t="s">
        <v>14</v>
      </c>
      <c r="F47" s="8" t="s">
        <v>39</v>
      </c>
      <c r="G47" s="30" t="s">
        <v>41</v>
      </c>
      <c r="H47" s="14"/>
      <c r="I47" s="15"/>
      <c r="J47" s="15"/>
      <c r="K47" s="15"/>
      <c r="L47" s="15"/>
      <c r="M47" s="15"/>
      <c r="N47" s="15"/>
      <c r="O47" s="15"/>
      <c r="P47" s="15"/>
      <c r="Q47" s="15">
        <v>200</v>
      </c>
      <c r="R47" s="15"/>
      <c r="S47" s="16"/>
      <c r="T47" s="85" cm="1">
        <f t="array" ref="T47">IF(C47="",0,IF(W47="",0,W47/_xlfn.XLOOKUP(C47&amp;D47,RMth&amp;RYr,RAr)))</f>
        <v>0</v>
      </c>
      <c r="U47" s="21">
        <v>30</v>
      </c>
      <c r="V47" s="2"/>
      <c r="W47" s="82"/>
    </row>
    <row r="48" spans="2:23" x14ac:dyDescent="0.35">
      <c r="B48" s="1" t="s">
        <v>12</v>
      </c>
      <c r="C48" s="50" t="s">
        <v>129</v>
      </c>
      <c r="D48" s="44">
        <v>2023</v>
      </c>
      <c r="E48" s="34" t="s">
        <v>15</v>
      </c>
      <c r="F48" s="8" t="s">
        <v>39</v>
      </c>
      <c r="G48" s="30" t="s">
        <v>9</v>
      </c>
      <c r="H48" s="14"/>
      <c r="I48" s="15"/>
      <c r="J48" s="15"/>
      <c r="K48" s="15"/>
      <c r="L48" s="15"/>
      <c r="M48" s="15">
        <v>20</v>
      </c>
      <c r="N48" s="15"/>
      <c r="O48" s="15"/>
      <c r="P48" s="15">
        <v>200</v>
      </c>
      <c r="Q48" s="15"/>
      <c r="R48" s="15"/>
      <c r="S48" s="16"/>
      <c r="T48" s="85" cm="1">
        <f t="array" ref="T48">IF(C48="",0,IF(W48="",0,W48/_xlfn.XLOOKUP(C48&amp;D48,RMth&amp;RYr,RAr)))</f>
        <v>22.812716720808844</v>
      </c>
      <c r="U48" s="21">
        <v>30</v>
      </c>
      <c r="V48" s="2"/>
      <c r="W48" s="82">
        <v>100000</v>
      </c>
    </row>
    <row r="49" spans="2:23" x14ac:dyDescent="0.35">
      <c r="B49" s="1" t="s">
        <v>12</v>
      </c>
      <c r="C49" s="50" t="s">
        <v>129</v>
      </c>
      <c r="D49" s="44">
        <v>2023</v>
      </c>
      <c r="E49" t="s">
        <v>15</v>
      </c>
      <c r="F49" s="8" t="s">
        <v>39</v>
      </c>
      <c r="G49" s="30" t="s">
        <v>41</v>
      </c>
      <c r="H49" s="14"/>
      <c r="I49" s="15"/>
      <c r="J49" s="15"/>
      <c r="K49" s="15"/>
      <c r="L49" s="15"/>
      <c r="M49" s="15">
        <v>20</v>
      </c>
      <c r="N49" s="15"/>
      <c r="O49" s="15"/>
      <c r="P49" s="15">
        <v>200</v>
      </c>
      <c r="Q49" s="15"/>
      <c r="R49" s="15"/>
      <c r="S49" s="16"/>
      <c r="T49" s="85" cm="1">
        <f t="array" ref="T49">IF(C49="",0,IF(W49="",0,W49/_xlfn.XLOOKUP(C49&amp;D49,RMth&amp;RYr,RAr)))</f>
        <v>0</v>
      </c>
      <c r="U49" s="21">
        <v>30</v>
      </c>
      <c r="V49" s="2"/>
      <c r="W49" s="82"/>
    </row>
    <row r="50" spans="2:23" x14ac:dyDescent="0.35">
      <c r="B50" s="1" t="s">
        <v>12</v>
      </c>
      <c r="C50" s="50" t="s">
        <v>129</v>
      </c>
      <c r="D50" s="44">
        <v>2023</v>
      </c>
      <c r="E50" t="s">
        <v>16</v>
      </c>
      <c r="F50" s="8" t="s">
        <v>39</v>
      </c>
      <c r="G50" s="30" t="s">
        <v>41</v>
      </c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>
        <v>50</v>
      </c>
      <c r="S50" s="16"/>
      <c r="T50" s="85" cm="1">
        <f t="array" ref="T50">IF(C50="",0,IF(W50="",0,W50/_xlfn.XLOOKUP(C50&amp;D50,RMth&amp;RYr,RAr)))</f>
        <v>0</v>
      </c>
      <c r="U50" s="21">
        <v>30</v>
      </c>
      <c r="V50" s="2"/>
      <c r="W50" s="82"/>
    </row>
    <row r="51" spans="2:23" x14ac:dyDescent="0.35">
      <c r="B51" s="1" t="s">
        <v>12</v>
      </c>
      <c r="C51" s="50" t="s">
        <v>129</v>
      </c>
      <c r="D51" s="44">
        <v>2023</v>
      </c>
      <c r="E51" t="s">
        <v>17</v>
      </c>
      <c r="F51" s="8" t="s">
        <v>39</v>
      </c>
      <c r="G51" s="30" t="s">
        <v>41</v>
      </c>
      <c r="H51" s="14"/>
      <c r="I51" s="15"/>
      <c r="J51" s="15"/>
      <c r="K51" s="15"/>
      <c r="L51" s="15"/>
      <c r="M51" s="15">
        <v>20</v>
      </c>
      <c r="N51" s="15"/>
      <c r="O51" s="15"/>
      <c r="P51" s="15">
        <v>200</v>
      </c>
      <c r="Q51" s="15">
        <v>200</v>
      </c>
      <c r="R51" s="15"/>
      <c r="S51" s="16"/>
      <c r="T51" s="85" cm="1">
        <f t="array" ref="T51">IF(C51="",0,IF(W51="",0,W51/_xlfn.XLOOKUP(C51&amp;D51,RMth&amp;RYr,RAr)))</f>
        <v>0</v>
      </c>
      <c r="U51" s="21">
        <v>30</v>
      </c>
      <c r="V51" s="2"/>
      <c r="W51" s="82"/>
    </row>
    <row r="52" spans="2:23" x14ac:dyDescent="0.35">
      <c r="B52" s="1" t="s">
        <v>19</v>
      </c>
      <c r="C52" s="50" t="s">
        <v>129</v>
      </c>
      <c r="D52" s="44">
        <v>2023</v>
      </c>
      <c r="E52" t="s">
        <v>20</v>
      </c>
      <c r="F52" s="8" t="s">
        <v>39</v>
      </c>
      <c r="G52" s="30" t="s">
        <v>41</v>
      </c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>
        <v>20</v>
      </c>
      <c r="T52" s="85" cm="1">
        <f t="array" ref="T52">IF(C52="",0,IF(W52="",0,W52/_xlfn.XLOOKUP(C52&amp;D52,RMth&amp;RYr,RAr)))</f>
        <v>0</v>
      </c>
      <c r="U52" s="21">
        <v>30</v>
      </c>
      <c r="V52" s="2"/>
      <c r="W52" s="82"/>
    </row>
    <row r="53" spans="2:23" x14ac:dyDescent="0.35">
      <c r="B53" s="1" t="s">
        <v>19</v>
      </c>
      <c r="C53" s="50" t="s">
        <v>129</v>
      </c>
      <c r="D53" s="44">
        <v>2023</v>
      </c>
      <c r="E53" t="s">
        <v>21</v>
      </c>
      <c r="F53" s="8" t="s">
        <v>39</v>
      </c>
      <c r="G53" s="30" t="s">
        <v>41</v>
      </c>
      <c r="H53" s="14"/>
      <c r="I53" s="15"/>
      <c r="J53" s="15"/>
      <c r="K53" s="15"/>
      <c r="L53" s="15"/>
      <c r="M53" s="15">
        <v>20</v>
      </c>
      <c r="N53" s="15"/>
      <c r="O53" s="15"/>
      <c r="P53" s="15">
        <v>200</v>
      </c>
      <c r="Q53" s="15"/>
      <c r="R53" s="15"/>
      <c r="S53" s="16"/>
      <c r="T53" s="85" cm="1">
        <f t="array" ref="T53">IF(C53="",0,IF(W53="",0,W53/_xlfn.XLOOKUP(C53&amp;D53,RMth&amp;RYr,RAr)))</f>
        <v>0</v>
      </c>
      <c r="U53" s="21">
        <v>30</v>
      </c>
      <c r="V53" s="2"/>
      <c r="W53" s="82"/>
    </row>
    <row r="54" spans="2:23" x14ac:dyDescent="0.35">
      <c r="B54" s="1" t="s">
        <v>19</v>
      </c>
      <c r="C54" s="50" t="s">
        <v>129</v>
      </c>
      <c r="D54" s="44">
        <v>2023</v>
      </c>
      <c r="E54" s="34" t="s">
        <v>101</v>
      </c>
      <c r="F54" s="8" t="s">
        <v>39</v>
      </c>
      <c r="G54" s="30" t="s">
        <v>41</v>
      </c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>
        <v>20</v>
      </c>
      <c r="T54" s="85" cm="1">
        <f t="array" ref="T54">IF(C54="",0,IF(W54="",0,W54/_xlfn.XLOOKUP(C54&amp;D54,RMth&amp;RYr,RAr)))</f>
        <v>0</v>
      </c>
      <c r="U54" s="21">
        <v>30</v>
      </c>
      <c r="V54" s="2"/>
      <c r="W54" s="82"/>
    </row>
    <row r="55" spans="2:23" x14ac:dyDescent="0.35">
      <c r="B55" s="1" t="s">
        <v>19</v>
      </c>
      <c r="C55" s="50" t="s">
        <v>129</v>
      </c>
      <c r="D55" s="44">
        <v>2023</v>
      </c>
      <c r="E55" s="34" t="s">
        <v>117</v>
      </c>
      <c r="F55" s="8" t="s">
        <v>39</v>
      </c>
      <c r="G55" s="30" t="s">
        <v>41</v>
      </c>
      <c r="H55" s="14"/>
      <c r="I55" s="15"/>
      <c r="J55" s="15"/>
      <c r="K55" s="15"/>
      <c r="L55" s="15"/>
      <c r="M55" s="15">
        <v>20</v>
      </c>
      <c r="N55" s="15"/>
      <c r="O55" s="15"/>
      <c r="P55" s="15">
        <v>200</v>
      </c>
      <c r="Q55" s="15"/>
      <c r="R55" s="15"/>
      <c r="S55" s="16"/>
      <c r="T55" s="85" cm="1">
        <f t="array" ref="T55">IF(C55="",0,IF(W55="",0,W55/_xlfn.XLOOKUP(C55&amp;D55,RMth&amp;RYr,RAr)))</f>
        <v>0</v>
      </c>
      <c r="U55" s="21">
        <v>30</v>
      </c>
      <c r="V55" s="2"/>
      <c r="W55" s="82"/>
    </row>
    <row r="56" spans="2:23" x14ac:dyDescent="0.35">
      <c r="B56" s="1" t="s">
        <v>19</v>
      </c>
      <c r="C56" s="50" t="s">
        <v>129</v>
      </c>
      <c r="D56" s="44">
        <v>2023</v>
      </c>
      <c r="E56" t="s">
        <v>22</v>
      </c>
      <c r="F56" s="8" t="s">
        <v>39</v>
      </c>
      <c r="G56" s="30" t="s">
        <v>41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v>50</v>
      </c>
      <c r="S56" s="16" t="s">
        <v>23</v>
      </c>
      <c r="T56" s="85" cm="1">
        <f t="array" ref="T56">IF(C56="",0,IF(W56="",0,W56/_xlfn.XLOOKUP(C56&amp;D56,RMth&amp;RYr,RAr)))</f>
        <v>0</v>
      </c>
      <c r="U56" s="21">
        <v>30</v>
      </c>
      <c r="V56" s="2"/>
      <c r="W56" s="82"/>
    </row>
    <row r="57" spans="2:23" x14ac:dyDescent="0.35">
      <c r="B57" s="1" t="s">
        <v>19</v>
      </c>
      <c r="C57" s="50" t="s">
        <v>129</v>
      </c>
      <c r="D57" s="44">
        <v>2023</v>
      </c>
      <c r="E57" t="s">
        <v>24</v>
      </c>
      <c r="F57" s="8" t="s">
        <v>39</v>
      </c>
      <c r="G57" s="30" t="s">
        <v>9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85" cm="1">
        <f t="array" ref="T57">IF(C57="",0,IF(W57="",0,W57/_xlfn.XLOOKUP(C57&amp;D57,RMth&amp;RYr,RAr)))</f>
        <v>0</v>
      </c>
      <c r="U57" s="21">
        <v>30</v>
      </c>
      <c r="V57" s="2"/>
      <c r="W57" s="82"/>
    </row>
    <row r="58" spans="2:23" x14ac:dyDescent="0.35">
      <c r="B58" s="1" t="s">
        <v>19</v>
      </c>
      <c r="C58" s="50" t="s">
        <v>129</v>
      </c>
      <c r="D58" s="44">
        <v>2023</v>
      </c>
      <c r="E58" t="s">
        <v>25</v>
      </c>
      <c r="F58" s="8" t="s">
        <v>39</v>
      </c>
      <c r="G58" s="30" t="s">
        <v>9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85" cm="1">
        <f t="array" ref="T58">IF(C58="",0,IF(W58="",0,W58/_xlfn.XLOOKUP(C58&amp;D58,RMth&amp;RYr,RAr)))</f>
        <v>0</v>
      </c>
      <c r="U58" s="21">
        <v>30</v>
      </c>
      <c r="V58" s="2"/>
      <c r="W58" s="82"/>
    </row>
    <row r="59" spans="2:23" x14ac:dyDescent="0.35">
      <c r="B59" s="1" t="s">
        <v>12</v>
      </c>
      <c r="C59" s="50" t="s">
        <v>129</v>
      </c>
      <c r="D59" s="44">
        <v>2023</v>
      </c>
      <c r="E59" s="34" t="s">
        <v>13</v>
      </c>
      <c r="F59" s="8" t="s">
        <v>38</v>
      </c>
      <c r="G59" s="30" t="s">
        <v>41</v>
      </c>
      <c r="H59" s="14">
        <f>400*5</f>
        <v>2000</v>
      </c>
      <c r="I59" s="15"/>
      <c r="J59" s="15"/>
      <c r="K59" s="15"/>
      <c r="L59" s="15">
        <f>60*5</f>
        <v>300</v>
      </c>
      <c r="M59" s="15">
        <f>35*5</f>
        <v>175</v>
      </c>
      <c r="N59" s="15"/>
      <c r="O59" s="15"/>
      <c r="P59" s="15"/>
      <c r="Q59" s="15"/>
      <c r="R59" s="15"/>
      <c r="S59" s="16"/>
      <c r="T59" s="85" cm="1">
        <f t="array" ref="T59">IF(C59="",0,IF(W59="",0,W59/_xlfn.XLOOKUP(C59&amp;D59,RMth&amp;RYr,RAr)))</f>
        <v>0</v>
      </c>
      <c r="U59" s="21">
        <v>20</v>
      </c>
      <c r="V59" s="2"/>
      <c r="W59" s="82"/>
    </row>
    <row r="60" spans="2:23" x14ac:dyDescent="0.35">
      <c r="B60" s="1" t="s">
        <v>12</v>
      </c>
      <c r="C60" s="50" t="s">
        <v>129</v>
      </c>
      <c r="D60" s="44">
        <v>2023</v>
      </c>
      <c r="E60" s="34" t="s">
        <v>13</v>
      </c>
      <c r="F60" s="8" t="s">
        <v>38</v>
      </c>
      <c r="G60" s="30" t="s">
        <v>9</v>
      </c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85" cm="1">
        <f t="array" ref="T60">IF(C60="",0,IF(W60="",0,W60/_xlfn.XLOOKUP(C60&amp;D60,RMth&amp;RYr,RAr)))</f>
        <v>13.687630032485307</v>
      </c>
      <c r="U60" s="21">
        <v>20</v>
      </c>
      <c r="V60" s="2"/>
      <c r="W60" s="82">
        <v>60000</v>
      </c>
    </row>
    <row r="61" spans="2:23" x14ac:dyDescent="0.35">
      <c r="B61" s="1" t="s">
        <v>26</v>
      </c>
      <c r="C61" s="50" t="s">
        <v>129</v>
      </c>
      <c r="D61" s="44">
        <v>2023</v>
      </c>
      <c r="E61" s="34" t="s">
        <v>27</v>
      </c>
      <c r="F61" s="8" t="s">
        <v>109</v>
      </c>
      <c r="G61" s="30" t="s">
        <v>111</v>
      </c>
      <c r="H61" s="14">
        <v>140</v>
      </c>
      <c r="I61" s="15"/>
      <c r="J61" s="15"/>
      <c r="K61" s="15"/>
      <c r="L61" s="15">
        <v>30</v>
      </c>
      <c r="M61" s="15">
        <v>10</v>
      </c>
      <c r="N61" s="15"/>
      <c r="O61" s="15"/>
      <c r="P61" s="15"/>
      <c r="Q61" s="15"/>
      <c r="R61" s="15"/>
      <c r="S61" s="16"/>
      <c r="T61" s="85" cm="1">
        <f t="array" ref="T61">IF(C61="",0,IF(W61="",0,W61/_xlfn.XLOOKUP(C61&amp;D61,RMth&amp;RYr,RAr)))</f>
        <v>7.1860057670547858E-2</v>
      </c>
      <c r="U61" s="21">
        <v>60</v>
      </c>
      <c r="V61" s="2">
        <v>13</v>
      </c>
      <c r="W61" s="82">
        <v>315</v>
      </c>
    </row>
    <row r="62" spans="2:23" x14ac:dyDescent="0.35">
      <c r="B62" s="3" t="s">
        <v>26</v>
      </c>
      <c r="C62" s="50" t="s">
        <v>129</v>
      </c>
      <c r="D62" s="44">
        <v>2023</v>
      </c>
      <c r="E62" s="33" t="s">
        <v>28</v>
      </c>
      <c r="F62" s="9" t="s">
        <v>109</v>
      </c>
      <c r="G62" s="9" t="s">
        <v>41</v>
      </c>
      <c r="H62" s="17">
        <v>140</v>
      </c>
      <c r="I62" s="18"/>
      <c r="J62" s="18"/>
      <c r="K62" s="18"/>
      <c r="L62" s="18">
        <v>30</v>
      </c>
      <c r="M62" s="18">
        <v>10</v>
      </c>
      <c r="N62" s="18"/>
      <c r="O62" s="18"/>
      <c r="P62" s="18"/>
      <c r="Q62" s="18"/>
      <c r="R62" s="18"/>
      <c r="S62" s="19"/>
      <c r="T62" s="86" cm="1">
        <f t="array" ref="T62">IF(C62="",0,IF(W62="",0,W62/_xlfn.XLOOKUP(C62&amp;D62,RMth&amp;RYr,RAr)))</f>
        <v>0</v>
      </c>
      <c r="U62" s="22">
        <v>60</v>
      </c>
      <c r="V62" s="4"/>
      <c r="W62" s="83"/>
    </row>
    <row r="64" spans="2:23" x14ac:dyDescent="0.35">
      <c r="B64" s="5" t="s">
        <v>0</v>
      </c>
      <c r="C64" s="5"/>
      <c r="D64" s="5"/>
      <c r="E64" s="6" t="s">
        <v>1</v>
      </c>
      <c r="F64" s="6" t="s">
        <v>37</v>
      </c>
      <c r="G64" s="10" t="s">
        <v>42</v>
      </c>
      <c r="H64" s="7" t="s">
        <v>2</v>
      </c>
      <c r="I64" s="7" t="s">
        <v>3</v>
      </c>
      <c r="J64" s="7" t="s">
        <v>32</v>
      </c>
      <c r="K64" s="7" t="s">
        <v>4</v>
      </c>
      <c r="L64" s="7" t="s">
        <v>5</v>
      </c>
      <c r="M64" s="7" t="s">
        <v>6</v>
      </c>
      <c r="N64" s="7" t="s">
        <v>7</v>
      </c>
      <c r="O64" s="7" t="s">
        <v>36</v>
      </c>
      <c r="P64" s="7" t="s">
        <v>35</v>
      </c>
      <c r="Q64" s="7" t="s">
        <v>33</v>
      </c>
      <c r="R64" s="7" t="s">
        <v>34</v>
      </c>
      <c r="S64" s="7" t="s">
        <v>8</v>
      </c>
      <c r="T64" s="84" t="s">
        <v>9</v>
      </c>
      <c r="U64" s="7" t="s">
        <v>10</v>
      </c>
      <c r="V64" s="7" t="s">
        <v>11</v>
      </c>
      <c r="W64" s="81" t="s">
        <v>155</v>
      </c>
    </row>
    <row r="65" spans="2:23" x14ac:dyDescent="0.35">
      <c r="B65" s="1" t="s">
        <v>12</v>
      </c>
      <c r="C65" s="50" t="s">
        <v>130</v>
      </c>
      <c r="D65" s="44">
        <v>2023</v>
      </c>
      <c r="E65" s="34" t="s">
        <v>135</v>
      </c>
      <c r="F65" s="8" t="s">
        <v>40</v>
      </c>
      <c r="G65" s="30" t="s">
        <v>9</v>
      </c>
      <c r="H65" s="11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85" cm="1">
        <f t="array" ref="T65">IF(C65="",0,IF(W65="",0,W65/_xlfn.XLOOKUP(C65&amp;D65,RMth&amp;RYr,RAr)))</f>
        <v>34.219075081213269</v>
      </c>
      <c r="U65" s="20">
        <v>30</v>
      </c>
      <c r="V65" s="2">
        <v>15</v>
      </c>
      <c r="W65" s="82">
        <v>150000</v>
      </c>
    </row>
    <row r="66" spans="2:23" x14ac:dyDescent="0.35">
      <c r="B66" s="1" t="s">
        <v>12</v>
      </c>
      <c r="C66" s="50" t="s">
        <v>130</v>
      </c>
      <c r="D66" s="44">
        <v>2023</v>
      </c>
      <c r="E66" s="34" t="s">
        <v>135</v>
      </c>
      <c r="F66" s="8" t="s">
        <v>40</v>
      </c>
      <c r="G66" s="30" t="s">
        <v>41</v>
      </c>
      <c r="H66" s="14">
        <f>400*5</f>
        <v>2000</v>
      </c>
      <c r="I66" s="15"/>
      <c r="J66" s="15"/>
      <c r="K66" s="15"/>
      <c r="L66" s="15">
        <f>60*5</f>
        <v>300</v>
      </c>
      <c r="M66" s="15">
        <f>35*5</f>
        <v>175</v>
      </c>
      <c r="N66" s="15"/>
      <c r="O66" s="15"/>
      <c r="P66" s="15"/>
      <c r="Q66" s="15"/>
      <c r="R66" s="15"/>
      <c r="S66" s="16"/>
      <c r="T66" s="85" cm="1">
        <f t="array" ref="T66">IF(C66="",0,IF(W66="",0,W66/_xlfn.XLOOKUP(C66&amp;D66,RMth&amp;RYr,RAr)))</f>
        <v>0</v>
      </c>
      <c r="U66" s="21">
        <v>30</v>
      </c>
      <c r="V66" s="2">
        <v>15</v>
      </c>
      <c r="W66" s="82"/>
    </row>
    <row r="67" spans="2:23" x14ac:dyDescent="0.35">
      <c r="B67" s="1" t="s">
        <v>12</v>
      </c>
      <c r="C67" s="50" t="s">
        <v>130</v>
      </c>
      <c r="D67" s="44">
        <v>2023</v>
      </c>
      <c r="E67" s="34" t="s">
        <v>136</v>
      </c>
      <c r="F67" s="8" t="s">
        <v>40</v>
      </c>
      <c r="G67" s="30" t="s">
        <v>9</v>
      </c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85" cm="1">
        <f t="array" ref="T67">IF(C67="",0,IF(W67="",0,W67/_xlfn.XLOOKUP(C67&amp;D67,RMth&amp;RYr,RAr)))</f>
        <v>27.375260064970615</v>
      </c>
      <c r="U67" s="21">
        <v>30</v>
      </c>
      <c r="V67" s="2">
        <v>15</v>
      </c>
      <c r="W67" s="82">
        <v>120000</v>
      </c>
    </row>
    <row r="68" spans="2:23" x14ac:dyDescent="0.35">
      <c r="B68" s="1" t="s">
        <v>12</v>
      </c>
      <c r="C68" s="50" t="s">
        <v>130</v>
      </c>
      <c r="D68" s="44">
        <v>2023</v>
      </c>
      <c r="E68" s="34" t="s">
        <v>136</v>
      </c>
      <c r="F68" s="8" t="s">
        <v>40</v>
      </c>
      <c r="G68" s="30" t="s">
        <v>41</v>
      </c>
      <c r="H68" s="14">
        <f>400*5</f>
        <v>2000</v>
      </c>
      <c r="I68" s="15"/>
      <c r="J68" s="15"/>
      <c r="K68" s="15"/>
      <c r="L68" s="15">
        <f>60*5</f>
        <v>300</v>
      </c>
      <c r="M68" s="15">
        <f>35*5</f>
        <v>175</v>
      </c>
      <c r="N68" s="15"/>
      <c r="O68" s="15"/>
      <c r="P68" s="15"/>
      <c r="Q68" s="15"/>
      <c r="R68" s="15"/>
      <c r="S68" s="16"/>
      <c r="T68" s="85" cm="1">
        <f t="array" ref="T68">IF(C68="",0,IF(W68="",0,W68/_xlfn.XLOOKUP(C68&amp;D68,RMth&amp;RYr,RAr)))</f>
        <v>0</v>
      </c>
      <c r="U68" s="21">
        <v>30</v>
      </c>
      <c r="V68" s="2">
        <v>15</v>
      </c>
      <c r="W68" s="82"/>
    </row>
    <row r="69" spans="2:23" x14ac:dyDescent="0.35">
      <c r="B69" s="1" t="s">
        <v>12</v>
      </c>
      <c r="C69" s="50" t="s">
        <v>130</v>
      </c>
      <c r="D69" s="44">
        <v>2023</v>
      </c>
      <c r="E69" t="s">
        <v>18</v>
      </c>
      <c r="F69" s="8" t="s">
        <v>40</v>
      </c>
      <c r="G69" s="30" t="s">
        <v>41</v>
      </c>
      <c r="H69" s="14">
        <f>400*5</f>
        <v>2000</v>
      </c>
      <c r="I69" s="15"/>
      <c r="J69" s="15"/>
      <c r="K69" s="15"/>
      <c r="L69" s="15">
        <f>60*5</f>
        <v>300</v>
      </c>
      <c r="M69" s="15"/>
      <c r="N69" s="15"/>
      <c r="O69" s="15"/>
      <c r="P69" s="15"/>
      <c r="Q69" s="15"/>
      <c r="R69" s="15"/>
      <c r="S69" s="16"/>
      <c r="T69" s="85" cm="1">
        <f t="array" ref="T69">IF(C69="",0,IF(W69="",0,W69/_xlfn.XLOOKUP(C69&amp;D69,RMth&amp;RYr,RAr)))</f>
        <v>0</v>
      </c>
      <c r="U69" s="21">
        <v>30</v>
      </c>
      <c r="V69" s="2">
        <v>15</v>
      </c>
      <c r="W69" s="82"/>
    </row>
    <row r="70" spans="2:23" x14ac:dyDescent="0.35">
      <c r="B70" s="1" t="s">
        <v>29</v>
      </c>
      <c r="C70" s="50" t="s">
        <v>130</v>
      </c>
      <c r="D70" s="44">
        <v>2023</v>
      </c>
      <c r="E70" t="s">
        <v>30</v>
      </c>
      <c r="F70" s="8" t="s">
        <v>40</v>
      </c>
      <c r="G70" s="30" t="s">
        <v>41</v>
      </c>
      <c r="H70" s="14">
        <f>400*5</f>
        <v>2000</v>
      </c>
      <c r="I70" s="15"/>
      <c r="J70" s="15"/>
      <c r="K70" s="15"/>
      <c r="L70" s="15">
        <f>60*5</f>
        <v>300</v>
      </c>
      <c r="M70" s="15"/>
      <c r="N70" s="15"/>
      <c r="O70" s="15"/>
      <c r="P70" s="15"/>
      <c r="Q70" s="15"/>
      <c r="R70" s="15"/>
      <c r="S70" s="16"/>
      <c r="T70" s="85" cm="1">
        <f t="array" ref="T70">IF(C70="",0,IF(W70="",0,W70/_xlfn.XLOOKUP(C70&amp;D70,RMth&amp;RYr,RAr)))</f>
        <v>0</v>
      </c>
      <c r="U70" s="21">
        <v>20</v>
      </c>
      <c r="V70" s="2"/>
      <c r="W70" s="82"/>
    </row>
    <row r="71" spans="2:23" x14ac:dyDescent="0.35">
      <c r="B71" s="1" t="s">
        <v>29</v>
      </c>
      <c r="C71" s="50" t="s">
        <v>130</v>
      </c>
      <c r="D71" s="44">
        <v>2023</v>
      </c>
      <c r="E71" t="s">
        <v>31</v>
      </c>
      <c r="F71" s="8" t="s">
        <v>40</v>
      </c>
      <c r="G71" s="30" t="s">
        <v>9</v>
      </c>
      <c r="H71" s="1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85" cm="1">
        <f t="array" ref="T71">IF(C71="",0,IF(W71="",0,W71/_xlfn.XLOOKUP(C71&amp;D71,RMth&amp;RYr,RAr)))</f>
        <v>0</v>
      </c>
      <c r="U71" s="21">
        <v>20</v>
      </c>
      <c r="V71" s="2"/>
      <c r="W71" s="82"/>
    </row>
    <row r="72" spans="2:23" x14ac:dyDescent="0.35">
      <c r="B72" s="1" t="s">
        <v>12</v>
      </c>
      <c r="C72" s="50" t="s">
        <v>130</v>
      </c>
      <c r="D72" s="44">
        <v>2023</v>
      </c>
      <c r="E72" s="34" t="s">
        <v>98</v>
      </c>
      <c r="F72" s="8" t="s">
        <v>39</v>
      </c>
      <c r="G72" s="30" t="s">
        <v>41</v>
      </c>
      <c r="H72" s="14"/>
      <c r="I72" s="15"/>
      <c r="J72" s="15"/>
      <c r="K72" s="15"/>
      <c r="L72" s="15"/>
      <c r="M72" s="15"/>
      <c r="N72" s="15"/>
      <c r="O72" s="15">
        <v>100</v>
      </c>
      <c r="P72" s="15"/>
      <c r="Q72" s="15"/>
      <c r="R72" s="15"/>
      <c r="S72" s="16"/>
      <c r="T72" s="85" cm="1">
        <f t="array" ref="T72">IF(C72="",0,IF(W72="",0,W72/_xlfn.XLOOKUP(C72&amp;D72,RMth&amp;RYr,RAr)))</f>
        <v>0</v>
      </c>
      <c r="U72" s="21">
        <v>30</v>
      </c>
      <c r="V72" s="2"/>
      <c r="W72" s="82"/>
    </row>
    <row r="73" spans="2:23" x14ac:dyDescent="0.35">
      <c r="B73" s="1" t="s">
        <v>12</v>
      </c>
      <c r="C73" s="50" t="s">
        <v>130</v>
      </c>
      <c r="D73" s="44">
        <v>2023</v>
      </c>
      <c r="E73" s="34" t="s">
        <v>150</v>
      </c>
      <c r="F73" s="8" t="s">
        <v>39</v>
      </c>
      <c r="G73" s="30" t="s">
        <v>41</v>
      </c>
      <c r="H73" s="14"/>
      <c r="I73" s="15"/>
      <c r="J73" s="15"/>
      <c r="K73" s="15"/>
      <c r="L73" s="15"/>
      <c r="M73" s="15"/>
      <c r="N73" s="15"/>
      <c r="O73" s="15"/>
      <c r="P73" s="15"/>
      <c r="Q73" s="15"/>
      <c r="R73" s="15">
        <v>50</v>
      </c>
      <c r="S73" s="16"/>
      <c r="T73" s="85" cm="1">
        <f t="array" ref="T73">IF(C73="",0,IF(W73="",0,W73/_xlfn.XLOOKUP(C73&amp;D73,RMth&amp;RYr,RAr)))</f>
        <v>0</v>
      </c>
      <c r="U73" s="21"/>
      <c r="V73" s="2"/>
      <c r="W73" s="82"/>
    </row>
    <row r="74" spans="2:23" x14ac:dyDescent="0.35">
      <c r="B74" s="1" t="s">
        <v>12</v>
      </c>
      <c r="C74" s="50" t="s">
        <v>130</v>
      </c>
      <c r="D74" s="44">
        <v>2023</v>
      </c>
      <c r="E74" s="34" t="s">
        <v>151</v>
      </c>
      <c r="F74" s="8" t="s">
        <v>39</v>
      </c>
      <c r="G74" s="30" t="s">
        <v>41</v>
      </c>
      <c r="H74" s="14"/>
      <c r="I74" s="15"/>
      <c r="J74" s="15"/>
      <c r="K74" s="15"/>
      <c r="L74" s="15"/>
      <c r="M74" s="15">
        <v>20</v>
      </c>
      <c r="N74" s="15"/>
      <c r="O74" s="15"/>
      <c r="P74" s="15">
        <v>200</v>
      </c>
      <c r="Q74" s="15"/>
      <c r="R74" s="15"/>
      <c r="S74" s="16"/>
      <c r="T74" s="85" cm="1">
        <f t="array" ref="T74">IF(C74="",0,IF(W74="",0,W74/_xlfn.XLOOKUP(C74&amp;D74,RMth&amp;RYr,RAr)))</f>
        <v>0</v>
      </c>
      <c r="U74" s="21"/>
      <c r="V74" s="2"/>
      <c r="W74" s="82"/>
    </row>
    <row r="75" spans="2:23" x14ac:dyDescent="0.35">
      <c r="B75" s="1" t="s">
        <v>12</v>
      </c>
      <c r="C75" s="50" t="s">
        <v>130</v>
      </c>
      <c r="D75" s="44">
        <v>2023</v>
      </c>
      <c r="E75" s="34" t="s">
        <v>156</v>
      </c>
      <c r="F75" s="8" t="s">
        <v>39</v>
      </c>
      <c r="G75" s="30" t="s">
        <v>41</v>
      </c>
      <c r="H75" s="14"/>
      <c r="I75" s="15"/>
      <c r="J75" s="15"/>
      <c r="K75" s="15"/>
      <c r="L75" s="15"/>
      <c r="M75" s="15"/>
      <c r="N75" s="15"/>
      <c r="O75" s="15"/>
      <c r="P75" s="15"/>
      <c r="Q75" s="15"/>
      <c r="R75" s="15">
        <v>50</v>
      </c>
      <c r="S75" s="16"/>
      <c r="T75" s="85" cm="1">
        <f t="array" ref="T75">IF(C75="",0,IF(W75="",0,W75/_xlfn.XLOOKUP(C75&amp;D75,RMth&amp;RYr,RAr)))</f>
        <v>0</v>
      </c>
      <c r="U75" s="21"/>
      <c r="V75" s="2"/>
      <c r="W75" s="82"/>
    </row>
    <row r="76" spans="2:23" x14ac:dyDescent="0.35">
      <c r="B76" s="1" t="s">
        <v>12</v>
      </c>
      <c r="C76" s="50" t="s">
        <v>130</v>
      </c>
      <c r="D76" s="44">
        <v>2023</v>
      </c>
      <c r="E76" s="34" t="s">
        <v>157</v>
      </c>
      <c r="F76" s="8" t="s">
        <v>39</v>
      </c>
      <c r="G76" s="30" t="s">
        <v>41</v>
      </c>
      <c r="H76" s="14"/>
      <c r="I76" s="15"/>
      <c r="J76" s="15"/>
      <c r="K76" s="15"/>
      <c r="L76" s="15"/>
      <c r="M76" s="15">
        <v>20</v>
      </c>
      <c r="N76" s="15"/>
      <c r="O76" s="15"/>
      <c r="P76" s="15">
        <v>200</v>
      </c>
      <c r="Q76" s="15"/>
      <c r="R76" s="15"/>
      <c r="S76" s="16"/>
      <c r="T76" s="85" cm="1">
        <f t="array" ref="T76">IF(C76="",0,IF(W76="",0,W76/_xlfn.XLOOKUP(C76&amp;D76,RMth&amp;RYr,RAr)))</f>
        <v>0</v>
      </c>
      <c r="U76" s="21"/>
      <c r="V76" s="2"/>
      <c r="W76" s="82"/>
    </row>
    <row r="77" spans="2:23" x14ac:dyDescent="0.35">
      <c r="B77" s="1" t="s">
        <v>12</v>
      </c>
      <c r="C77" s="50" t="s">
        <v>130</v>
      </c>
      <c r="D77" s="44">
        <v>2023</v>
      </c>
      <c r="E77" t="s">
        <v>14</v>
      </c>
      <c r="F77" s="8" t="s">
        <v>39</v>
      </c>
      <c r="G77" s="30" t="s">
        <v>41</v>
      </c>
      <c r="H77" s="14"/>
      <c r="I77" s="15"/>
      <c r="J77" s="15"/>
      <c r="K77" s="15"/>
      <c r="L77" s="15"/>
      <c r="M77" s="15"/>
      <c r="N77" s="15"/>
      <c r="O77" s="15"/>
      <c r="P77" s="15"/>
      <c r="Q77" s="15">
        <v>200</v>
      </c>
      <c r="R77" s="15"/>
      <c r="S77" s="16"/>
      <c r="T77" s="85" cm="1">
        <f t="array" ref="T77">IF(C77="",0,IF(W77="",0,W77/_xlfn.XLOOKUP(C77&amp;D77,RMth&amp;RYr,RAr)))</f>
        <v>0</v>
      </c>
      <c r="U77" s="21">
        <v>30</v>
      </c>
      <c r="V77" s="2"/>
      <c r="W77" s="82"/>
    </row>
    <row r="78" spans="2:23" x14ac:dyDescent="0.35">
      <c r="B78" s="1" t="s">
        <v>12</v>
      </c>
      <c r="C78" s="50" t="s">
        <v>130</v>
      </c>
      <c r="D78" s="44">
        <v>2023</v>
      </c>
      <c r="E78" s="34" t="s">
        <v>15</v>
      </c>
      <c r="F78" s="8" t="s">
        <v>39</v>
      </c>
      <c r="G78" s="30" t="s">
        <v>9</v>
      </c>
      <c r="H78" s="14"/>
      <c r="I78" s="15"/>
      <c r="J78" s="15"/>
      <c r="K78" s="15"/>
      <c r="L78" s="15"/>
      <c r="M78" s="15">
        <v>20</v>
      </c>
      <c r="N78" s="15"/>
      <c r="O78" s="15"/>
      <c r="P78" s="15">
        <v>200</v>
      </c>
      <c r="Q78" s="15"/>
      <c r="R78" s="15"/>
      <c r="S78" s="16"/>
      <c r="T78" s="85" cm="1">
        <f t="array" ref="T78">IF(C78="",0,IF(W78="",0,W78/_xlfn.XLOOKUP(C78&amp;D78,RMth&amp;RYr,RAr)))</f>
        <v>22.812716720808844</v>
      </c>
      <c r="U78" s="21">
        <v>30</v>
      </c>
      <c r="V78" s="2"/>
      <c r="W78" s="82">
        <v>100000</v>
      </c>
    </row>
    <row r="79" spans="2:23" x14ac:dyDescent="0.35">
      <c r="B79" s="1" t="s">
        <v>12</v>
      </c>
      <c r="C79" s="50" t="s">
        <v>130</v>
      </c>
      <c r="D79" s="44">
        <v>2023</v>
      </c>
      <c r="E79" t="s">
        <v>15</v>
      </c>
      <c r="F79" s="8" t="s">
        <v>39</v>
      </c>
      <c r="G79" s="30" t="s">
        <v>41</v>
      </c>
      <c r="H79" s="14"/>
      <c r="I79" s="15"/>
      <c r="J79" s="15"/>
      <c r="K79" s="15"/>
      <c r="L79" s="15"/>
      <c r="M79" s="15">
        <v>20</v>
      </c>
      <c r="N79" s="15"/>
      <c r="O79" s="15"/>
      <c r="P79" s="15">
        <v>200</v>
      </c>
      <c r="Q79" s="15"/>
      <c r="R79" s="15"/>
      <c r="S79" s="16"/>
      <c r="T79" s="85" cm="1">
        <f t="array" ref="T79">IF(C79="",0,IF(W79="",0,W79/_xlfn.XLOOKUP(C79&amp;D79,RMth&amp;RYr,RAr)))</f>
        <v>0</v>
      </c>
      <c r="U79" s="21">
        <v>30</v>
      </c>
      <c r="V79" s="2"/>
      <c r="W79" s="82"/>
    </row>
    <row r="80" spans="2:23" x14ac:dyDescent="0.35">
      <c r="B80" s="1" t="s">
        <v>12</v>
      </c>
      <c r="C80" s="50" t="s">
        <v>130</v>
      </c>
      <c r="D80" s="44">
        <v>2023</v>
      </c>
      <c r="E80" t="s">
        <v>16</v>
      </c>
      <c r="F80" s="8" t="s">
        <v>39</v>
      </c>
      <c r="G80" s="30" t="s">
        <v>41</v>
      </c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5">
        <v>50</v>
      </c>
      <c r="S80" s="16"/>
      <c r="T80" s="85" cm="1">
        <f t="array" ref="T80">IF(C80="",0,IF(W80="",0,W80/_xlfn.XLOOKUP(C80&amp;D80,RMth&amp;RYr,RAr)))</f>
        <v>0</v>
      </c>
      <c r="U80" s="21">
        <v>30</v>
      </c>
      <c r="V80" s="2"/>
      <c r="W80" s="82"/>
    </row>
    <row r="81" spans="2:23" x14ac:dyDescent="0.35">
      <c r="B81" s="1" t="s">
        <v>12</v>
      </c>
      <c r="C81" s="50" t="s">
        <v>130</v>
      </c>
      <c r="D81" s="44">
        <v>2023</v>
      </c>
      <c r="E81" t="s">
        <v>17</v>
      </c>
      <c r="F81" s="8" t="s">
        <v>39</v>
      </c>
      <c r="G81" s="30" t="s">
        <v>41</v>
      </c>
      <c r="H81" s="14"/>
      <c r="I81" s="15"/>
      <c r="J81" s="15"/>
      <c r="K81" s="15"/>
      <c r="L81" s="15"/>
      <c r="M81" s="15">
        <v>20</v>
      </c>
      <c r="N81" s="15"/>
      <c r="O81" s="15"/>
      <c r="P81" s="15">
        <v>200</v>
      </c>
      <c r="Q81" s="15">
        <v>200</v>
      </c>
      <c r="R81" s="15"/>
      <c r="S81" s="16"/>
      <c r="T81" s="85" cm="1">
        <f t="array" ref="T81">IF(C81="",0,IF(W81="",0,W81/_xlfn.XLOOKUP(C81&amp;D81,RMth&amp;RYr,RAr)))</f>
        <v>0</v>
      </c>
      <c r="U81" s="21">
        <v>30</v>
      </c>
      <c r="V81" s="2"/>
      <c r="W81" s="82"/>
    </row>
    <row r="82" spans="2:23" x14ac:dyDescent="0.35">
      <c r="B82" s="1" t="s">
        <v>19</v>
      </c>
      <c r="C82" s="50" t="s">
        <v>130</v>
      </c>
      <c r="D82" s="44">
        <v>2023</v>
      </c>
      <c r="E82" t="s">
        <v>20</v>
      </c>
      <c r="F82" s="8" t="s">
        <v>39</v>
      </c>
      <c r="G82" s="30" t="s">
        <v>41</v>
      </c>
      <c r="H82" s="1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>
        <v>20</v>
      </c>
      <c r="T82" s="85" cm="1">
        <f t="array" ref="T82">IF(C82="",0,IF(W82="",0,W82/_xlfn.XLOOKUP(C82&amp;D82,RMth&amp;RYr,RAr)))</f>
        <v>0</v>
      </c>
      <c r="U82" s="21">
        <v>30</v>
      </c>
      <c r="V82" s="2"/>
      <c r="W82" s="82"/>
    </row>
    <row r="83" spans="2:23" x14ac:dyDescent="0.35">
      <c r="B83" s="1" t="s">
        <v>19</v>
      </c>
      <c r="C83" s="50" t="s">
        <v>130</v>
      </c>
      <c r="D83" s="44">
        <v>2023</v>
      </c>
      <c r="E83" t="s">
        <v>21</v>
      </c>
      <c r="F83" s="8" t="s">
        <v>39</v>
      </c>
      <c r="G83" s="30" t="s">
        <v>41</v>
      </c>
      <c r="H83" s="14"/>
      <c r="I83" s="15"/>
      <c r="J83" s="15"/>
      <c r="K83" s="15"/>
      <c r="L83" s="15"/>
      <c r="M83" s="15">
        <v>20</v>
      </c>
      <c r="N83" s="15"/>
      <c r="O83" s="15"/>
      <c r="P83" s="15">
        <v>200</v>
      </c>
      <c r="Q83" s="15"/>
      <c r="R83" s="15"/>
      <c r="S83" s="16"/>
      <c r="T83" s="85" cm="1">
        <f t="array" ref="T83">IF(C83="",0,IF(W83="",0,W83/_xlfn.XLOOKUP(C83&amp;D83,RMth&amp;RYr,RAr)))</f>
        <v>0</v>
      </c>
      <c r="U83" s="21">
        <v>30</v>
      </c>
      <c r="V83" s="2"/>
      <c r="W83" s="82"/>
    </row>
    <row r="84" spans="2:23" x14ac:dyDescent="0.35">
      <c r="B84" s="1" t="s">
        <v>19</v>
      </c>
      <c r="C84" s="50" t="s">
        <v>130</v>
      </c>
      <c r="D84" s="44">
        <v>2023</v>
      </c>
      <c r="E84" s="34" t="s">
        <v>101</v>
      </c>
      <c r="F84" s="8" t="s">
        <v>39</v>
      </c>
      <c r="G84" s="30" t="s">
        <v>41</v>
      </c>
      <c r="H84" s="1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>
        <v>20</v>
      </c>
      <c r="T84" s="85" cm="1">
        <f t="array" ref="T84">IF(C84="",0,IF(W84="",0,W84/_xlfn.XLOOKUP(C84&amp;D84,RMth&amp;RYr,RAr)))</f>
        <v>0</v>
      </c>
      <c r="U84" s="21">
        <v>30</v>
      </c>
      <c r="V84" s="2"/>
      <c r="W84" s="82"/>
    </row>
    <row r="85" spans="2:23" x14ac:dyDescent="0.35">
      <c r="B85" s="1" t="s">
        <v>19</v>
      </c>
      <c r="C85" s="50" t="s">
        <v>130</v>
      </c>
      <c r="D85" s="44">
        <v>2023</v>
      </c>
      <c r="E85" s="34" t="s">
        <v>117</v>
      </c>
      <c r="F85" s="8" t="s">
        <v>39</v>
      </c>
      <c r="G85" s="30" t="s">
        <v>41</v>
      </c>
      <c r="H85" s="14"/>
      <c r="I85" s="15"/>
      <c r="J85" s="15"/>
      <c r="K85" s="15"/>
      <c r="L85" s="15"/>
      <c r="M85" s="15">
        <v>20</v>
      </c>
      <c r="N85" s="15"/>
      <c r="O85" s="15"/>
      <c r="P85" s="15">
        <v>200</v>
      </c>
      <c r="Q85" s="15"/>
      <c r="R85" s="15"/>
      <c r="S85" s="16"/>
      <c r="T85" s="85" cm="1">
        <f t="array" ref="T85">IF(C85="",0,IF(W85="",0,W85/_xlfn.XLOOKUP(C85&amp;D85,RMth&amp;RYr,RAr)))</f>
        <v>0</v>
      </c>
      <c r="U85" s="21">
        <v>30</v>
      </c>
      <c r="V85" s="2"/>
      <c r="W85" s="82"/>
    </row>
    <row r="86" spans="2:23" x14ac:dyDescent="0.35">
      <c r="B86" s="1" t="s">
        <v>19</v>
      </c>
      <c r="C86" s="50" t="s">
        <v>130</v>
      </c>
      <c r="D86" s="44">
        <v>2023</v>
      </c>
      <c r="E86" t="s">
        <v>22</v>
      </c>
      <c r="F86" s="8" t="s">
        <v>39</v>
      </c>
      <c r="G86" s="30" t="s">
        <v>41</v>
      </c>
      <c r="H86" s="14"/>
      <c r="I86" s="15"/>
      <c r="J86" s="15"/>
      <c r="K86" s="15"/>
      <c r="L86" s="15"/>
      <c r="M86" s="15"/>
      <c r="N86" s="15"/>
      <c r="O86" s="15"/>
      <c r="P86" s="15"/>
      <c r="Q86" s="15"/>
      <c r="R86" s="15">
        <v>50</v>
      </c>
      <c r="S86" s="16" t="s">
        <v>23</v>
      </c>
      <c r="T86" s="85" cm="1">
        <f t="array" ref="T86">IF(C86="",0,IF(W86="",0,W86/_xlfn.XLOOKUP(C86&amp;D86,RMth&amp;RYr,RAr)))</f>
        <v>0</v>
      </c>
      <c r="U86" s="21">
        <v>30</v>
      </c>
      <c r="V86" s="2"/>
      <c r="W86" s="82"/>
    </row>
    <row r="87" spans="2:23" x14ac:dyDescent="0.35">
      <c r="B87" s="1" t="s">
        <v>19</v>
      </c>
      <c r="C87" s="50" t="s">
        <v>130</v>
      </c>
      <c r="D87" s="44">
        <v>2023</v>
      </c>
      <c r="E87" t="s">
        <v>24</v>
      </c>
      <c r="F87" s="8" t="s">
        <v>39</v>
      </c>
      <c r="G87" s="30" t="s">
        <v>9</v>
      </c>
      <c r="H87" s="1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85" cm="1">
        <f t="array" ref="T87">IF(C87="",0,IF(W87="",0,W87/_xlfn.XLOOKUP(C87&amp;D87,RMth&amp;RYr,RAr)))</f>
        <v>0</v>
      </c>
      <c r="U87" s="21">
        <v>30</v>
      </c>
      <c r="V87" s="2"/>
      <c r="W87" s="82"/>
    </row>
    <row r="88" spans="2:23" x14ac:dyDescent="0.35">
      <c r="B88" s="1" t="s">
        <v>19</v>
      </c>
      <c r="C88" s="50" t="s">
        <v>130</v>
      </c>
      <c r="D88" s="44">
        <v>2023</v>
      </c>
      <c r="E88" t="s">
        <v>25</v>
      </c>
      <c r="F88" s="8" t="s">
        <v>39</v>
      </c>
      <c r="G88" s="30" t="s">
        <v>9</v>
      </c>
      <c r="H88" s="1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85" cm="1">
        <f t="array" ref="T88">IF(C88="",0,IF(W88="",0,W88/_xlfn.XLOOKUP(C88&amp;D88,RMth&amp;RYr,RAr)))</f>
        <v>0</v>
      </c>
      <c r="U88" s="21">
        <v>30</v>
      </c>
      <c r="V88" s="2"/>
      <c r="W88" s="82"/>
    </row>
    <row r="89" spans="2:23" x14ac:dyDescent="0.35">
      <c r="B89" s="1" t="s">
        <v>12</v>
      </c>
      <c r="C89" s="50" t="s">
        <v>130</v>
      </c>
      <c r="D89" s="44">
        <v>2023</v>
      </c>
      <c r="E89" s="34" t="s">
        <v>13</v>
      </c>
      <c r="F89" s="8" t="s">
        <v>38</v>
      </c>
      <c r="G89" s="30" t="s">
        <v>41</v>
      </c>
      <c r="H89" s="14">
        <f>400*5</f>
        <v>2000</v>
      </c>
      <c r="I89" s="15"/>
      <c r="J89" s="15"/>
      <c r="K89" s="15"/>
      <c r="L89" s="15">
        <f>60*5</f>
        <v>300</v>
      </c>
      <c r="M89" s="15">
        <f>35*5</f>
        <v>175</v>
      </c>
      <c r="N89" s="15"/>
      <c r="O89" s="15"/>
      <c r="P89" s="15"/>
      <c r="Q89" s="15"/>
      <c r="R89" s="15"/>
      <c r="S89" s="16"/>
      <c r="T89" s="85" cm="1">
        <f t="array" ref="T89">IF(C89="",0,IF(W89="",0,W89/_xlfn.XLOOKUP(C89&amp;D89,RMth&amp;RYr,RAr)))</f>
        <v>0</v>
      </c>
      <c r="U89" s="21">
        <v>20</v>
      </c>
      <c r="V89" s="2"/>
      <c r="W89" s="82"/>
    </row>
    <row r="90" spans="2:23" x14ac:dyDescent="0.35">
      <c r="B90" s="1" t="s">
        <v>12</v>
      </c>
      <c r="C90" s="50" t="s">
        <v>130</v>
      </c>
      <c r="D90" s="44">
        <v>2023</v>
      </c>
      <c r="E90" s="34" t="s">
        <v>13</v>
      </c>
      <c r="F90" s="8" t="s">
        <v>38</v>
      </c>
      <c r="G90" s="30" t="s">
        <v>9</v>
      </c>
      <c r="H90" s="1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85" cm="1">
        <f t="array" ref="T90">IF(C90="",0,IF(W90="",0,W90/_xlfn.XLOOKUP(C90&amp;D90,RMth&amp;RYr,RAr)))</f>
        <v>13.687630032485307</v>
      </c>
      <c r="U90" s="21">
        <v>20</v>
      </c>
      <c r="V90" s="2"/>
      <c r="W90" s="82">
        <v>60000</v>
      </c>
    </row>
    <row r="91" spans="2:23" x14ac:dyDescent="0.35">
      <c r="B91" s="1" t="s">
        <v>26</v>
      </c>
      <c r="C91" s="50" t="s">
        <v>130</v>
      </c>
      <c r="D91" s="44">
        <v>2023</v>
      </c>
      <c r="E91" s="34" t="s">
        <v>27</v>
      </c>
      <c r="F91" s="8" t="s">
        <v>109</v>
      </c>
      <c r="G91" s="30" t="s">
        <v>111</v>
      </c>
      <c r="H91" s="14">
        <v>140</v>
      </c>
      <c r="I91" s="15"/>
      <c r="J91" s="15"/>
      <c r="K91" s="15"/>
      <c r="L91" s="15">
        <v>30</v>
      </c>
      <c r="M91" s="15">
        <v>10</v>
      </c>
      <c r="N91" s="15"/>
      <c r="O91" s="15"/>
      <c r="P91" s="15"/>
      <c r="Q91" s="15"/>
      <c r="R91" s="15"/>
      <c r="S91" s="16"/>
      <c r="T91" s="85" cm="1">
        <f t="array" ref="T91">IF(C91="",0,IF(W91="",0,W91/_xlfn.XLOOKUP(C91&amp;D91,RMth&amp;RYr,RAr)))</f>
        <v>7.1860057670547858E-2</v>
      </c>
      <c r="U91" s="21">
        <v>60</v>
      </c>
      <c r="V91" s="2">
        <v>13</v>
      </c>
      <c r="W91" s="82">
        <v>315</v>
      </c>
    </row>
    <row r="92" spans="2:23" x14ac:dyDescent="0.35">
      <c r="B92" s="3" t="s">
        <v>26</v>
      </c>
      <c r="C92" s="50" t="s">
        <v>130</v>
      </c>
      <c r="D92" s="44">
        <v>2023</v>
      </c>
      <c r="E92" s="33" t="s">
        <v>28</v>
      </c>
      <c r="F92" s="9" t="s">
        <v>109</v>
      </c>
      <c r="G92" s="9" t="s">
        <v>41</v>
      </c>
      <c r="H92" s="17">
        <v>140</v>
      </c>
      <c r="I92" s="18"/>
      <c r="J92" s="18"/>
      <c r="K92" s="18"/>
      <c r="L92" s="18">
        <v>30</v>
      </c>
      <c r="M92" s="18">
        <v>10</v>
      </c>
      <c r="N92" s="18"/>
      <c r="O92" s="18"/>
      <c r="P92" s="18"/>
      <c r="Q92" s="18"/>
      <c r="R92" s="18"/>
      <c r="S92" s="19"/>
      <c r="T92" s="86" cm="1">
        <f t="array" ref="T92">IF(C92="",0,IF(W92="",0,W92/_xlfn.XLOOKUP(C92&amp;D92,RMth&amp;RYr,RAr)))</f>
        <v>0</v>
      </c>
      <c r="U92" s="22">
        <v>60</v>
      </c>
      <c r="V92" s="4"/>
      <c r="W92" s="83"/>
    </row>
    <row r="94" spans="2:23" x14ac:dyDescent="0.35">
      <c r="B94" s="5" t="s">
        <v>0</v>
      </c>
      <c r="C94" s="5"/>
      <c r="D94" s="5"/>
      <c r="E94" s="6" t="s">
        <v>1</v>
      </c>
      <c r="F94" s="6" t="s">
        <v>37</v>
      </c>
      <c r="G94" s="10" t="s">
        <v>42</v>
      </c>
      <c r="H94" s="7" t="s">
        <v>2</v>
      </c>
      <c r="I94" s="7" t="s">
        <v>3</v>
      </c>
      <c r="J94" s="7" t="s">
        <v>32</v>
      </c>
      <c r="K94" s="7" t="s">
        <v>4</v>
      </c>
      <c r="L94" s="7" t="s">
        <v>5</v>
      </c>
      <c r="M94" s="7" t="s">
        <v>6</v>
      </c>
      <c r="N94" s="7" t="s">
        <v>7</v>
      </c>
      <c r="O94" s="7" t="s">
        <v>36</v>
      </c>
      <c r="P94" s="7" t="s">
        <v>35</v>
      </c>
      <c r="Q94" s="7" t="s">
        <v>33</v>
      </c>
      <c r="R94" s="7" t="s">
        <v>34</v>
      </c>
      <c r="S94" s="7" t="s">
        <v>8</v>
      </c>
      <c r="T94" s="84" t="s">
        <v>9</v>
      </c>
      <c r="U94" s="7" t="s">
        <v>10</v>
      </c>
      <c r="V94" s="7" t="s">
        <v>11</v>
      </c>
      <c r="W94" s="81" t="s">
        <v>155</v>
      </c>
    </row>
    <row r="95" spans="2:23" x14ac:dyDescent="0.35">
      <c r="B95" s="1" t="s">
        <v>12</v>
      </c>
      <c r="C95" s="50"/>
      <c r="D95" s="44"/>
      <c r="E95" s="34" t="s">
        <v>135</v>
      </c>
      <c r="F95" s="8" t="s">
        <v>40</v>
      </c>
      <c r="G95" s="30" t="s">
        <v>9</v>
      </c>
      <c r="H95" s="11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85" cm="1">
        <f t="array" ref="T95">IF(C95="",0,IF(W95="",0,W95/_xlfn.XLOOKUP(C95&amp;D95,RMth&amp;RYr,RAr)))</f>
        <v>0</v>
      </c>
      <c r="U95" s="20">
        <v>30</v>
      </c>
      <c r="V95" s="2">
        <v>15</v>
      </c>
      <c r="W95" s="82">
        <v>150000</v>
      </c>
    </row>
    <row r="96" spans="2:23" x14ac:dyDescent="0.35">
      <c r="B96" s="1" t="s">
        <v>12</v>
      </c>
      <c r="C96" s="50"/>
      <c r="D96" s="44"/>
      <c r="E96" s="34" t="s">
        <v>135</v>
      </c>
      <c r="F96" s="8" t="s">
        <v>40</v>
      </c>
      <c r="G96" s="30" t="s">
        <v>41</v>
      </c>
      <c r="H96" s="14">
        <f>400*5</f>
        <v>2000</v>
      </c>
      <c r="I96" s="15"/>
      <c r="J96" s="15"/>
      <c r="K96" s="15"/>
      <c r="L96" s="15">
        <f>60*5</f>
        <v>300</v>
      </c>
      <c r="M96" s="15">
        <f>35*5</f>
        <v>175</v>
      </c>
      <c r="N96" s="15"/>
      <c r="O96" s="15"/>
      <c r="P96" s="15"/>
      <c r="Q96" s="15"/>
      <c r="R96" s="15"/>
      <c r="S96" s="16"/>
      <c r="T96" s="85" cm="1">
        <f t="array" ref="T96">IF(C96="",0,IF(W96="",0,W96/_xlfn.XLOOKUP(C96&amp;D96,RMth&amp;RYr,RAr)))</f>
        <v>0</v>
      </c>
      <c r="U96" s="21">
        <v>30</v>
      </c>
      <c r="V96" s="2">
        <v>15</v>
      </c>
      <c r="W96" s="82"/>
    </row>
    <row r="97" spans="2:23" x14ac:dyDescent="0.35">
      <c r="B97" s="1" t="s">
        <v>12</v>
      </c>
      <c r="C97" s="50"/>
      <c r="D97" s="44"/>
      <c r="E97" s="34" t="s">
        <v>136</v>
      </c>
      <c r="F97" s="8" t="s">
        <v>40</v>
      </c>
      <c r="G97" s="30" t="s">
        <v>9</v>
      </c>
      <c r="H97" s="14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85" cm="1">
        <f t="array" ref="T97">IF(C97="",0,IF(W97="",0,W97/_xlfn.XLOOKUP(C97&amp;D97,RMth&amp;RYr,RAr)))</f>
        <v>0</v>
      </c>
      <c r="U97" s="21">
        <v>30</v>
      </c>
      <c r="V97" s="2">
        <v>15</v>
      </c>
      <c r="W97" s="82">
        <v>120000</v>
      </c>
    </row>
    <row r="98" spans="2:23" x14ac:dyDescent="0.35">
      <c r="B98" s="1" t="s">
        <v>12</v>
      </c>
      <c r="C98" s="50"/>
      <c r="D98" s="44"/>
      <c r="E98" s="34" t="s">
        <v>136</v>
      </c>
      <c r="F98" s="8" t="s">
        <v>40</v>
      </c>
      <c r="G98" s="30" t="s">
        <v>41</v>
      </c>
      <c r="H98" s="14">
        <f>400*5</f>
        <v>2000</v>
      </c>
      <c r="I98" s="15"/>
      <c r="J98" s="15"/>
      <c r="K98" s="15"/>
      <c r="L98" s="15">
        <f>60*5</f>
        <v>300</v>
      </c>
      <c r="M98" s="15">
        <f>35*5</f>
        <v>175</v>
      </c>
      <c r="N98" s="15"/>
      <c r="O98" s="15"/>
      <c r="P98" s="15"/>
      <c r="Q98" s="15"/>
      <c r="R98" s="15"/>
      <c r="S98" s="16"/>
      <c r="T98" s="85" cm="1">
        <f t="array" ref="T98">IF(C98="",0,IF(W98="",0,W98/_xlfn.XLOOKUP(C98&amp;D98,RMth&amp;RYr,RAr)))</f>
        <v>0</v>
      </c>
      <c r="U98" s="21">
        <v>30</v>
      </c>
      <c r="V98" s="2">
        <v>15</v>
      </c>
      <c r="W98" s="82"/>
    </row>
    <row r="99" spans="2:23" x14ac:dyDescent="0.35">
      <c r="B99" s="1" t="s">
        <v>12</v>
      </c>
      <c r="C99" s="50"/>
      <c r="D99" s="44"/>
      <c r="E99" t="s">
        <v>18</v>
      </c>
      <c r="F99" s="8" t="s">
        <v>40</v>
      </c>
      <c r="G99" s="30" t="s">
        <v>41</v>
      </c>
      <c r="H99" s="14">
        <f>400*5</f>
        <v>2000</v>
      </c>
      <c r="I99" s="15"/>
      <c r="J99" s="15"/>
      <c r="K99" s="15"/>
      <c r="L99" s="15">
        <f>60*5</f>
        <v>300</v>
      </c>
      <c r="M99" s="15"/>
      <c r="N99" s="15"/>
      <c r="O99" s="15"/>
      <c r="P99" s="15"/>
      <c r="Q99" s="15"/>
      <c r="R99" s="15"/>
      <c r="S99" s="16"/>
      <c r="T99" s="85" cm="1">
        <f t="array" ref="T99">IF(C99="",0,IF(W99="",0,W99/_xlfn.XLOOKUP(C99&amp;D99,RMth&amp;RYr,RAr)))</f>
        <v>0</v>
      </c>
      <c r="U99" s="21">
        <v>30</v>
      </c>
      <c r="V99" s="2">
        <v>15</v>
      </c>
      <c r="W99" s="82"/>
    </row>
    <row r="100" spans="2:23" x14ac:dyDescent="0.35">
      <c r="B100" s="1" t="s">
        <v>29</v>
      </c>
      <c r="C100" s="50"/>
      <c r="D100" s="44"/>
      <c r="E100" t="s">
        <v>30</v>
      </c>
      <c r="F100" s="8" t="s">
        <v>40</v>
      </c>
      <c r="G100" s="30" t="s">
        <v>41</v>
      </c>
      <c r="H100" s="14">
        <f>400*5</f>
        <v>2000</v>
      </c>
      <c r="I100" s="15"/>
      <c r="J100" s="15"/>
      <c r="K100" s="15"/>
      <c r="L100" s="15">
        <f>60*5</f>
        <v>300</v>
      </c>
      <c r="M100" s="15"/>
      <c r="N100" s="15"/>
      <c r="O100" s="15"/>
      <c r="P100" s="15"/>
      <c r="Q100" s="15"/>
      <c r="R100" s="15"/>
      <c r="S100" s="16"/>
      <c r="T100" s="85" cm="1">
        <f t="array" ref="T100">IF(C100="",0,IF(W100="",0,W100/_xlfn.XLOOKUP(C100&amp;D100,RMth&amp;RYr,RAr)))</f>
        <v>0</v>
      </c>
      <c r="U100" s="21">
        <v>20</v>
      </c>
      <c r="V100" s="2"/>
      <c r="W100" s="82"/>
    </row>
    <row r="101" spans="2:23" x14ac:dyDescent="0.35">
      <c r="B101" s="1" t="s">
        <v>29</v>
      </c>
      <c r="C101" s="50"/>
      <c r="D101" s="44"/>
      <c r="E101" t="s">
        <v>31</v>
      </c>
      <c r="F101" s="8" t="s">
        <v>40</v>
      </c>
      <c r="G101" s="30" t="s">
        <v>9</v>
      </c>
      <c r="H101" s="14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85" cm="1">
        <f t="array" ref="T101">IF(C101="",0,IF(W101="",0,W101/_xlfn.XLOOKUP(C101&amp;D101,RMth&amp;RYr,RAr)))</f>
        <v>0</v>
      </c>
      <c r="U101" s="21">
        <v>20</v>
      </c>
      <c r="V101" s="2"/>
      <c r="W101" s="82"/>
    </row>
    <row r="102" spans="2:23" x14ac:dyDescent="0.35">
      <c r="B102" s="1" t="s">
        <v>12</v>
      </c>
      <c r="C102" s="50"/>
      <c r="D102" s="44"/>
      <c r="E102" s="34" t="s">
        <v>98</v>
      </c>
      <c r="F102" s="8" t="s">
        <v>39</v>
      </c>
      <c r="G102" s="30" t="s">
        <v>41</v>
      </c>
      <c r="H102" s="14"/>
      <c r="I102" s="15"/>
      <c r="J102" s="15"/>
      <c r="K102" s="15"/>
      <c r="L102" s="15"/>
      <c r="M102" s="15"/>
      <c r="N102" s="15"/>
      <c r="O102" s="15">
        <v>100</v>
      </c>
      <c r="P102" s="15"/>
      <c r="Q102" s="15"/>
      <c r="R102" s="15"/>
      <c r="S102" s="16"/>
      <c r="T102" s="85" cm="1">
        <f t="array" ref="T102">IF(C102="",0,IF(W102="",0,W102/_xlfn.XLOOKUP(C102&amp;D102,RMth&amp;RYr,RAr)))</f>
        <v>0</v>
      </c>
      <c r="U102" s="21">
        <v>30</v>
      </c>
      <c r="V102" s="2"/>
      <c r="W102" s="82"/>
    </row>
    <row r="103" spans="2:23" x14ac:dyDescent="0.35">
      <c r="B103" s="1" t="s">
        <v>12</v>
      </c>
      <c r="C103" s="50"/>
      <c r="D103" s="44"/>
      <c r="E103" s="34" t="s">
        <v>150</v>
      </c>
      <c r="F103" s="8" t="s">
        <v>39</v>
      </c>
      <c r="G103" s="30" t="s">
        <v>41</v>
      </c>
      <c r="H103" s="14"/>
      <c r="I103" s="15"/>
      <c r="J103" s="15"/>
      <c r="K103" s="15"/>
      <c r="L103" s="15"/>
      <c r="M103" s="15"/>
      <c r="N103" s="15"/>
      <c r="O103" s="15"/>
      <c r="P103" s="15"/>
      <c r="Q103" s="15"/>
      <c r="R103" s="15">
        <v>50</v>
      </c>
      <c r="S103" s="16"/>
      <c r="T103" s="85" cm="1">
        <f t="array" ref="T103">IF(C103="",0,IF(W103="",0,W103/_xlfn.XLOOKUP(C103&amp;D103,RMth&amp;RYr,RAr)))</f>
        <v>0</v>
      </c>
      <c r="U103" s="21"/>
      <c r="V103" s="2"/>
      <c r="W103" s="82"/>
    </row>
    <row r="104" spans="2:23" x14ac:dyDescent="0.35">
      <c r="B104" s="1" t="s">
        <v>12</v>
      </c>
      <c r="C104" s="50"/>
      <c r="D104" s="44"/>
      <c r="E104" s="34" t="s">
        <v>151</v>
      </c>
      <c r="F104" s="8" t="s">
        <v>39</v>
      </c>
      <c r="G104" s="30" t="s">
        <v>41</v>
      </c>
      <c r="H104" s="14"/>
      <c r="I104" s="15"/>
      <c r="J104" s="15"/>
      <c r="K104" s="15"/>
      <c r="L104" s="15"/>
      <c r="M104" s="15">
        <v>20</v>
      </c>
      <c r="N104" s="15"/>
      <c r="O104" s="15"/>
      <c r="P104" s="15">
        <v>200</v>
      </c>
      <c r="Q104" s="15"/>
      <c r="R104" s="15"/>
      <c r="S104" s="16"/>
      <c r="T104" s="85" cm="1">
        <f t="array" ref="T104">IF(C104="",0,IF(W104="",0,W104/_xlfn.XLOOKUP(C104&amp;D104,RMth&amp;RYr,RAr)))</f>
        <v>0</v>
      </c>
      <c r="U104" s="21"/>
      <c r="V104" s="2"/>
      <c r="W104" s="82"/>
    </row>
    <row r="105" spans="2:23" x14ac:dyDescent="0.35">
      <c r="B105" s="1" t="s">
        <v>12</v>
      </c>
      <c r="C105" s="50"/>
      <c r="D105" s="44"/>
      <c r="E105" s="34" t="s">
        <v>156</v>
      </c>
      <c r="F105" s="8" t="s">
        <v>39</v>
      </c>
      <c r="G105" s="30" t="s">
        <v>41</v>
      </c>
      <c r="H105" s="14"/>
      <c r="I105" s="15"/>
      <c r="J105" s="15"/>
      <c r="K105" s="15"/>
      <c r="L105" s="15"/>
      <c r="M105" s="15"/>
      <c r="N105" s="15"/>
      <c r="O105" s="15"/>
      <c r="P105" s="15"/>
      <c r="Q105" s="15"/>
      <c r="R105" s="15">
        <v>50</v>
      </c>
      <c r="S105" s="16"/>
      <c r="T105" s="85" cm="1">
        <f t="array" ref="T105">IF(C105="",0,IF(W105="",0,W105/_xlfn.XLOOKUP(C105&amp;D105,RMth&amp;RYr,RAr)))</f>
        <v>0</v>
      </c>
      <c r="U105" s="21"/>
      <c r="V105" s="2"/>
      <c r="W105" s="82"/>
    </row>
    <row r="106" spans="2:23" x14ac:dyDescent="0.35">
      <c r="B106" s="1" t="s">
        <v>12</v>
      </c>
      <c r="C106" s="50"/>
      <c r="D106" s="44"/>
      <c r="E106" s="34" t="s">
        <v>157</v>
      </c>
      <c r="F106" s="8" t="s">
        <v>39</v>
      </c>
      <c r="G106" s="30" t="s">
        <v>41</v>
      </c>
      <c r="H106" s="14"/>
      <c r="I106" s="15"/>
      <c r="J106" s="15"/>
      <c r="K106" s="15"/>
      <c r="L106" s="15"/>
      <c r="M106" s="15">
        <v>20</v>
      </c>
      <c r="N106" s="15"/>
      <c r="O106" s="15"/>
      <c r="P106" s="15">
        <v>200</v>
      </c>
      <c r="Q106" s="15"/>
      <c r="R106" s="15"/>
      <c r="S106" s="16"/>
      <c r="T106" s="85" cm="1">
        <f t="array" ref="T106">IF(C106="",0,IF(W106="",0,W106/_xlfn.XLOOKUP(C106&amp;D106,RMth&amp;RYr,RAr)))</f>
        <v>0</v>
      </c>
      <c r="U106" s="21"/>
      <c r="V106" s="2"/>
      <c r="W106" s="82"/>
    </row>
    <row r="107" spans="2:23" x14ac:dyDescent="0.35">
      <c r="B107" s="1" t="s">
        <v>12</v>
      </c>
      <c r="C107" s="50"/>
      <c r="D107" s="44"/>
      <c r="E107" t="s">
        <v>14</v>
      </c>
      <c r="F107" s="8" t="s">
        <v>39</v>
      </c>
      <c r="G107" s="30" t="s">
        <v>41</v>
      </c>
      <c r="H107" s="14"/>
      <c r="I107" s="15"/>
      <c r="J107" s="15"/>
      <c r="K107" s="15"/>
      <c r="L107" s="15"/>
      <c r="M107" s="15"/>
      <c r="N107" s="15"/>
      <c r="O107" s="15"/>
      <c r="P107" s="15"/>
      <c r="Q107" s="15">
        <v>200</v>
      </c>
      <c r="R107" s="15"/>
      <c r="S107" s="16"/>
      <c r="T107" s="85" cm="1">
        <f t="array" ref="T107">IF(C107="",0,IF(W107="",0,W107/_xlfn.XLOOKUP(C107&amp;D107,RMth&amp;RYr,RAr)))</f>
        <v>0</v>
      </c>
      <c r="U107" s="21">
        <v>30</v>
      </c>
      <c r="V107" s="2"/>
      <c r="W107" s="82"/>
    </row>
    <row r="108" spans="2:23" x14ac:dyDescent="0.35">
      <c r="B108" s="1" t="s">
        <v>12</v>
      </c>
      <c r="C108" s="50"/>
      <c r="D108" s="44"/>
      <c r="E108" s="34" t="s">
        <v>15</v>
      </c>
      <c r="F108" s="8" t="s">
        <v>39</v>
      </c>
      <c r="G108" s="30" t="s">
        <v>9</v>
      </c>
      <c r="H108" s="14"/>
      <c r="I108" s="15"/>
      <c r="J108" s="15"/>
      <c r="K108" s="15"/>
      <c r="L108" s="15"/>
      <c r="M108" s="15">
        <v>20</v>
      </c>
      <c r="N108" s="15"/>
      <c r="O108" s="15"/>
      <c r="P108" s="15">
        <v>200</v>
      </c>
      <c r="Q108" s="15"/>
      <c r="R108" s="15"/>
      <c r="S108" s="16"/>
      <c r="T108" s="85" cm="1">
        <f t="array" ref="T108">IF(C108="",0,IF(W108="",0,W108/_xlfn.XLOOKUP(C108&amp;D108,RMth&amp;RYr,RAr)))</f>
        <v>0</v>
      </c>
      <c r="U108" s="21">
        <v>30</v>
      </c>
      <c r="V108" s="2"/>
      <c r="W108" s="82">
        <v>100000</v>
      </c>
    </row>
    <row r="109" spans="2:23" x14ac:dyDescent="0.35">
      <c r="B109" s="1" t="s">
        <v>12</v>
      </c>
      <c r="C109" s="50"/>
      <c r="D109" s="44"/>
      <c r="E109" t="s">
        <v>15</v>
      </c>
      <c r="F109" s="8" t="s">
        <v>39</v>
      </c>
      <c r="G109" s="30" t="s">
        <v>41</v>
      </c>
      <c r="H109" s="14"/>
      <c r="I109" s="15"/>
      <c r="J109" s="15"/>
      <c r="K109" s="15"/>
      <c r="L109" s="15"/>
      <c r="M109" s="15">
        <v>20</v>
      </c>
      <c r="N109" s="15"/>
      <c r="O109" s="15"/>
      <c r="P109" s="15">
        <v>200</v>
      </c>
      <c r="Q109" s="15"/>
      <c r="R109" s="15"/>
      <c r="S109" s="16"/>
      <c r="T109" s="85" cm="1">
        <f t="array" ref="T109">IF(C109="",0,IF(W109="",0,W109/_xlfn.XLOOKUP(C109&amp;D109,RMth&amp;RYr,RAr)))</f>
        <v>0</v>
      </c>
      <c r="U109" s="21">
        <v>30</v>
      </c>
      <c r="V109" s="2"/>
      <c r="W109" s="82"/>
    </row>
    <row r="110" spans="2:23" x14ac:dyDescent="0.35">
      <c r="B110" s="1" t="s">
        <v>12</v>
      </c>
      <c r="C110" s="50"/>
      <c r="D110" s="44"/>
      <c r="E110" t="s">
        <v>16</v>
      </c>
      <c r="F110" s="8" t="s">
        <v>39</v>
      </c>
      <c r="G110" s="30" t="s">
        <v>41</v>
      </c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5">
        <v>50</v>
      </c>
      <c r="S110" s="16"/>
      <c r="T110" s="85" cm="1">
        <f t="array" ref="T110">IF(C110="",0,IF(W110="",0,W110/_xlfn.XLOOKUP(C110&amp;D110,RMth&amp;RYr,RAr)))</f>
        <v>0</v>
      </c>
      <c r="U110" s="21">
        <v>30</v>
      </c>
      <c r="V110" s="2"/>
      <c r="W110" s="82"/>
    </row>
    <row r="111" spans="2:23" x14ac:dyDescent="0.35">
      <c r="B111" s="1" t="s">
        <v>12</v>
      </c>
      <c r="C111" s="50"/>
      <c r="D111" s="44"/>
      <c r="E111" t="s">
        <v>17</v>
      </c>
      <c r="F111" s="8" t="s">
        <v>39</v>
      </c>
      <c r="G111" s="30" t="s">
        <v>41</v>
      </c>
      <c r="H111" s="14"/>
      <c r="I111" s="15"/>
      <c r="J111" s="15"/>
      <c r="K111" s="15"/>
      <c r="L111" s="15"/>
      <c r="M111" s="15">
        <v>20</v>
      </c>
      <c r="N111" s="15"/>
      <c r="O111" s="15"/>
      <c r="P111" s="15">
        <v>200</v>
      </c>
      <c r="Q111" s="15">
        <v>200</v>
      </c>
      <c r="R111" s="15"/>
      <c r="S111" s="16"/>
      <c r="T111" s="85" cm="1">
        <f t="array" ref="T111">IF(C111="",0,IF(W111="",0,W111/_xlfn.XLOOKUP(C111&amp;D111,RMth&amp;RYr,RAr)))</f>
        <v>0</v>
      </c>
      <c r="U111" s="21">
        <v>30</v>
      </c>
      <c r="V111" s="2"/>
      <c r="W111" s="82"/>
    </row>
    <row r="112" spans="2:23" x14ac:dyDescent="0.35">
      <c r="B112" s="1" t="s">
        <v>19</v>
      </c>
      <c r="C112" s="50"/>
      <c r="D112" s="44"/>
      <c r="E112" t="s">
        <v>20</v>
      </c>
      <c r="F112" s="8" t="s">
        <v>39</v>
      </c>
      <c r="G112" s="30" t="s">
        <v>41</v>
      </c>
      <c r="H112" s="14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>
        <v>20</v>
      </c>
      <c r="T112" s="85" cm="1">
        <f t="array" ref="T112">IF(C112="",0,IF(W112="",0,W112/_xlfn.XLOOKUP(C112&amp;D112,RMth&amp;RYr,RAr)))</f>
        <v>0</v>
      </c>
      <c r="U112" s="21">
        <v>30</v>
      </c>
      <c r="V112" s="2"/>
      <c r="W112" s="82"/>
    </row>
    <row r="113" spans="2:23" x14ac:dyDescent="0.35">
      <c r="B113" s="1" t="s">
        <v>19</v>
      </c>
      <c r="C113" s="50"/>
      <c r="D113" s="44"/>
      <c r="E113" t="s">
        <v>21</v>
      </c>
      <c r="F113" s="8" t="s">
        <v>39</v>
      </c>
      <c r="G113" s="30" t="s">
        <v>41</v>
      </c>
      <c r="H113" s="14"/>
      <c r="I113" s="15"/>
      <c r="J113" s="15"/>
      <c r="K113" s="15"/>
      <c r="L113" s="15"/>
      <c r="M113" s="15">
        <v>20</v>
      </c>
      <c r="N113" s="15"/>
      <c r="O113" s="15"/>
      <c r="P113" s="15">
        <v>200</v>
      </c>
      <c r="Q113" s="15"/>
      <c r="R113" s="15"/>
      <c r="S113" s="16"/>
      <c r="T113" s="85" cm="1">
        <f t="array" ref="T113">IF(C113="",0,IF(W113="",0,W113/_xlfn.XLOOKUP(C113&amp;D113,RMth&amp;RYr,RAr)))</f>
        <v>0</v>
      </c>
      <c r="U113" s="21">
        <v>30</v>
      </c>
      <c r="V113" s="2"/>
      <c r="W113" s="82"/>
    </row>
    <row r="114" spans="2:23" x14ac:dyDescent="0.35">
      <c r="B114" s="1" t="s">
        <v>19</v>
      </c>
      <c r="C114" s="50"/>
      <c r="D114" s="44"/>
      <c r="E114" s="34" t="s">
        <v>101</v>
      </c>
      <c r="F114" s="8" t="s">
        <v>39</v>
      </c>
      <c r="G114" s="30" t="s">
        <v>41</v>
      </c>
      <c r="H114" s="14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6">
        <v>20</v>
      </c>
      <c r="T114" s="85" cm="1">
        <f t="array" ref="T114">IF(C114="",0,IF(W114="",0,W114/_xlfn.XLOOKUP(C114&amp;D114,RMth&amp;RYr,RAr)))</f>
        <v>0</v>
      </c>
      <c r="U114" s="21">
        <v>30</v>
      </c>
      <c r="V114" s="2"/>
      <c r="W114" s="82"/>
    </row>
    <row r="115" spans="2:23" x14ac:dyDescent="0.35">
      <c r="B115" s="1" t="s">
        <v>19</v>
      </c>
      <c r="C115" s="50"/>
      <c r="D115" s="44"/>
      <c r="E115" s="34" t="s">
        <v>117</v>
      </c>
      <c r="F115" s="8" t="s">
        <v>39</v>
      </c>
      <c r="G115" s="30" t="s">
        <v>41</v>
      </c>
      <c r="H115" s="14"/>
      <c r="I115" s="15"/>
      <c r="J115" s="15"/>
      <c r="K115" s="15"/>
      <c r="L115" s="15"/>
      <c r="M115" s="15">
        <v>20</v>
      </c>
      <c r="N115" s="15"/>
      <c r="O115" s="15"/>
      <c r="P115" s="15">
        <v>200</v>
      </c>
      <c r="Q115" s="15"/>
      <c r="R115" s="15"/>
      <c r="S115" s="16"/>
      <c r="T115" s="85" cm="1">
        <f t="array" ref="T115">IF(C115="",0,IF(W115="",0,W115/_xlfn.XLOOKUP(C115&amp;D115,RMth&amp;RYr,RAr)))</f>
        <v>0</v>
      </c>
      <c r="U115" s="21">
        <v>30</v>
      </c>
      <c r="V115" s="2"/>
      <c r="W115" s="82"/>
    </row>
    <row r="116" spans="2:23" x14ac:dyDescent="0.35">
      <c r="B116" s="1" t="s">
        <v>19</v>
      </c>
      <c r="C116" s="50"/>
      <c r="D116" s="44"/>
      <c r="E116" t="s">
        <v>22</v>
      </c>
      <c r="F116" s="8" t="s">
        <v>39</v>
      </c>
      <c r="G116" s="30" t="s">
        <v>41</v>
      </c>
      <c r="H116" s="14"/>
      <c r="I116" s="15"/>
      <c r="J116" s="15"/>
      <c r="K116" s="15"/>
      <c r="L116" s="15"/>
      <c r="M116" s="15"/>
      <c r="N116" s="15"/>
      <c r="O116" s="15"/>
      <c r="P116" s="15"/>
      <c r="Q116" s="15"/>
      <c r="R116" s="15">
        <v>50</v>
      </c>
      <c r="S116" s="16" t="s">
        <v>23</v>
      </c>
      <c r="T116" s="85" cm="1">
        <f t="array" ref="T116">IF(C116="",0,IF(W116="",0,W116/_xlfn.XLOOKUP(C116&amp;D116,RMth&amp;RYr,RAr)))</f>
        <v>0</v>
      </c>
      <c r="U116" s="21">
        <v>30</v>
      </c>
      <c r="V116" s="2"/>
      <c r="W116" s="82"/>
    </row>
    <row r="117" spans="2:23" x14ac:dyDescent="0.35">
      <c r="B117" s="1" t="s">
        <v>19</v>
      </c>
      <c r="C117" s="50"/>
      <c r="D117" s="44"/>
      <c r="E117" t="s">
        <v>24</v>
      </c>
      <c r="F117" s="8" t="s">
        <v>39</v>
      </c>
      <c r="G117" s="30" t="s">
        <v>9</v>
      </c>
      <c r="H117" s="14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/>
      <c r="T117" s="85" cm="1">
        <f t="array" ref="T117">IF(C117="",0,IF(W117="",0,W117/_xlfn.XLOOKUP(C117&amp;D117,RMth&amp;RYr,RAr)))</f>
        <v>0</v>
      </c>
      <c r="U117" s="21">
        <v>30</v>
      </c>
      <c r="V117" s="2"/>
      <c r="W117" s="82"/>
    </row>
    <row r="118" spans="2:23" x14ac:dyDescent="0.35">
      <c r="B118" s="1" t="s">
        <v>19</v>
      </c>
      <c r="C118" s="50"/>
      <c r="D118" s="44"/>
      <c r="E118" t="s">
        <v>25</v>
      </c>
      <c r="F118" s="8" t="s">
        <v>39</v>
      </c>
      <c r="G118" s="30" t="s">
        <v>9</v>
      </c>
      <c r="H118" s="14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/>
      <c r="T118" s="85" cm="1">
        <f t="array" ref="T118">IF(C118="",0,IF(W118="",0,W118/_xlfn.XLOOKUP(C118&amp;D118,RMth&amp;RYr,RAr)))</f>
        <v>0</v>
      </c>
      <c r="U118" s="21">
        <v>30</v>
      </c>
      <c r="V118" s="2"/>
      <c r="W118" s="82"/>
    </row>
    <row r="119" spans="2:23" x14ac:dyDescent="0.35">
      <c r="B119" s="1" t="s">
        <v>12</v>
      </c>
      <c r="C119" s="50"/>
      <c r="D119" s="44"/>
      <c r="E119" s="34" t="s">
        <v>13</v>
      </c>
      <c r="F119" s="8" t="s">
        <v>38</v>
      </c>
      <c r="G119" s="30" t="s">
        <v>41</v>
      </c>
      <c r="H119" s="14">
        <f>400*5</f>
        <v>2000</v>
      </c>
      <c r="I119" s="15"/>
      <c r="J119" s="15"/>
      <c r="K119" s="15"/>
      <c r="L119" s="15">
        <f>60*5</f>
        <v>300</v>
      </c>
      <c r="M119" s="15">
        <f>35*5</f>
        <v>175</v>
      </c>
      <c r="N119" s="15"/>
      <c r="O119" s="15"/>
      <c r="P119" s="15"/>
      <c r="Q119" s="15"/>
      <c r="R119" s="15"/>
      <c r="S119" s="16"/>
      <c r="T119" s="85" cm="1">
        <f t="array" ref="T119">IF(C119="",0,IF(W119="",0,W119/_xlfn.XLOOKUP(C119&amp;D119,RMth&amp;RYr,RAr)))</f>
        <v>0</v>
      </c>
      <c r="U119" s="21">
        <v>20</v>
      </c>
      <c r="V119" s="2"/>
      <c r="W119" s="82"/>
    </row>
    <row r="120" spans="2:23" x14ac:dyDescent="0.35">
      <c r="B120" s="1" t="s">
        <v>12</v>
      </c>
      <c r="C120" s="50"/>
      <c r="D120" s="44"/>
      <c r="E120" s="34" t="s">
        <v>13</v>
      </c>
      <c r="F120" s="8" t="s">
        <v>38</v>
      </c>
      <c r="G120" s="30" t="s">
        <v>9</v>
      </c>
      <c r="H120" s="14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6"/>
      <c r="T120" s="85" cm="1">
        <f t="array" ref="T120">IF(C120="",0,IF(W120="",0,W120/_xlfn.XLOOKUP(C120&amp;D120,RMth&amp;RYr,RAr)))</f>
        <v>0</v>
      </c>
      <c r="U120" s="21">
        <v>20</v>
      </c>
      <c r="V120" s="2"/>
      <c r="W120" s="82">
        <v>60000</v>
      </c>
    </row>
    <row r="121" spans="2:23" x14ac:dyDescent="0.35">
      <c r="B121" s="1" t="s">
        <v>26</v>
      </c>
      <c r="C121" s="50"/>
      <c r="D121" s="44"/>
      <c r="E121" s="34" t="s">
        <v>27</v>
      </c>
      <c r="F121" s="8" t="s">
        <v>109</v>
      </c>
      <c r="G121" s="30" t="s">
        <v>111</v>
      </c>
      <c r="H121" s="14">
        <v>140</v>
      </c>
      <c r="I121" s="15"/>
      <c r="J121" s="15"/>
      <c r="K121" s="15"/>
      <c r="L121" s="15">
        <v>30</v>
      </c>
      <c r="M121" s="15">
        <v>10</v>
      </c>
      <c r="N121" s="15"/>
      <c r="O121" s="15"/>
      <c r="P121" s="15"/>
      <c r="Q121" s="15"/>
      <c r="R121" s="15"/>
      <c r="S121" s="16"/>
      <c r="T121" s="85" cm="1">
        <f t="array" ref="T121">IF(C121="",0,IF(W121="",0,W121/_xlfn.XLOOKUP(C121&amp;D121,RMth&amp;RYr,RAr)))</f>
        <v>0</v>
      </c>
      <c r="U121" s="21">
        <v>60</v>
      </c>
      <c r="V121" s="2">
        <v>13</v>
      </c>
      <c r="W121" s="82">
        <v>315</v>
      </c>
    </row>
    <row r="122" spans="2:23" x14ac:dyDescent="0.35">
      <c r="B122" s="3" t="s">
        <v>26</v>
      </c>
      <c r="C122" s="50"/>
      <c r="D122" s="44"/>
      <c r="E122" s="33" t="s">
        <v>28</v>
      </c>
      <c r="F122" s="9" t="s">
        <v>109</v>
      </c>
      <c r="G122" s="9" t="s">
        <v>41</v>
      </c>
      <c r="H122" s="17">
        <v>140</v>
      </c>
      <c r="I122" s="18"/>
      <c r="J122" s="18"/>
      <c r="K122" s="18"/>
      <c r="L122" s="18">
        <v>30</v>
      </c>
      <c r="M122" s="18">
        <v>10</v>
      </c>
      <c r="N122" s="18"/>
      <c r="O122" s="18"/>
      <c r="P122" s="18"/>
      <c r="Q122" s="18"/>
      <c r="R122" s="18"/>
      <c r="S122" s="19"/>
      <c r="T122" s="86" cm="1">
        <f t="array" ref="T122">IF(C122="",0,IF(W122="",0,W122/_xlfn.XLOOKUP(C122&amp;D122,RMth&amp;RYr,RAr)))</f>
        <v>0</v>
      </c>
      <c r="U122" s="22">
        <v>60</v>
      </c>
      <c r="V122" s="4"/>
      <c r="W122" s="83"/>
    </row>
    <row r="124" spans="2:23" x14ac:dyDescent="0.35">
      <c r="B124" s="5" t="s">
        <v>0</v>
      </c>
      <c r="C124" s="5"/>
      <c r="D124" s="5"/>
      <c r="E124" s="6" t="s">
        <v>1</v>
      </c>
      <c r="F124" s="6" t="s">
        <v>37</v>
      </c>
      <c r="G124" s="10" t="s">
        <v>42</v>
      </c>
      <c r="H124" s="7" t="s">
        <v>2</v>
      </c>
      <c r="I124" s="7" t="s">
        <v>3</v>
      </c>
      <c r="J124" s="7" t="s">
        <v>32</v>
      </c>
      <c r="K124" s="7" t="s">
        <v>4</v>
      </c>
      <c r="L124" s="7" t="s">
        <v>5</v>
      </c>
      <c r="M124" s="7" t="s">
        <v>6</v>
      </c>
      <c r="N124" s="7" t="s">
        <v>7</v>
      </c>
      <c r="O124" s="7" t="s">
        <v>36</v>
      </c>
      <c r="P124" s="7" t="s">
        <v>35</v>
      </c>
      <c r="Q124" s="7" t="s">
        <v>33</v>
      </c>
      <c r="R124" s="7" t="s">
        <v>34</v>
      </c>
      <c r="S124" s="7" t="s">
        <v>8</v>
      </c>
      <c r="T124" s="84" t="s">
        <v>9</v>
      </c>
      <c r="U124" s="7" t="s">
        <v>10</v>
      </c>
      <c r="V124" s="7" t="s">
        <v>11</v>
      </c>
      <c r="W124" s="81" t="s">
        <v>155</v>
      </c>
    </row>
    <row r="125" spans="2:23" x14ac:dyDescent="0.35">
      <c r="B125" s="1" t="s">
        <v>12</v>
      </c>
      <c r="C125" s="50"/>
      <c r="D125" s="44"/>
      <c r="E125" s="34" t="s">
        <v>135</v>
      </c>
      <c r="F125" s="8" t="s">
        <v>40</v>
      </c>
      <c r="G125" s="30" t="s">
        <v>9</v>
      </c>
      <c r="H125" s="1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85" cm="1">
        <f t="array" ref="T125">IF(C125="",0,IF(W125="",0,W125/_xlfn.XLOOKUP(C125&amp;D125,RMth&amp;RYr,RAr)))</f>
        <v>0</v>
      </c>
      <c r="U125" s="20">
        <v>30</v>
      </c>
      <c r="V125" s="2">
        <v>15</v>
      </c>
      <c r="W125" s="82">
        <v>150000</v>
      </c>
    </row>
    <row r="126" spans="2:23" x14ac:dyDescent="0.35">
      <c r="B126" s="1" t="s">
        <v>12</v>
      </c>
      <c r="C126" s="50"/>
      <c r="D126" s="44"/>
      <c r="E126" s="34" t="s">
        <v>135</v>
      </c>
      <c r="F126" s="8" t="s">
        <v>40</v>
      </c>
      <c r="G126" s="30" t="s">
        <v>41</v>
      </c>
      <c r="H126" s="14">
        <f>400*5</f>
        <v>2000</v>
      </c>
      <c r="I126" s="15"/>
      <c r="J126" s="15"/>
      <c r="K126" s="15"/>
      <c r="L126" s="15">
        <f>60*5</f>
        <v>300</v>
      </c>
      <c r="M126" s="15">
        <f>35*5</f>
        <v>175</v>
      </c>
      <c r="N126" s="15"/>
      <c r="O126" s="15"/>
      <c r="P126" s="15"/>
      <c r="Q126" s="15"/>
      <c r="R126" s="15"/>
      <c r="S126" s="16"/>
      <c r="T126" s="85" cm="1">
        <f t="array" ref="T126">IF(C126="",0,IF(W126="",0,W126/_xlfn.XLOOKUP(C126&amp;D126,RMth&amp;RYr,RAr)))</f>
        <v>0</v>
      </c>
      <c r="U126" s="21">
        <v>30</v>
      </c>
      <c r="V126" s="2">
        <v>15</v>
      </c>
      <c r="W126" s="82"/>
    </row>
    <row r="127" spans="2:23" x14ac:dyDescent="0.35">
      <c r="B127" s="1" t="s">
        <v>12</v>
      </c>
      <c r="C127" s="50"/>
      <c r="D127" s="44"/>
      <c r="E127" s="34" t="s">
        <v>136</v>
      </c>
      <c r="F127" s="8" t="s">
        <v>40</v>
      </c>
      <c r="G127" s="30" t="s">
        <v>9</v>
      </c>
      <c r="H127" s="14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6"/>
      <c r="T127" s="85" cm="1">
        <f t="array" ref="T127">IF(C127="",0,IF(W127="",0,W127/_xlfn.XLOOKUP(C127&amp;D127,RMth&amp;RYr,RAr)))</f>
        <v>0</v>
      </c>
      <c r="U127" s="21">
        <v>30</v>
      </c>
      <c r="V127" s="2">
        <v>15</v>
      </c>
      <c r="W127" s="82">
        <v>120000</v>
      </c>
    </row>
    <row r="128" spans="2:23" x14ac:dyDescent="0.35">
      <c r="B128" s="1" t="s">
        <v>12</v>
      </c>
      <c r="C128" s="50"/>
      <c r="D128" s="44"/>
      <c r="E128" s="34" t="s">
        <v>136</v>
      </c>
      <c r="F128" s="8" t="s">
        <v>40</v>
      </c>
      <c r="G128" s="30" t="s">
        <v>41</v>
      </c>
      <c r="H128" s="14">
        <f>400*5</f>
        <v>2000</v>
      </c>
      <c r="I128" s="15"/>
      <c r="J128" s="15"/>
      <c r="K128" s="15"/>
      <c r="L128" s="15">
        <f>60*5</f>
        <v>300</v>
      </c>
      <c r="M128" s="15">
        <f>35*5</f>
        <v>175</v>
      </c>
      <c r="N128" s="15"/>
      <c r="O128" s="15"/>
      <c r="P128" s="15"/>
      <c r="Q128" s="15"/>
      <c r="R128" s="15"/>
      <c r="S128" s="16"/>
      <c r="T128" s="85" cm="1">
        <f t="array" ref="T128">IF(C128="",0,IF(W128="",0,W128/_xlfn.XLOOKUP(C128&amp;D128,RMth&amp;RYr,RAr)))</f>
        <v>0</v>
      </c>
      <c r="U128" s="21">
        <v>30</v>
      </c>
      <c r="V128" s="2">
        <v>15</v>
      </c>
      <c r="W128" s="82"/>
    </row>
    <row r="129" spans="2:23" x14ac:dyDescent="0.35">
      <c r="B129" s="1" t="s">
        <v>12</v>
      </c>
      <c r="C129" s="50"/>
      <c r="D129" s="44"/>
      <c r="E129" t="s">
        <v>18</v>
      </c>
      <c r="F129" s="8" t="s">
        <v>40</v>
      </c>
      <c r="G129" s="30" t="s">
        <v>41</v>
      </c>
      <c r="H129" s="14">
        <f>400*5</f>
        <v>2000</v>
      </c>
      <c r="I129" s="15"/>
      <c r="J129" s="15"/>
      <c r="K129" s="15"/>
      <c r="L129" s="15">
        <f>60*5</f>
        <v>300</v>
      </c>
      <c r="M129" s="15"/>
      <c r="N129" s="15"/>
      <c r="O129" s="15"/>
      <c r="P129" s="15"/>
      <c r="Q129" s="15"/>
      <c r="R129" s="15"/>
      <c r="S129" s="16"/>
      <c r="T129" s="85" cm="1">
        <f t="array" ref="T129">IF(C129="",0,IF(W129="",0,W129/_xlfn.XLOOKUP(C129&amp;D129,RMth&amp;RYr,RAr)))</f>
        <v>0</v>
      </c>
      <c r="U129" s="21">
        <v>30</v>
      </c>
      <c r="V129" s="2">
        <v>15</v>
      </c>
      <c r="W129" s="82"/>
    </row>
    <row r="130" spans="2:23" x14ac:dyDescent="0.35">
      <c r="B130" s="1" t="s">
        <v>29</v>
      </c>
      <c r="C130" s="50"/>
      <c r="D130" s="44"/>
      <c r="E130" t="s">
        <v>30</v>
      </c>
      <c r="F130" s="8" t="s">
        <v>40</v>
      </c>
      <c r="G130" s="30" t="s">
        <v>41</v>
      </c>
      <c r="H130" s="14">
        <f>400*5</f>
        <v>2000</v>
      </c>
      <c r="I130" s="15"/>
      <c r="J130" s="15"/>
      <c r="K130" s="15"/>
      <c r="L130" s="15">
        <f>60*5</f>
        <v>300</v>
      </c>
      <c r="M130" s="15"/>
      <c r="N130" s="15"/>
      <c r="O130" s="15"/>
      <c r="P130" s="15"/>
      <c r="Q130" s="15"/>
      <c r="R130" s="15"/>
      <c r="S130" s="16"/>
      <c r="T130" s="85" cm="1">
        <f t="array" ref="T130">IF(C130="",0,IF(W130="",0,W130/_xlfn.XLOOKUP(C130&amp;D130,RMth&amp;RYr,RAr)))</f>
        <v>0</v>
      </c>
      <c r="U130" s="21">
        <v>20</v>
      </c>
      <c r="V130" s="2"/>
      <c r="W130" s="82"/>
    </row>
    <row r="131" spans="2:23" x14ac:dyDescent="0.35">
      <c r="B131" s="1" t="s">
        <v>29</v>
      </c>
      <c r="C131" s="50"/>
      <c r="D131" s="44"/>
      <c r="E131" t="s">
        <v>31</v>
      </c>
      <c r="F131" s="8" t="s">
        <v>40</v>
      </c>
      <c r="G131" s="30" t="s">
        <v>9</v>
      </c>
      <c r="H131" s="14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/>
      <c r="T131" s="85" cm="1">
        <f t="array" ref="T131">IF(C131="",0,IF(W131="",0,W131/_xlfn.XLOOKUP(C131&amp;D131,RMth&amp;RYr,RAr)))</f>
        <v>0</v>
      </c>
      <c r="U131" s="21">
        <v>20</v>
      </c>
      <c r="V131" s="2"/>
      <c r="W131" s="82"/>
    </row>
    <row r="132" spans="2:23" x14ac:dyDescent="0.35">
      <c r="B132" s="1" t="s">
        <v>12</v>
      </c>
      <c r="C132" s="50"/>
      <c r="D132" s="44"/>
      <c r="E132" s="34" t="s">
        <v>98</v>
      </c>
      <c r="F132" s="8" t="s">
        <v>39</v>
      </c>
      <c r="G132" s="30" t="s">
        <v>41</v>
      </c>
      <c r="H132" s="14"/>
      <c r="I132" s="15"/>
      <c r="J132" s="15"/>
      <c r="K132" s="15"/>
      <c r="L132" s="15"/>
      <c r="M132" s="15"/>
      <c r="N132" s="15"/>
      <c r="O132" s="15">
        <v>100</v>
      </c>
      <c r="P132" s="15"/>
      <c r="Q132" s="15"/>
      <c r="R132" s="15"/>
      <c r="S132" s="16"/>
      <c r="T132" s="85" cm="1">
        <f t="array" ref="T132">IF(C132="",0,IF(W132="",0,W132/_xlfn.XLOOKUP(C132&amp;D132,RMth&amp;RYr,RAr)))</f>
        <v>0</v>
      </c>
      <c r="U132" s="21">
        <v>30</v>
      </c>
      <c r="V132" s="2"/>
      <c r="W132" s="82"/>
    </row>
    <row r="133" spans="2:23" x14ac:dyDescent="0.35">
      <c r="B133" s="1" t="s">
        <v>12</v>
      </c>
      <c r="C133" s="50"/>
      <c r="D133" s="44"/>
      <c r="E133" s="34" t="s">
        <v>150</v>
      </c>
      <c r="F133" s="8" t="s">
        <v>39</v>
      </c>
      <c r="G133" s="30" t="s">
        <v>41</v>
      </c>
      <c r="H133" s="14"/>
      <c r="I133" s="15"/>
      <c r="J133" s="15"/>
      <c r="K133" s="15"/>
      <c r="L133" s="15"/>
      <c r="M133" s="15"/>
      <c r="N133" s="15"/>
      <c r="O133" s="15"/>
      <c r="P133" s="15"/>
      <c r="Q133" s="15"/>
      <c r="R133" s="15">
        <v>50</v>
      </c>
      <c r="S133" s="16"/>
      <c r="T133" s="85" cm="1">
        <f t="array" ref="T133">IF(C133="",0,IF(W133="",0,W133/_xlfn.XLOOKUP(C133&amp;D133,RMth&amp;RYr,RAr)))</f>
        <v>0</v>
      </c>
      <c r="U133" s="21"/>
      <c r="V133" s="2"/>
      <c r="W133" s="82"/>
    </row>
    <row r="134" spans="2:23" x14ac:dyDescent="0.35">
      <c r="B134" s="1" t="s">
        <v>12</v>
      </c>
      <c r="C134" s="50"/>
      <c r="D134" s="44"/>
      <c r="E134" s="34" t="s">
        <v>151</v>
      </c>
      <c r="F134" s="8" t="s">
        <v>39</v>
      </c>
      <c r="G134" s="30" t="s">
        <v>41</v>
      </c>
      <c r="H134" s="14"/>
      <c r="I134" s="15"/>
      <c r="J134" s="15"/>
      <c r="K134" s="15"/>
      <c r="L134" s="15"/>
      <c r="M134" s="15">
        <v>20</v>
      </c>
      <c r="N134" s="15"/>
      <c r="O134" s="15"/>
      <c r="P134" s="15">
        <v>200</v>
      </c>
      <c r="Q134" s="15"/>
      <c r="R134" s="15"/>
      <c r="S134" s="16"/>
      <c r="T134" s="85" cm="1">
        <f t="array" ref="T134">IF(C134="",0,IF(W134="",0,W134/_xlfn.XLOOKUP(C134&amp;D134,RMth&amp;RYr,RAr)))</f>
        <v>0</v>
      </c>
      <c r="U134" s="21"/>
      <c r="V134" s="2"/>
      <c r="W134" s="82"/>
    </row>
    <row r="135" spans="2:23" x14ac:dyDescent="0.35">
      <c r="B135" s="1" t="s">
        <v>12</v>
      </c>
      <c r="C135" s="50"/>
      <c r="D135" s="44"/>
      <c r="E135" s="34" t="s">
        <v>156</v>
      </c>
      <c r="F135" s="8" t="s">
        <v>39</v>
      </c>
      <c r="G135" s="30" t="s">
        <v>41</v>
      </c>
      <c r="H135" s="14"/>
      <c r="I135" s="15"/>
      <c r="J135" s="15"/>
      <c r="K135" s="15"/>
      <c r="L135" s="15"/>
      <c r="M135" s="15"/>
      <c r="N135" s="15"/>
      <c r="O135" s="15"/>
      <c r="P135" s="15"/>
      <c r="Q135" s="15"/>
      <c r="R135" s="15">
        <v>50</v>
      </c>
      <c r="S135" s="16"/>
      <c r="T135" s="85" cm="1">
        <f t="array" ref="T135">IF(C135="",0,IF(W135="",0,W135/_xlfn.XLOOKUP(C135&amp;D135,RMth&amp;RYr,RAr)))</f>
        <v>0</v>
      </c>
      <c r="U135" s="21"/>
      <c r="V135" s="2"/>
      <c r="W135" s="82"/>
    </row>
    <row r="136" spans="2:23" x14ac:dyDescent="0.35">
      <c r="B136" s="1" t="s">
        <v>12</v>
      </c>
      <c r="C136" s="50"/>
      <c r="D136" s="44"/>
      <c r="E136" s="34" t="s">
        <v>157</v>
      </c>
      <c r="F136" s="8" t="s">
        <v>39</v>
      </c>
      <c r="G136" s="30" t="s">
        <v>41</v>
      </c>
      <c r="H136" s="14"/>
      <c r="I136" s="15"/>
      <c r="J136" s="15"/>
      <c r="K136" s="15"/>
      <c r="L136" s="15"/>
      <c r="M136" s="15">
        <v>20</v>
      </c>
      <c r="N136" s="15"/>
      <c r="O136" s="15"/>
      <c r="P136" s="15">
        <v>200</v>
      </c>
      <c r="Q136" s="15"/>
      <c r="R136" s="15"/>
      <c r="S136" s="16"/>
      <c r="T136" s="85" cm="1">
        <f t="array" ref="T136">IF(C136="",0,IF(W136="",0,W136/_xlfn.XLOOKUP(C136&amp;D136,RMth&amp;RYr,RAr)))</f>
        <v>0</v>
      </c>
      <c r="U136" s="21"/>
      <c r="V136" s="2"/>
      <c r="W136" s="82"/>
    </row>
    <row r="137" spans="2:23" x14ac:dyDescent="0.35">
      <c r="B137" s="1" t="s">
        <v>12</v>
      </c>
      <c r="C137" s="50"/>
      <c r="D137" s="44"/>
      <c r="E137" t="s">
        <v>14</v>
      </c>
      <c r="F137" s="8" t="s">
        <v>39</v>
      </c>
      <c r="G137" s="30" t="s">
        <v>41</v>
      </c>
      <c r="H137" s="14"/>
      <c r="I137" s="15"/>
      <c r="J137" s="15"/>
      <c r="K137" s="15"/>
      <c r="L137" s="15"/>
      <c r="M137" s="15"/>
      <c r="N137" s="15"/>
      <c r="O137" s="15"/>
      <c r="P137" s="15"/>
      <c r="Q137" s="15">
        <v>200</v>
      </c>
      <c r="R137" s="15"/>
      <c r="S137" s="16"/>
      <c r="T137" s="85" cm="1">
        <f t="array" ref="T137">IF(C137="",0,IF(W137="",0,W137/_xlfn.XLOOKUP(C137&amp;D137,RMth&amp;RYr,RAr)))</f>
        <v>0</v>
      </c>
      <c r="U137" s="21">
        <v>30</v>
      </c>
      <c r="V137" s="2"/>
      <c r="W137" s="82"/>
    </row>
    <row r="138" spans="2:23" x14ac:dyDescent="0.35">
      <c r="B138" s="1" t="s">
        <v>12</v>
      </c>
      <c r="C138" s="50"/>
      <c r="D138" s="44"/>
      <c r="E138" s="34" t="s">
        <v>15</v>
      </c>
      <c r="F138" s="8" t="s">
        <v>39</v>
      </c>
      <c r="G138" s="30" t="s">
        <v>9</v>
      </c>
      <c r="H138" s="14"/>
      <c r="I138" s="15"/>
      <c r="J138" s="15"/>
      <c r="K138" s="15"/>
      <c r="L138" s="15"/>
      <c r="M138" s="15">
        <v>20</v>
      </c>
      <c r="N138" s="15"/>
      <c r="O138" s="15"/>
      <c r="P138" s="15">
        <v>200</v>
      </c>
      <c r="Q138" s="15"/>
      <c r="R138" s="15"/>
      <c r="S138" s="16"/>
      <c r="T138" s="85" cm="1">
        <f t="array" ref="T138">IF(C138="",0,IF(W138="",0,W138/_xlfn.XLOOKUP(C138&amp;D138,RMth&amp;RYr,RAr)))</f>
        <v>0</v>
      </c>
      <c r="U138" s="21">
        <v>30</v>
      </c>
      <c r="V138" s="2"/>
      <c r="W138" s="82">
        <v>100000</v>
      </c>
    </row>
    <row r="139" spans="2:23" x14ac:dyDescent="0.35">
      <c r="B139" s="1" t="s">
        <v>12</v>
      </c>
      <c r="C139" s="50"/>
      <c r="D139" s="44"/>
      <c r="E139" t="s">
        <v>15</v>
      </c>
      <c r="F139" s="8" t="s">
        <v>39</v>
      </c>
      <c r="G139" s="30" t="s">
        <v>41</v>
      </c>
      <c r="H139" s="14"/>
      <c r="I139" s="15"/>
      <c r="J139" s="15"/>
      <c r="K139" s="15"/>
      <c r="L139" s="15"/>
      <c r="M139" s="15">
        <v>20</v>
      </c>
      <c r="N139" s="15"/>
      <c r="O139" s="15"/>
      <c r="P139" s="15">
        <v>200</v>
      </c>
      <c r="Q139" s="15"/>
      <c r="R139" s="15"/>
      <c r="S139" s="16"/>
      <c r="T139" s="85" cm="1">
        <f t="array" ref="T139">IF(C139="",0,IF(W139="",0,W139/_xlfn.XLOOKUP(C139&amp;D139,RMth&amp;RYr,RAr)))</f>
        <v>0</v>
      </c>
      <c r="U139" s="21">
        <v>30</v>
      </c>
      <c r="V139" s="2"/>
      <c r="W139" s="82"/>
    </row>
    <row r="140" spans="2:23" x14ac:dyDescent="0.35">
      <c r="B140" s="1" t="s">
        <v>12</v>
      </c>
      <c r="C140" s="50"/>
      <c r="D140" s="44"/>
      <c r="E140" t="s">
        <v>16</v>
      </c>
      <c r="F140" s="8" t="s">
        <v>39</v>
      </c>
      <c r="G140" s="30" t="s">
        <v>41</v>
      </c>
      <c r="H140" s="14"/>
      <c r="I140" s="15"/>
      <c r="J140" s="15"/>
      <c r="K140" s="15"/>
      <c r="L140" s="15"/>
      <c r="M140" s="15"/>
      <c r="N140" s="15"/>
      <c r="O140" s="15"/>
      <c r="P140" s="15"/>
      <c r="Q140" s="15"/>
      <c r="R140" s="15">
        <v>50</v>
      </c>
      <c r="S140" s="16"/>
      <c r="T140" s="85" cm="1">
        <f t="array" ref="T140">IF(C140="",0,IF(W140="",0,W140/_xlfn.XLOOKUP(C140&amp;D140,RMth&amp;RYr,RAr)))</f>
        <v>0</v>
      </c>
      <c r="U140" s="21">
        <v>30</v>
      </c>
      <c r="V140" s="2"/>
      <c r="W140" s="82"/>
    </row>
    <row r="141" spans="2:23" x14ac:dyDescent="0.35">
      <c r="B141" s="1" t="s">
        <v>12</v>
      </c>
      <c r="C141" s="50"/>
      <c r="D141" s="44"/>
      <c r="E141" t="s">
        <v>17</v>
      </c>
      <c r="F141" s="8" t="s">
        <v>39</v>
      </c>
      <c r="G141" s="30" t="s">
        <v>41</v>
      </c>
      <c r="H141" s="14"/>
      <c r="I141" s="15"/>
      <c r="J141" s="15"/>
      <c r="K141" s="15"/>
      <c r="L141" s="15"/>
      <c r="M141" s="15">
        <v>20</v>
      </c>
      <c r="N141" s="15"/>
      <c r="O141" s="15"/>
      <c r="P141" s="15">
        <v>200</v>
      </c>
      <c r="Q141" s="15">
        <v>200</v>
      </c>
      <c r="R141" s="15"/>
      <c r="S141" s="16"/>
      <c r="T141" s="85" cm="1">
        <f t="array" ref="T141">IF(C141="",0,IF(W141="",0,W141/_xlfn.XLOOKUP(C141&amp;D141,RMth&amp;RYr,RAr)))</f>
        <v>0</v>
      </c>
      <c r="U141" s="21">
        <v>30</v>
      </c>
      <c r="V141" s="2"/>
      <c r="W141" s="82"/>
    </row>
    <row r="142" spans="2:23" x14ac:dyDescent="0.35">
      <c r="B142" s="1" t="s">
        <v>19</v>
      </c>
      <c r="C142" s="50"/>
      <c r="D142" s="44"/>
      <c r="E142" t="s">
        <v>20</v>
      </c>
      <c r="F142" s="8" t="s">
        <v>39</v>
      </c>
      <c r="G142" s="30" t="s">
        <v>41</v>
      </c>
      <c r="H142" s="14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6">
        <v>20</v>
      </c>
      <c r="T142" s="85" cm="1">
        <f t="array" ref="T142">IF(C142="",0,IF(W142="",0,W142/_xlfn.XLOOKUP(C142&amp;D142,RMth&amp;RYr,RAr)))</f>
        <v>0</v>
      </c>
      <c r="U142" s="21">
        <v>30</v>
      </c>
      <c r="V142" s="2"/>
      <c r="W142" s="82"/>
    </row>
    <row r="143" spans="2:23" x14ac:dyDescent="0.35">
      <c r="B143" s="1" t="s">
        <v>19</v>
      </c>
      <c r="C143" s="50"/>
      <c r="D143" s="44"/>
      <c r="E143" t="s">
        <v>21</v>
      </c>
      <c r="F143" s="8" t="s">
        <v>39</v>
      </c>
      <c r="G143" s="30" t="s">
        <v>41</v>
      </c>
      <c r="H143" s="14"/>
      <c r="I143" s="15"/>
      <c r="J143" s="15"/>
      <c r="K143" s="15"/>
      <c r="L143" s="15"/>
      <c r="M143" s="15">
        <v>20</v>
      </c>
      <c r="N143" s="15"/>
      <c r="O143" s="15"/>
      <c r="P143" s="15">
        <v>200</v>
      </c>
      <c r="Q143" s="15"/>
      <c r="R143" s="15"/>
      <c r="S143" s="16"/>
      <c r="T143" s="85" cm="1">
        <f t="array" ref="T143">IF(C143="",0,IF(W143="",0,W143/_xlfn.XLOOKUP(C143&amp;D143,RMth&amp;RYr,RAr)))</f>
        <v>0</v>
      </c>
      <c r="U143" s="21">
        <v>30</v>
      </c>
      <c r="V143" s="2"/>
      <c r="W143" s="82"/>
    </row>
    <row r="144" spans="2:23" x14ac:dyDescent="0.35">
      <c r="B144" s="1" t="s">
        <v>19</v>
      </c>
      <c r="C144" s="50"/>
      <c r="D144" s="44"/>
      <c r="E144" s="34" t="s">
        <v>101</v>
      </c>
      <c r="F144" s="8" t="s">
        <v>39</v>
      </c>
      <c r="G144" s="30" t="s">
        <v>41</v>
      </c>
      <c r="H144" s="14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>
        <v>20</v>
      </c>
      <c r="T144" s="85" cm="1">
        <f t="array" ref="T144">IF(C144="",0,IF(W144="",0,W144/_xlfn.XLOOKUP(C144&amp;D144,RMth&amp;RYr,RAr)))</f>
        <v>0</v>
      </c>
      <c r="U144" s="21">
        <v>30</v>
      </c>
      <c r="V144" s="2"/>
      <c r="W144" s="82"/>
    </row>
    <row r="145" spans="2:23" x14ac:dyDescent="0.35">
      <c r="B145" s="1" t="s">
        <v>19</v>
      </c>
      <c r="C145" s="50"/>
      <c r="D145" s="44"/>
      <c r="E145" s="34" t="s">
        <v>117</v>
      </c>
      <c r="F145" s="8" t="s">
        <v>39</v>
      </c>
      <c r="G145" s="30" t="s">
        <v>41</v>
      </c>
      <c r="H145" s="14"/>
      <c r="I145" s="15"/>
      <c r="J145" s="15"/>
      <c r="K145" s="15"/>
      <c r="L145" s="15"/>
      <c r="M145" s="15">
        <v>20</v>
      </c>
      <c r="N145" s="15"/>
      <c r="O145" s="15"/>
      <c r="P145" s="15">
        <v>200</v>
      </c>
      <c r="Q145" s="15"/>
      <c r="R145" s="15"/>
      <c r="S145" s="16"/>
      <c r="T145" s="85" cm="1">
        <f t="array" ref="T145">IF(C145="",0,IF(W145="",0,W145/_xlfn.XLOOKUP(C145&amp;D145,RMth&amp;RYr,RAr)))</f>
        <v>0</v>
      </c>
      <c r="U145" s="21">
        <v>30</v>
      </c>
      <c r="V145" s="2"/>
      <c r="W145" s="82"/>
    </row>
    <row r="146" spans="2:23" x14ac:dyDescent="0.35">
      <c r="B146" s="1" t="s">
        <v>19</v>
      </c>
      <c r="C146" s="50"/>
      <c r="D146" s="44"/>
      <c r="E146" t="s">
        <v>22</v>
      </c>
      <c r="F146" s="8" t="s">
        <v>39</v>
      </c>
      <c r="G146" s="30" t="s">
        <v>41</v>
      </c>
      <c r="H146" s="14"/>
      <c r="I146" s="15"/>
      <c r="J146" s="15"/>
      <c r="K146" s="15"/>
      <c r="L146" s="15"/>
      <c r="M146" s="15"/>
      <c r="N146" s="15"/>
      <c r="O146" s="15"/>
      <c r="P146" s="15"/>
      <c r="Q146" s="15"/>
      <c r="R146" s="15">
        <v>50</v>
      </c>
      <c r="S146" s="16" t="s">
        <v>23</v>
      </c>
      <c r="T146" s="85" cm="1">
        <f t="array" ref="T146">IF(C146="",0,IF(W146="",0,W146/_xlfn.XLOOKUP(C146&amp;D146,RMth&amp;RYr,RAr)))</f>
        <v>0</v>
      </c>
      <c r="U146" s="21">
        <v>30</v>
      </c>
      <c r="V146" s="2"/>
      <c r="W146" s="82"/>
    </row>
    <row r="147" spans="2:23" x14ac:dyDescent="0.35">
      <c r="B147" s="1" t="s">
        <v>19</v>
      </c>
      <c r="C147" s="50"/>
      <c r="D147" s="44"/>
      <c r="E147" t="s">
        <v>24</v>
      </c>
      <c r="F147" s="8" t="s">
        <v>39</v>
      </c>
      <c r="G147" s="30" t="s">
        <v>9</v>
      </c>
      <c r="H147" s="14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6"/>
      <c r="T147" s="85" cm="1">
        <f t="array" ref="T147">IF(C147="",0,IF(W147="",0,W147/_xlfn.XLOOKUP(C147&amp;D147,RMth&amp;RYr,RAr)))</f>
        <v>0</v>
      </c>
      <c r="U147" s="21">
        <v>30</v>
      </c>
      <c r="V147" s="2"/>
      <c r="W147" s="82"/>
    </row>
    <row r="148" spans="2:23" x14ac:dyDescent="0.35">
      <c r="B148" s="1" t="s">
        <v>19</v>
      </c>
      <c r="C148" s="50"/>
      <c r="D148" s="44"/>
      <c r="E148" t="s">
        <v>25</v>
      </c>
      <c r="F148" s="8" t="s">
        <v>39</v>
      </c>
      <c r="G148" s="30" t="s">
        <v>9</v>
      </c>
      <c r="H148" s="14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85" cm="1">
        <f t="array" ref="T148">IF(C148="",0,IF(W148="",0,W148/_xlfn.XLOOKUP(C148&amp;D148,RMth&amp;RYr,RAr)))</f>
        <v>0</v>
      </c>
      <c r="U148" s="21">
        <v>30</v>
      </c>
      <c r="V148" s="2"/>
      <c r="W148" s="82"/>
    </row>
    <row r="149" spans="2:23" x14ac:dyDescent="0.35">
      <c r="B149" s="1" t="s">
        <v>12</v>
      </c>
      <c r="C149" s="50"/>
      <c r="D149" s="44"/>
      <c r="E149" s="34" t="s">
        <v>13</v>
      </c>
      <c r="F149" s="8" t="s">
        <v>38</v>
      </c>
      <c r="G149" s="30" t="s">
        <v>41</v>
      </c>
      <c r="H149" s="14">
        <f>400*5</f>
        <v>2000</v>
      </c>
      <c r="I149" s="15"/>
      <c r="J149" s="15"/>
      <c r="K149" s="15"/>
      <c r="L149" s="15">
        <f>60*5</f>
        <v>300</v>
      </c>
      <c r="M149" s="15">
        <f>35*5</f>
        <v>175</v>
      </c>
      <c r="N149" s="15"/>
      <c r="O149" s="15"/>
      <c r="P149" s="15"/>
      <c r="Q149" s="15"/>
      <c r="R149" s="15"/>
      <c r="S149" s="16"/>
      <c r="T149" s="85" cm="1">
        <f t="array" ref="T149">IF(C149="",0,IF(W149="",0,W149/_xlfn.XLOOKUP(C149&amp;D149,RMth&amp;RYr,RAr)))</f>
        <v>0</v>
      </c>
      <c r="U149" s="21">
        <v>20</v>
      </c>
      <c r="V149" s="2"/>
      <c r="W149" s="82"/>
    </row>
    <row r="150" spans="2:23" x14ac:dyDescent="0.35">
      <c r="B150" s="1" t="s">
        <v>12</v>
      </c>
      <c r="C150" s="50"/>
      <c r="D150" s="44"/>
      <c r="E150" s="34" t="s">
        <v>13</v>
      </c>
      <c r="F150" s="8" t="s">
        <v>38</v>
      </c>
      <c r="G150" s="30" t="s">
        <v>9</v>
      </c>
      <c r="H150" s="14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6"/>
      <c r="T150" s="85" cm="1">
        <f t="array" ref="T150">IF(C150="",0,IF(W150="",0,W150/_xlfn.XLOOKUP(C150&amp;D150,RMth&amp;RYr,RAr)))</f>
        <v>0</v>
      </c>
      <c r="U150" s="21">
        <v>20</v>
      </c>
      <c r="V150" s="2"/>
      <c r="W150" s="82">
        <v>60000</v>
      </c>
    </row>
    <row r="151" spans="2:23" x14ac:dyDescent="0.35">
      <c r="B151" s="1" t="s">
        <v>26</v>
      </c>
      <c r="C151" s="50"/>
      <c r="D151" s="44"/>
      <c r="E151" s="34" t="s">
        <v>27</v>
      </c>
      <c r="F151" s="8" t="s">
        <v>109</v>
      </c>
      <c r="G151" s="30" t="s">
        <v>111</v>
      </c>
      <c r="H151" s="14">
        <v>140</v>
      </c>
      <c r="I151" s="15"/>
      <c r="J151" s="15"/>
      <c r="K151" s="15"/>
      <c r="L151" s="15">
        <v>30</v>
      </c>
      <c r="M151" s="15">
        <v>10</v>
      </c>
      <c r="N151" s="15"/>
      <c r="O151" s="15"/>
      <c r="P151" s="15"/>
      <c r="Q151" s="15"/>
      <c r="R151" s="15"/>
      <c r="S151" s="16"/>
      <c r="T151" s="85" cm="1">
        <f t="array" ref="T151">IF(C151="",0,IF(W151="",0,W151/_xlfn.XLOOKUP(C151&amp;D151,RMth&amp;RYr,RAr)))</f>
        <v>0</v>
      </c>
      <c r="U151" s="21">
        <v>60</v>
      </c>
      <c r="V151" s="2">
        <v>13</v>
      </c>
      <c r="W151" s="82">
        <v>315</v>
      </c>
    </row>
    <row r="152" spans="2:23" x14ac:dyDescent="0.35">
      <c r="B152" s="3" t="s">
        <v>26</v>
      </c>
      <c r="C152" s="50"/>
      <c r="D152" s="44"/>
      <c r="E152" s="33" t="s">
        <v>28</v>
      </c>
      <c r="F152" s="9" t="s">
        <v>109</v>
      </c>
      <c r="G152" s="9" t="s">
        <v>41</v>
      </c>
      <c r="H152" s="17">
        <v>140</v>
      </c>
      <c r="I152" s="18"/>
      <c r="J152" s="18"/>
      <c r="K152" s="18"/>
      <c r="L152" s="18">
        <v>30</v>
      </c>
      <c r="M152" s="18">
        <v>10</v>
      </c>
      <c r="N152" s="18"/>
      <c r="O152" s="18"/>
      <c r="P152" s="18"/>
      <c r="Q152" s="18"/>
      <c r="R152" s="18"/>
      <c r="S152" s="19"/>
      <c r="T152" s="86" cm="1">
        <f t="array" ref="T152">IF(C152="",0,IF(W152="",0,W152/_xlfn.XLOOKUP(C152&amp;D152,RMth&amp;RYr,RAr)))</f>
        <v>0</v>
      </c>
      <c r="U152" s="22">
        <v>60</v>
      </c>
      <c r="V152" s="4"/>
      <c r="W152" s="83"/>
    </row>
    <row r="154" spans="2:23" x14ac:dyDescent="0.35">
      <c r="B154" s="5" t="s">
        <v>0</v>
      </c>
      <c r="C154" s="5"/>
      <c r="D154" s="5"/>
      <c r="E154" s="6" t="s">
        <v>1</v>
      </c>
      <c r="F154" s="6" t="s">
        <v>37</v>
      </c>
      <c r="G154" s="10" t="s">
        <v>42</v>
      </c>
      <c r="H154" s="7" t="s">
        <v>2</v>
      </c>
      <c r="I154" s="7" t="s">
        <v>3</v>
      </c>
      <c r="J154" s="7" t="s">
        <v>32</v>
      </c>
      <c r="K154" s="7" t="s">
        <v>4</v>
      </c>
      <c r="L154" s="7" t="s">
        <v>5</v>
      </c>
      <c r="M154" s="7" t="s">
        <v>6</v>
      </c>
      <c r="N154" s="7" t="s">
        <v>7</v>
      </c>
      <c r="O154" s="7" t="s">
        <v>36</v>
      </c>
      <c r="P154" s="7" t="s">
        <v>35</v>
      </c>
      <c r="Q154" s="7" t="s">
        <v>33</v>
      </c>
      <c r="R154" s="7" t="s">
        <v>34</v>
      </c>
      <c r="S154" s="7" t="s">
        <v>8</v>
      </c>
      <c r="T154" s="84" t="s">
        <v>9</v>
      </c>
      <c r="U154" s="7" t="s">
        <v>10</v>
      </c>
      <c r="V154" s="7" t="s">
        <v>11</v>
      </c>
      <c r="W154" s="81" t="s">
        <v>155</v>
      </c>
    </row>
    <row r="155" spans="2:23" x14ac:dyDescent="0.35">
      <c r="B155" s="1" t="s">
        <v>12</v>
      </c>
      <c r="C155" s="50"/>
      <c r="D155" s="44"/>
      <c r="E155" s="34" t="s">
        <v>135</v>
      </c>
      <c r="F155" s="8" t="s">
        <v>40</v>
      </c>
      <c r="G155" s="30" t="s">
        <v>9</v>
      </c>
      <c r="H155" s="1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85" cm="1">
        <f t="array" ref="T155">IF(C155="",0,IF(W155="",0,W155/_xlfn.XLOOKUP(C155&amp;D155,RMth&amp;RYr,RAr)))</f>
        <v>0</v>
      </c>
      <c r="U155" s="20">
        <v>30</v>
      </c>
      <c r="V155" s="2">
        <v>15</v>
      </c>
      <c r="W155" s="82">
        <v>150000</v>
      </c>
    </row>
    <row r="156" spans="2:23" x14ac:dyDescent="0.35">
      <c r="B156" s="1" t="s">
        <v>12</v>
      </c>
      <c r="C156" s="50"/>
      <c r="D156" s="44"/>
      <c r="E156" s="34" t="s">
        <v>135</v>
      </c>
      <c r="F156" s="8" t="s">
        <v>40</v>
      </c>
      <c r="G156" s="30" t="s">
        <v>41</v>
      </c>
      <c r="H156" s="14">
        <f>400*5</f>
        <v>2000</v>
      </c>
      <c r="I156" s="15"/>
      <c r="J156" s="15"/>
      <c r="K156" s="15"/>
      <c r="L156" s="15">
        <f>60*5</f>
        <v>300</v>
      </c>
      <c r="M156" s="15">
        <f>35*5</f>
        <v>175</v>
      </c>
      <c r="N156" s="15"/>
      <c r="O156" s="15"/>
      <c r="P156" s="15"/>
      <c r="Q156" s="15"/>
      <c r="R156" s="15"/>
      <c r="S156" s="16"/>
      <c r="T156" s="85" cm="1">
        <f t="array" ref="T156">IF(C156="",0,IF(W156="",0,W156/_xlfn.XLOOKUP(C156&amp;D156,RMth&amp;RYr,RAr)))</f>
        <v>0</v>
      </c>
      <c r="U156" s="21">
        <v>30</v>
      </c>
      <c r="V156" s="2">
        <v>15</v>
      </c>
      <c r="W156" s="82"/>
    </row>
    <row r="157" spans="2:23" x14ac:dyDescent="0.35">
      <c r="B157" s="1" t="s">
        <v>12</v>
      </c>
      <c r="C157" s="50"/>
      <c r="D157" s="44"/>
      <c r="E157" s="34" t="s">
        <v>136</v>
      </c>
      <c r="F157" s="8" t="s">
        <v>40</v>
      </c>
      <c r="G157" s="30" t="s">
        <v>9</v>
      </c>
      <c r="H157" s="14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  <c r="T157" s="85" cm="1">
        <f t="array" ref="T157">IF(C157="",0,IF(W157="",0,W157/_xlfn.XLOOKUP(C157&amp;D157,RMth&amp;RYr,RAr)))</f>
        <v>0</v>
      </c>
      <c r="U157" s="21">
        <v>30</v>
      </c>
      <c r="V157" s="2">
        <v>15</v>
      </c>
      <c r="W157" s="82">
        <v>120000</v>
      </c>
    </row>
    <row r="158" spans="2:23" x14ac:dyDescent="0.35">
      <c r="B158" s="1" t="s">
        <v>12</v>
      </c>
      <c r="C158" s="50"/>
      <c r="D158" s="44"/>
      <c r="E158" s="34" t="s">
        <v>136</v>
      </c>
      <c r="F158" s="8" t="s">
        <v>40</v>
      </c>
      <c r="G158" s="30" t="s">
        <v>41</v>
      </c>
      <c r="H158" s="14">
        <f>400*5</f>
        <v>2000</v>
      </c>
      <c r="I158" s="15"/>
      <c r="J158" s="15"/>
      <c r="K158" s="15"/>
      <c r="L158" s="15">
        <f>60*5</f>
        <v>300</v>
      </c>
      <c r="M158" s="15">
        <f>35*5</f>
        <v>175</v>
      </c>
      <c r="N158" s="15"/>
      <c r="O158" s="15"/>
      <c r="P158" s="15"/>
      <c r="Q158" s="15"/>
      <c r="R158" s="15"/>
      <c r="S158" s="16"/>
      <c r="T158" s="85" cm="1">
        <f t="array" ref="T158">IF(C158="",0,IF(W158="",0,W158/_xlfn.XLOOKUP(C158&amp;D158,RMth&amp;RYr,RAr)))</f>
        <v>0</v>
      </c>
      <c r="U158" s="21">
        <v>30</v>
      </c>
      <c r="V158" s="2">
        <v>15</v>
      </c>
      <c r="W158" s="82"/>
    </row>
    <row r="159" spans="2:23" x14ac:dyDescent="0.35">
      <c r="B159" s="1" t="s">
        <v>12</v>
      </c>
      <c r="C159" s="50"/>
      <c r="D159" s="44"/>
      <c r="E159" t="s">
        <v>18</v>
      </c>
      <c r="F159" s="8" t="s">
        <v>40</v>
      </c>
      <c r="G159" s="30" t="s">
        <v>41</v>
      </c>
      <c r="H159" s="14">
        <f>400*5</f>
        <v>2000</v>
      </c>
      <c r="I159" s="15"/>
      <c r="J159" s="15"/>
      <c r="K159" s="15"/>
      <c r="L159" s="15">
        <f>60*5</f>
        <v>300</v>
      </c>
      <c r="M159" s="15"/>
      <c r="N159" s="15"/>
      <c r="O159" s="15"/>
      <c r="P159" s="15"/>
      <c r="Q159" s="15"/>
      <c r="R159" s="15"/>
      <c r="S159" s="16"/>
      <c r="T159" s="85" cm="1">
        <f t="array" ref="T159">IF(C159="",0,IF(W159="",0,W159/_xlfn.XLOOKUP(C159&amp;D159,RMth&amp;RYr,RAr)))</f>
        <v>0</v>
      </c>
      <c r="U159" s="21">
        <v>30</v>
      </c>
      <c r="V159" s="2">
        <v>15</v>
      </c>
      <c r="W159" s="82"/>
    </row>
    <row r="160" spans="2:23" x14ac:dyDescent="0.35">
      <c r="B160" s="1" t="s">
        <v>29</v>
      </c>
      <c r="C160" s="50"/>
      <c r="D160" s="44"/>
      <c r="E160" t="s">
        <v>30</v>
      </c>
      <c r="F160" s="8" t="s">
        <v>40</v>
      </c>
      <c r="G160" s="30" t="s">
        <v>41</v>
      </c>
      <c r="H160" s="14">
        <f>400*5</f>
        <v>2000</v>
      </c>
      <c r="I160" s="15"/>
      <c r="J160" s="15"/>
      <c r="K160" s="15"/>
      <c r="L160" s="15">
        <f>60*5</f>
        <v>300</v>
      </c>
      <c r="M160" s="15"/>
      <c r="N160" s="15"/>
      <c r="O160" s="15"/>
      <c r="P160" s="15"/>
      <c r="Q160" s="15"/>
      <c r="R160" s="15"/>
      <c r="S160" s="16"/>
      <c r="T160" s="85" cm="1">
        <f t="array" ref="T160">IF(C160="",0,IF(W160="",0,W160/_xlfn.XLOOKUP(C160&amp;D160,RMth&amp;RYr,RAr)))</f>
        <v>0</v>
      </c>
      <c r="U160" s="21">
        <v>20</v>
      </c>
      <c r="V160" s="2"/>
      <c r="W160" s="82"/>
    </row>
    <row r="161" spans="2:23" x14ac:dyDescent="0.35">
      <c r="B161" s="1" t="s">
        <v>29</v>
      </c>
      <c r="C161" s="50"/>
      <c r="D161" s="44"/>
      <c r="E161" t="s">
        <v>31</v>
      </c>
      <c r="F161" s="8" t="s">
        <v>40</v>
      </c>
      <c r="G161" s="30" t="s">
        <v>9</v>
      </c>
      <c r="H161" s="14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  <c r="T161" s="85" cm="1">
        <f t="array" ref="T161">IF(C161="",0,IF(W161="",0,W161/_xlfn.XLOOKUP(C161&amp;D161,RMth&amp;RYr,RAr)))</f>
        <v>0</v>
      </c>
      <c r="U161" s="21">
        <v>20</v>
      </c>
      <c r="V161" s="2"/>
      <c r="W161" s="82"/>
    </row>
    <row r="162" spans="2:23" x14ac:dyDescent="0.35">
      <c r="B162" s="1" t="s">
        <v>12</v>
      </c>
      <c r="C162" s="50"/>
      <c r="D162" s="44"/>
      <c r="E162" s="34" t="s">
        <v>98</v>
      </c>
      <c r="F162" s="8" t="s">
        <v>39</v>
      </c>
      <c r="G162" s="30" t="s">
        <v>41</v>
      </c>
      <c r="H162" s="14"/>
      <c r="I162" s="15"/>
      <c r="J162" s="15"/>
      <c r="K162" s="15"/>
      <c r="L162" s="15"/>
      <c r="M162" s="15"/>
      <c r="N162" s="15"/>
      <c r="O162" s="15">
        <v>100</v>
      </c>
      <c r="P162" s="15"/>
      <c r="Q162" s="15"/>
      <c r="R162" s="15"/>
      <c r="S162" s="16"/>
      <c r="T162" s="85" cm="1">
        <f t="array" ref="T162">IF(C162="",0,IF(W162="",0,W162/_xlfn.XLOOKUP(C162&amp;D162,RMth&amp;RYr,RAr)))</f>
        <v>0</v>
      </c>
      <c r="U162" s="21">
        <v>30</v>
      </c>
      <c r="V162" s="2"/>
      <c r="W162" s="82"/>
    </row>
    <row r="163" spans="2:23" x14ac:dyDescent="0.35">
      <c r="B163" s="1" t="s">
        <v>12</v>
      </c>
      <c r="C163" s="50"/>
      <c r="D163" s="44"/>
      <c r="E163" s="34" t="s">
        <v>150</v>
      </c>
      <c r="F163" s="8" t="s">
        <v>39</v>
      </c>
      <c r="G163" s="30" t="s">
        <v>41</v>
      </c>
      <c r="H163" s="14"/>
      <c r="I163" s="15"/>
      <c r="J163" s="15"/>
      <c r="K163" s="15"/>
      <c r="L163" s="15"/>
      <c r="M163" s="15"/>
      <c r="N163" s="15"/>
      <c r="O163" s="15"/>
      <c r="P163" s="15"/>
      <c r="Q163" s="15"/>
      <c r="R163" s="15">
        <v>50</v>
      </c>
      <c r="S163" s="16"/>
      <c r="T163" s="85" cm="1">
        <f t="array" ref="T163">IF(C163="",0,IF(W163="",0,W163/_xlfn.XLOOKUP(C163&amp;D163,RMth&amp;RYr,RAr)))</f>
        <v>0</v>
      </c>
      <c r="U163" s="21"/>
      <c r="V163" s="2"/>
      <c r="W163" s="82"/>
    </row>
    <row r="164" spans="2:23" x14ac:dyDescent="0.35">
      <c r="B164" s="1" t="s">
        <v>12</v>
      </c>
      <c r="C164" s="50"/>
      <c r="D164" s="44"/>
      <c r="E164" s="34" t="s">
        <v>151</v>
      </c>
      <c r="F164" s="8" t="s">
        <v>39</v>
      </c>
      <c r="G164" s="30" t="s">
        <v>41</v>
      </c>
      <c r="H164" s="14"/>
      <c r="I164" s="15"/>
      <c r="J164" s="15"/>
      <c r="K164" s="15"/>
      <c r="L164" s="15"/>
      <c r="M164" s="15">
        <v>20</v>
      </c>
      <c r="N164" s="15"/>
      <c r="O164" s="15"/>
      <c r="P164" s="15">
        <v>200</v>
      </c>
      <c r="Q164" s="15"/>
      <c r="R164" s="15"/>
      <c r="S164" s="16"/>
      <c r="T164" s="85" cm="1">
        <f t="array" ref="T164">IF(C164="",0,IF(W164="",0,W164/_xlfn.XLOOKUP(C164&amp;D164,RMth&amp;RYr,RAr)))</f>
        <v>0</v>
      </c>
      <c r="U164" s="21"/>
      <c r="V164" s="2"/>
      <c r="W164" s="82"/>
    </row>
    <row r="165" spans="2:23" x14ac:dyDescent="0.35">
      <c r="B165" s="1" t="s">
        <v>12</v>
      </c>
      <c r="C165" s="50"/>
      <c r="D165" s="44"/>
      <c r="E165" s="34" t="s">
        <v>156</v>
      </c>
      <c r="F165" s="8" t="s">
        <v>39</v>
      </c>
      <c r="G165" s="30" t="s">
        <v>41</v>
      </c>
      <c r="H165" s="14"/>
      <c r="I165" s="15"/>
      <c r="J165" s="15"/>
      <c r="K165" s="15"/>
      <c r="L165" s="15"/>
      <c r="M165" s="15"/>
      <c r="N165" s="15"/>
      <c r="O165" s="15"/>
      <c r="P165" s="15"/>
      <c r="Q165" s="15"/>
      <c r="R165" s="15">
        <v>50</v>
      </c>
      <c r="S165" s="16"/>
      <c r="T165" s="85" cm="1">
        <f t="array" ref="T165">IF(C165="",0,IF(W165="",0,W165/_xlfn.XLOOKUP(C165&amp;D165,RMth&amp;RYr,RAr)))</f>
        <v>0</v>
      </c>
      <c r="U165" s="21"/>
      <c r="V165" s="2"/>
      <c r="W165" s="82"/>
    </row>
    <row r="166" spans="2:23" x14ac:dyDescent="0.35">
      <c r="B166" s="1" t="s">
        <v>12</v>
      </c>
      <c r="C166" s="50"/>
      <c r="D166" s="44"/>
      <c r="E166" s="34" t="s">
        <v>157</v>
      </c>
      <c r="F166" s="8" t="s">
        <v>39</v>
      </c>
      <c r="G166" s="30" t="s">
        <v>41</v>
      </c>
      <c r="H166" s="14"/>
      <c r="I166" s="15"/>
      <c r="J166" s="15"/>
      <c r="K166" s="15"/>
      <c r="L166" s="15"/>
      <c r="M166" s="15">
        <v>20</v>
      </c>
      <c r="N166" s="15"/>
      <c r="O166" s="15"/>
      <c r="P166" s="15">
        <v>200</v>
      </c>
      <c r="Q166" s="15"/>
      <c r="R166" s="15"/>
      <c r="S166" s="16"/>
      <c r="T166" s="85" cm="1">
        <f t="array" ref="T166">IF(C166="",0,IF(W166="",0,W166/_xlfn.XLOOKUP(C166&amp;D166,RMth&amp;RYr,RAr)))</f>
        <v>0</v>
      </c>
      <c r="U166" s="21"/>
      <c r="V166" s="2"/>
      <c r="W166" s="82"/>
    </row>
    <row r="167" spans="2:23" x14ac:dyDescent="0.35">
      <c r="B167" s="1" t="s">
        <v>12</v>
      </c>
      <c r="C167" s="50"/>
      <c r="D167" s="44"/>
      <c r="E167" t="s">
        <v>14</v>
      </c>
      <c r="F167" s="8" t="s">
        <v>39</v>
      </c>
      <c r="G167" s="30" t="s">
        <v>41</v>
      </c>
      <c r="H167" s="14"/>
      <c r="I167" s="15"/>
      <c r="J167" s="15"/>
      <c r="K167" s="15"/>
      <c r="L167" s="15"/>
      <c r="M167" s="15"/>
      <c r="N167" s="15"/>
      <c r="O167" s="15"/>
      <c r="P167" s="15"/>
      <c r="Q167" s="15">
        <v>200</v>
      </c>
      <c r="R167" s="15"/>
      <c r="S167" s="16"/>
      <c r="T167" s="85" cm="1">
        <f t="array" ref="T167">IF(C167="",0,IF(W167="",0,W167/_xlfn.XLOOKUP(C167&amp;D167,RMth&amp;RYr,RAr)))</f>
        <v>0</v>
      </c>
      <c r="U167" s="21">
        <v>30</v>
      </c>
      <c r="V167" s="2"/>
      <c r="W167" s="82"/>
    </row>
    <row r="168" spans="2:23" x14ac:dyDescent="0.35">
      <c r="B168" s="1" t="s">
        <v>12</v>
      </c>
      <c r="C168" s="50"/>
      <c r="D168" s="44"/>
      <c r="E168" s="34" t="s">
        <v>15</v>
      </c>
      <c r="F168" s="8" t="s">
        <v>39</v>
      </c>
      <c r="G168" s="30" t="s">
        <v>9</v>
      </c>
      <c r="H168" s="14"/>
      <c r="I168" s="15"/>
      <c r="J168" s="15"/>
      <c r="K168" s="15"/>
      <c r="L168" s="15"/>
      <c r="M168" s="15">
        <v>20</v>
      </c>
      <c r="N168" s="15"/>
      <c r="O168" s="15"/>
      <c r="P168" s="15">
        <v>200</v>
      </c>
      <c r="Q168" s="15"/>
      <c r="R168" s="15"/>
      <c r="S168" s="16"/>
      <c r="T168" s="85" cm="1">
        <f t="array" ref="T168">IF(C168="",0,IF(W168="",0,W168/_xlfn.XLOOKUP(C168&amp;D168,RMth&amp;RYr,RAr)))</f>
        <v>0</v>
      </c>
      <c r="U168" s="21">
        <v>30</v>
      </c>
      <c r="V168" s="2"/>
      <c r="W168" s="82">
        <v>100000</v>
      </c>
    </row>
    <row r="169" spans="2:23" x14ac:dyDescent="0.35">
      <c r="B169" s="1" t="s">
        <v>12</v>
      </c>
      <c r="C169" s="50"/>
      <c r="D169" s="44"/>
      <c r="E169" t="s">
        <v>15</v>
      </c>
      <c r="F169" s="8" t="s">
        <v>39</v>
      </c>
      <c r="G169" s="30" t="s">
        <v>41</v>
      </c>
      <c r="H169" s="14"/>
      <c r="I169" s="15"/>
      <c r="J169" s="15"/>
      <c r="K169" s="15"/>
      <c r="L169" s="15"/>
      <c r="M169" s="15">
        <v>20</v>
      </c>
      <c r="N169" s="15"/>
      <c r="O169" s="15"/>
      <c r="P169" s="15">
        <v>200</v>
      </c>
      <c r="Q169" s="15"/>
      <c r="R169" s="15"/>
      <c r="S169" s="16"/>
      <c r="T169" s="85" cm="1">
        <f t="array" ref="T169">IF(C169="",0,IF(W169="",0,W169/_xlfn.XLOOKUP(C169&amp;D169,RMth&amp;RYr,RAr)))</f>
        <v>0</v>
      </c>
      <c r="U169" s="21">
        <v>30</v>
      </c>
      <c r="V169" s="2"/>
      <c r="W169" s="82"/>
    </row>
    <row r="170" spans="2:23" x14ac:dyDescent="0.35">
      <c r="B170" s="1" t="s">
        <v>12</v>
      </c>
      <c r="C170" s="50"/>
      <c r="D170" s="44"/>
      <c r="E170" t="s">
        <v>16</v>
      </c>
      <c r="F170" s="8" t="s">
        <v>39</v>
      </c>
      <c r="G170" s="30" t="s">
        <v>41</v>
      </c>
      <c r="H170" s="14"/>
      <c r="I170" s="15"/>
      <c r="J170" s="15"/>
      <c r="K170" s="15"/>
      <c r="L170" s="15"/>
      <c r="M170" s="15"/>
      <c r="N170" s="15"/>
      <c r="O170" s="15"/>
      <c r="P170" s="15"/>
      <c r="Q170" s="15"/>
      <c r="R170" s="15">
        <v>50</v>
      </c>
      <c r="S170" s="16"/>
      <c r="T170" s="85" cm="1">
        <f t="array" ref="T170">IF(C170="",0,IF(W170="",0,W170/_xlfn.XLOOKUP(C170&amp;D170,RMth&amp;RYr,RAr)))</f>
        <v>0</v>
      </c>
      <c r="U170" s="21">
        <v>30</v>
      </c>
      <c r="V170" s="2"/>
      <c r="W170" s="82"/>
    </row>
    <row r="171" spans="2:23" x14ac:dyDescent="0.35">
      <c r="B171" s="1" t="s">
        <v>12</v>
      </c>
      <c r="C171" s="50"/>
      <c r="D171" s="44"/>
      <c r="E171" t="s">
        <v>17</v>
      </c>
      <c r="F171" s="8" t="s">
        <v>39</v>
      </c>
      <c r="G171" s="30" t="s">
        <v>41</v>
      </c>
      <c r="H171" s="14"/>
      <c r="I171" s="15"/>
      <c r="J171" s="15"/>
      <c r="K171" s="15"/>
      <c r="L171" s="15"/>
      <c r="M171" s="15">
        <v>20</v>
      </c>
      <c r="N171" s="15"/>
      <c r="O171" s="15"/>
      <c r="P171" s="15">
        <v>200</v>
      </c>
      <c r="Q171" s="15">
        <v>200</v>
      </c>
      <c r="R171" s="15"/>
      <c r="S171" s="16"/>
      <c r="T171" s="85" cm="1">
        <f t="array" ref="T171">IF(C171="",0,IF(W171="",0,W171/_xlfn.XLOOKUP(C171&amp;D171,RMth&amp;RYr,RAr)))</f>
        <v>0</v>
      </c>
      <c r="U171" s="21">
        <v>30</v>
      </c>
      <c r="V171" s="2"/>
      <c r="W171" s="82"/>
    </row>
    <row r="172" spans="2:23" x14ac:dyDescent="0.35">
      <c r="B172" s="1" t="s">
        <v>19</v>
      </c>
      <c r="C172" s="50"/>
      <c r="D172" s="44"/>
      <c r="E172" t="s">
        <v>20</v>
      </c>
      <c r="F172" s="8" t="s">
        <v>39</v>
      </c>
      <c r="G172" s="30" t="s">
        <v>41</v>
      </c>
      <c r="H172" s="14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6">
        <v>20</v>
      </c>
      <c r="T172" s="85" cm="1">
        <f t="array" ref="T172">IF(C172="",0,IF(W172="",0,W172/_xlfn.XLOOKUP(C172&amp;D172,RMth&amp;RYr,RAr)))</f>
        <v>0</v>
      </c>
      <c r="U172" s="21">
        <v>30</v>
      </c>
      <c r="V172" s="2"/>
      <c r="W172" s="82"/>
    </row>
    <row r="173" spans="2:23" x14ac:dyDescent="0.35">
      <c r="B173" s="1" t="s">
        <v>19</v>
      </c>
      <c r="C173" s="50"/>
      <c r="D173" s="44"/>
      <c r="E173" t="s">
        <v>21</v>
      </c>
      <c r="F173" s="8" t="s">
        <v>39</v>
      </c>
      <c r="G173" s="30" t="s">
        <v>41</v>
      </c>
      <c r="H173" s="14"/>
      <c r="I173" s="15"/>
      <c r="J173" s="15"/>
      <c r="K173" s="15"/>
      <c r="L173" s="15"/>
      <c r="M173" s="15">
        <v>20</v>
      </c>
      <c r="N173" s="15"/>
      <c r="O173" s="15"/>
      <c r="P173" s="15">
        <v>200</v>
      </c>
      <c r="Q173" s="15"/>
      <c r="R173" s="15"/>
      <c r="S173" s="16"/>
      <c r="T173" s="85" cm="1">
        <f t="array" ref="T173">IF(C173="",0,IF(W173="",0,W173/_xlfn.XLOOKUP(C173&amp;D173,RMth&amp;RYr,RAr)))</f>
        <v>0</v>
      </c>
      <c r="U173" s="21">
        <v>30</v>
      </c>
      <c r="V173" s="2"/>
      <c r="W173" s="82"/>
    </row>
    <row r="174" spans="2:23" x14ac:dyDescent="0.35">
      <c r="B174" s="1" t="s">
        <v>19</v>
      </c>
      <c r="C174" s="50"/>
      <c r="D174" s="44"/>
      <c r="E174" s="34" t="s">
        <v>101</v>
      </c>
      <c r="F174" s="8" t="s">
        <v>39</v>
      </c>
      <c r="G174" s="30" t="s">
        <v>41</v>
      </c>
      <c r="H174" s="14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6">
        <v>20</v>
      </c>
      <c r="T174" s="85" cm="1">
        <f t="array" ref="T174">IF(C174="",0,IF(W174="",0,W174/_xlfn.XLOOKUP(C174&amp;D174,RMth&amp;RYr,RAr)))</f>
        <v>0</v>
      </c>
      <c r="U174" s="21">
        <v>30</v>
      </c>
      <c r="V174" s="2"/>
      <c r="W174" s="82"/>
    </row>
    <row r="175" spans="2:23" x14ac:dyDescent="0.35">
      <c r="B175" s="1" t="s">
        <v>19</v>
      </c>
      <c r="C175" s="50"/>
      <c r="D175" s="44"/>
      <c r="E175" s="34" t="s">
        <v>117</v>
      </c>
      <c r="F175" s="8" t="s">
        <v>39</v>
      </c>
      <c r="G175" s="30" t="s">
        <v>41</v>
      </c>
      <c r="H175" s="14"/>
      <c r="I175" s="15"/>
      <c r="J175" s="15"/>
      <c r="K175" s="15"/>
      <c r="L175" s="15"/>
      <c r="M175" s="15">
        <v>20</v>
      </c>
      <c r="N175" s="15"/>
      <c r="O175" s="15"/>
      <c r="P175" s="15">
        <v>200</v>
      </c>
      <c r="Q175" s="15"/>
      <c r="R175" s="15"/>
      <c r="S175" s="16"/>
      <c r="T175" s="85" cm="1">
        <f t="array" ref="T175">IF(C175="",0,IF(W175="",0,W175/_xlfn.XLOOKUP(C175&amp;D175,RMth&amp;RYr,RAr)))</f>
        <v>0</v>
      </c>
      <c r="U175" s="21">
        <v>30</v>
      </c>
      <c r="V175" s="2"/>
      <c r="W175" s="82"/>
    </row>
    <row r="176" spans="2:23" x14ac:dyDescent="0.35">
      <c r="B176" s="1" t="s">
        <v>19</v>
      </c>
      <c r="C176" s="50"/>
      <c r="D176" s="44"/>
      <c r="E176" t="s">
        <v>22</v>
      </c>
      <c r="F176" s="8" t="s">
        <v>39</v>
      </c>
      <c r="G176" s="30" t="s">
        <v>41</v>
      </c>
      <c r="H176" s="14"/>
      <c r="I176" s="15"/>
      <c r="J176" s="15"/>
      <c r="K176" s="15"/>
      <c r="L176" s="15"/>
      <c r="M176" s="15"/>
      <c r="N176" s="15"/>
      <c r="O176" s="15"/>
      <c r="P176" s="15"/>
      <c r="Q176" s="15"/>
      <c r="R176" s="15">
        <v>50</v>
      </c>
      <c r="S176" s="16" t="s">
        <v>23</v>
      </c>
      <c r="T176" s="85" cm="1">
        <f t="array" ref="T176">IF(C176="",0,IF(W176="",0,W176/_xlfn.XLOOKUP(C176&amp;D176,RMth&amp;RYr,RAr)))</f>
        <v>0</v>
      </c>
      <c r="U176" s="21">
        <v>30</v>
      </c>
      <c r="V176" s="2"/>
      <c r="W176" s="82"/>
    </row>
    <row r="177" spans="2:23" x14ac:dyDescent="0.35">
      <c r="B177" s="1" t="s">
        <v>19</v>
      </c>
      <c r="C177" s="50"/>
      <c r="D177" s="44"/>
      <c r="E177" t="s">
        <v>24</v>
      </c>
      <c r="F177" s="8" t="s">
        <v>39</v>
      </c>
      <c r="G177" s="30" t="s">
        <v>9</v>
      </c>
      <c r="H177" s="14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/>
      <c r="T177" s="85" cm="1">
        <f t="array" ref="T177">IF(C177="",0,IF(W177="",0,W177/_xlfn.XLOOKUP(C177&amp;D177,RMth&amp;RYr,RAr)))</f>
        <v>0</v>
      </c>
      <c r="U177" s="21">
        <v>30</v>
      </c>
      <c r="V177" s="2"/>
      <c r="W177" s="82"/>
    </row>
    <row r="178" spans="2:23" x14ac:dyDescent="0.35">
      <c r="B178" s="1" t="s">
        <v>19</v>
      </c>
      <c r="C178" s="50"/>
      <c r="D178" s="44"/>
      <c r="E178" t="s">
        <v>25</v>
      </c>
      <c r="F178" s="8" t="s">
        <v>39</v>
      </c>
      <c r="G178" s="30" t="s">
        <v>9</v>
      </c>
      <c r="H178" s="14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/>
      <c r="T178" s="85" cm="1">
        <f t="array" ref="T178">IF(C178="",0,IF(W178="",0,W178/_xlfn.XLOOKUP(C178&amp;D178,RMth&amp;RYr,RAr)))</f>
        <v>0</v>
      </c>
      <c r="U178" s="21">
        <v>30</v>
      </c>
      <c r="V178" s="2"/>
      <c r="W178" s="82"/>
    </row>
    <row r="179" spans="2:23" x14ac:dyDescent="0.35">
      <c r="B179" s="1" t="s">
        <v>12</v>
      </c>
      <c r="C179" s="50"/>
      <c r="D179" s="44"/>
      <c r="E179" s="34" t="s">
        <v>13</v>
      </c>
      <c r="F179" s="8" t="s">
        <v>38</v>
      </c>
      <c r="G179" s="30" t="s">
        <v>41</v>
      </c>
      <c r="H179" s="14">
        <f>400*5</f>
        <v>2000</v>
      </c>
      <c r="I179" s="15"/>
      <c r="J179" s="15"/>
      <c r="K179" s="15"/>
      <c r="L179" s="15">
        <f>60*5</f>
        <v>300</v>
      </c>
      <c r="M179" s="15">
        <f>35*5</f>
        <v>175</v>
      </c>
      <c r="N179" s="15"/>
      <c r="O179" s="15"/>
      <c r="P179" s="15"/>
      <c r="Q179" s="15"/>
      <c r="R179" s="15"/>
      <c r="S179" s="16"/>
      <c r="T179" s="85" cm="1">
        <f t="array" ref="T179">IF(C179="",0,IF(W179="",0,W179/_xlfn.XLOOKUP(C179&amp;D179,RMth&amp;RYr,RAr)))</f>
        <v>0</v>
      </c>
      <c r="U179" s="21">
        <v>20</v>
      </c>
      <c r="V179" s="2"/>
      <c r="W179" s="82"/>
    </row>
    <row r="180" spans="2:23" x14ac:dyDescent="0.35">
      <c r="B180" s="1" t="s">
        <v>12</v>
      </c>
      <c r="C180" s="50"/>
      <c r="D180" s="44"/>
      <c r="E180" s="34" t="s">
        <v>13</v>
      </c>
      <c r="F180" s="8" t="s">
        <v>38</v>
      </c>
      <c r="G180" s="30" t="s">
        <v>9</v>
      </c>
      <c r="H180" s="14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6"/>
      <c r="T180" s="85" cm="1">
        <f t="array" ref="T180">IF(C180="",0,IF(W180="",0,W180/_xlfn.XLOOKUP(C180&amp;D180,RMth&amp;RYr,RAr)))</f>
        <v>0</v>
      </c>
      <c r="U180" s="21">
        <v>20</v>
      </c>
      <c r="V180" s="2"/>
      <c r="W180" s="82">
        <v>60000</v>
      </c>
    </row>
    <row r="181" spans="2:23" x14ac:dyDescent="0.35">
      <c r="B181" s="1" t="s">
        <v>26</v>
      </c>
      <c r="C181" s="50"/>
      <c r="D181" s="44"/>
      <c r="E181" s="34" t="s">
        <v>27</v>
      </c>
      <c r="F181" s="8" t="s">
        <v>109</v>
      </c>
      <c r="G181" s="30" t="s">
        <v>111</v>
      </c>
      <c r="H181" s="14">
        <v>140</v>
      </c>
      <c r="I181" s="15"/>
      <c r="J181" s="15"/>
      <c r="K181" s="15"/>
      <c r="L181" s="15">
        <v>30</v>
      </c>
      <c r="M181" s="15">
        <v>10</v>
      </c>
      <c r="N181" s="15"/>
      <c r="O181" s="15"/>
      <c r="P181" s="15"/>
      <c r="Q181" s="15"/>
      <c r="R181" s="15"/>
      <c r="S181" s="16"/>
      <c r="T181" s="85" cm="1">
        <f t="array" ref="T181">IF(C181="",0,IF(W181="",0,W181/_xlfn.XLOOKUP(C181&amp;D181,RMth&amp;RYr,RAr)))</f>
        <v>0</v>
      </c>
      <c r="U181" s="21">
        <v>60</v>
      </c>
      <c r="V181" s="2">
        <v>13</v>
      </c>
      <c r="W181" s="82">
        <v>315</v>
      </c>
    </row>
    <row r="182" spans="2:23" x14ac:dyDescent="0.35">
      <c r="B182" s="3" t="s">
        <v>26</v>
      </c>
      <c r="C182" s="50"/>
      <c r="D182" s="44"/>
      <c r="E182" s="33" t="s">
        <v>28</v>
      </c>
      <c r="F182" s="9" t="s">
        <v>109</v>
      </c>
      <c r="G182" s="9" t="s">
        <v>41</v>
      </c>
      <c r="H182" s="17">
        <v>140</v>
      </c>
      <c r="I182" s="18"/>
      <c r="J182" s="18"/>
      <c r="K182" s="18"/>
      <c r="L182" s="18">
        <v>30</v>
      </c>
      <c r="M182" s="18">
        <v>10</v>
      </c>
      <c r="N182" s="18"/>
      <c r="O182" s="18"/>
      <c r="P182" s="18"/>
      <c r="Q182" s="18"/>
      <c r="R182" s="18"/>
      <c r="S182" s="19"/>
      <c r="T182" s="86" cm="1">
        <f t="array" ref="T182">IF(C182="",0,IF(W182="",0,W182/_xlfn.XLOOKUP(C182&amp;D182,RMth&amp;RYr,RAr)))</f>
        <v>0</v>
      </c>
      <c r="U182" s="22">
        <v>60</v>
      </c>
      <c r="V182" s="4"/>
      <c r="W182" s="83"/>
    </row>
  </sheetData>
  <dataValidations count="3">
    <dataValidation type="list" allowBlank="1" showInputMessage="1" showErrorMessage="1" sqref="G155:G182 G125:G152 G35:G62 G65:G92 G95:G122 G3:G32" xr:uid="{FDB615C3-803E-496B-8E4B-9948715292FC}">
      <formula1>madmod</formula1>
    </dataValidation>
    <dataValidation type="list" allowBlank="1" showInputMessage="1" showErrorMessage="1" sqref="C155:C182 C35:C62 C65:C92 C95:C122 C125:C152 C3:C32" xr:uid="{DE38786F-5FEB-4E74-95E9-BDFD8CCEB7CD}">
      <formula1>Mg_mth</formula1>
    </dataValidation>
    <dataValidation type="list" allowBlank="1" showInputMessage="1" showErrorMessage="1" sqref="D155:D182 D35:D62 D65:D92 D95:D122 D125:D152 D3:D32" xr:uid="{59036A67-0354-45E0-86B8-F2099A7D0244}">
      <formula1>mg_yr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5A42-C0FF-4CA6-8BA0-33F53AD3FAAC}">
  <sheetPr codeName="Sheet4"/>
  <dimension ref="B2:M30"/>
  <sheetViews>
    <sheetView workbookViewId="0">
      <selection activeCell="M10" sqref="M10"/>
    </sheetView>
  </sheetViews>
  <sheetFormatPr defaultRowHeight="14.5" x14ac:dyDescent="0.35"/>
  <cols>
    <col min="2" max="2" width="20.36328125" bestFit="1" customWidth="1"/>
    <col min="3" max="3" width="34.90625" customWidth="1"/>
    <col min="5" max="5" width="12.36328125" customWidth="1"/>
    <col min="6" max="6" width="9.90625" customWidth="1"/>
    <col min="8" max="8" width="12.54296875" bestFit="1" customWidth="1"/>
    <col min="11" max="11" width="13.36328125" customWidth="1"/>
  </cols>
  <sheetData>
    <row r="2" spans="2:13" x14ac:dyDescent="0.35">
      <c r="B2" s="35" t="s">
        <v>84</v>
      </c>
      <c r="C2" s="36" t="s">
        <v>85</v>
      </c>
    </row>
    <row r="3" spans="2:13" x14ac:dyDescent="0.35">
      <c r="B3" s="37" t="s">
        <v>80</v>
      </c>
      <c r="C3" s="38"/>
      <c r="F3" s="20" t="s">
        <v>41</v>
      </c>
      <c r="H3" s="41" t="s">
        <v>116</v>
      </c>
    </row>
    <row r="4" spans="2:13" x14ac:dyDescent="0.35">
      <c r="B4" s="37" t="s">
        <v>61</v>
      </c>
      <c r="C4" s="38" t="s">
        <v>86</v>
      </c>
      <c r="F4" s="21" t="s">
        <v>9</v>
      </c>
      <c r="H4" s="28">
        <v>1000000</v>
      </c>
    </row>
    <row r="5" spans="2:13" x14ac:dyDescent="0.35">
      <c r="B5" s="37" t="s">
        <v>76</v>
      </c>
      <c r="C5" s="38" t="s">
        <v>87</v>
      </c>
      <c r="F5" s="21" t="s">
        <v>110</v>
      </c>
    </row>
    <row r="6" spans="2:13" x14ac:dyDescent="0.35">
      <c r="B6" s="37" t="s">
        <v>78</v>
      </c>
      <c r="C6" s="38"/>
      <c r="F6" s="22" t="s">
        <v>111</v>
      </c>
    </row>
    <row r="7" spans="2:13" x14ac:dyDescent="0.35">
      <c r="B7" s="37" t="s">
        <v>83</v>
      </c>
      <c r="C7" s="38"/>
    </row>
    <row r="8" spans="2:13" x14ac:dyDescent="0.35">
      <c r="B8" s="37" t="s">
        <v>65</v>
      </c>
      <c r="C8" s="38"/>
    </row>
    <row r="9" spans="2:13" x14ac:dyDescent="0.35">
      <c r="B9" s="37" t="s">
        <v>74</v>
      </c>
      <c r="C9" s="38"/>
      <c r="E9" s="24" t="s">
        <v>43</v>
      </c>
      <c r="F9" s="26" t="s">
        <v>118</v>
      </c>
      <c r="H9" s="26" t="s">
        <v>120</v>
      </c>
      <c r="K9" s="26" t="s">
        <v>154</v>
      </c>
      <c r="L9" s="26" t="s">
        <v>118</v>
      </c>
      <c r="M9" s="26" t="s">
        <v>153</v>
      </c>
    </row>
    <row r="10" spans="2:13" x14ac:dyDescent="0.35">
      <c r="B10" s="37" t="s">
        <v>58</v>
      </c>
      <c r="C10" s="38"/>
      <c r="E10" t="s">
        <v>128</v>
      </c>
      <c r="F10" s="52">
        <v>2022</v>
      </c>
      <c r="H10" t="s">
        <v>121</v>
      </c>
      <c r="K10" t="s">
        <v>128</v>
      </c>
      <c r="L10" s="52">
        <v>2023</v>
      </c>
      <c r="M10">
        <v>4383.5200000000004</v>
      </c>
    </row>
    <row r="11" spans="2:13" x14ac:dyDescent="0.35">
      <c r="B11" s="37" t="s">
        <v>82</v>
      </c>
      <c r="C11" s="38"/>
      <c r="E11" t="s">
        <v>129</v>
      </c>
      <c r="F11" s="52">
        <v>2023</v>
      </c>
      <c r="H11" t="s">
        <v>91</v>
      </c>
      <c r="K11" t="s">
        <v>129</v>
      </c>
      <c r="L11" s="52">
        <v>2023</v>
      </c>
      <c r="M11">
        <v>4383.5200000000004</v>
      </c>
    </row>
    <row r="12" spans="2:13" x14ac:dyDescent="0.35">
      <c r="B12" s="37" t="s">
        <v>149</v>
      </c>
      <c r="C12" s="38"/>
      <c r="E12" t="s">
        <v>130</v>
      </c>
      <c r="F12" s="52">
        <v>2024</v>
      </c>
      <c r="H12" t="s">
        <v>94</v>
      </c>
      <c r="K12" t="s">
        <v>130</v>
      </c>
      <c r="L12" s="52">
        <v>2023</v>
      </c>
      <c r="M12">
        <v>4383.5200000000004</v>
      </c>
    </row>
    <row r="13" spans="2:13" x14ac:dyDescent="0.35">
      <c r="B13" s="37" t="s">
        <v>67</v>
      </c>
      <c r="C13" s="38"/>
      <c r="E13" t="s">
        <v>131</v>
      </c>
      <c r="H13" t="s">
        <v>93</v>
      </c>
      <c r="K13" t="s">
        <v>131</v>
      </c>
      <c r="L13" s="52">
        <v>2023</v>
      </c>
    </row>
    <row r="14" spans="2:13" x14ac:dyDescent="0.35">
      <c r="B14" s="37" t="s">
        <v>59</v>
      </c>
      <c r="C14" s="38"/>
      <c r="E14" t="s">
        <v>132</v>
      </c>
      <c r="H14" t="s">
        <v>92</v>
      </c>
      <c r="K14" t="s">
        <v>132</v>
      </c>
      <c r="L14" s="52">
        <v>2023</v>
      </c>
    </row>
    <row r="15" spans="2:13" x14ac:dyDescent="0.35">
      <c r="B15" s="37" t="s">
        <v>71</v>
      </c>
      <c r="C15" s="38"/>
      <c r="E15" t="s">
        <v>133</v>
      </c>
      <c r="H15" s="89" t="s">
        <v>99</v>
      </c>
      <c r="K15" t="s">
        <v>133</v>
      </c>
      <c r="L15" s="52">
        <v>2023</v>
      </c>
    </row>
    <row r="16" spans="2:13" x14ac:dyDescent="0.35">
      <c r="B16" s="37" t="s">
        <v>79</v>
      </c>
      <c r="C16" s="38"/>
      <c r="E16" t="s">
        <v>122</v>
      </c>
      <c r="K16" t="s">
        <v>122</v>
      </c>
      <c r="L16" s="52">
        <v>2023</v>
      </c>
    </row>
    <row r="17" spans="2:12" x14ac:dyDescent="0.35">
      <c r="B17" s="37" t="s">
        <v>63</v>
      </c>
      <c r="C17" s="38"/>
      <c r="E17" t="s">
        <v>126</v>
      </c>
      <c r="K17" t="s">
        <v>126</v>
      </c>
      <c r="L17" s="52">
        <v>2023</v>
      </c>
    </row>
    <row r="18" spans="2:12" x14ac:dyDescent="0.35">
      <c r="B18" s="37" t="s">
        <v>62</v>
      </c>
      <c r="C18" s="38"/>
      <c r="E18" t="s">
        <v>123</v>
      </c>
      <c r="K18" t="s">
        <v>123</v>
      </c>
      <c r="L18" s="52">
        <v>2023</v>
      </c>
    </row>
    <row r="19" spans="2:12" x14ac:dyDescent="0.35">
      <c r="B19" s="37" t="s">
        <v>64</v>
      </c>
      <c r="C19" s="38"/>
      <c r="E19" t="s">
        <v>124</v>
      </c>
      <c r="K19" t="s">
        <v>124</v>
      </c>
      <c r="L19" s="52">
        <v>2023</v>
      </c>
    </row>
    <row r="20" spans="2:12" x14ac:dyDescent="0.35">
      <c r="B20" s="37" t="s">
        <v>60</v>
      </c>
      <c r="C20" s="38"/>
      <c r="E20" t="s">
        <v>125</v>
      </c>
      <c r="H20" s="51"/>
      <c r="K20" t="s">
        <v>125</v>
      </c>
      <c r="L20" s="52">
        <v>2023</v>
      </c>
    </row>
    <row r="21" spans="2:12" x14ac:dyDescent="0.35">
      <c r="B21" s="37" t="s">
        <v>77</v>
      </c>
      <c r="C21" s="38"/>
      <c r="E21" t="s">
        <v>127</v>
      </c>
      <c r="K21" t="s">
        <v>127</v>
      </c>
      <c r="L21" s="52">
        <v>2023</v>
      </c>
    </row>
    <row r="22" spans="2:12" x14ac:dyDescent="0.35">
      <c r="B22" s="37" t="s">
        <v>70</v>
      </c>
      <c r="C22" s="38"/>
    </row>
    <row r="23" spans="2:12" x14ac:dyDescent="0.35">
      <c r="B23" s="37" t="s">
        <v>66</v>
      </c>
      <c r="C23" s="38"/>
    </row>
    <row r="24" spans="2:12" x14ac:dyDescent="0.35">
      <c r="B24" s="37" t="s">
        <v>69</v>
      </c>
      <c r="C24" s="38"/>
    </row>
    <row r="25" spans="2:12" x14ac:dyDescent="0.35">
      <c r="B25" s="37" t="s">
        <v>72</v>
      </c>
      <c r="C25" s="38"/>
    </row>
    <row r="26" spans="2:12" x14ac:dyDescent="0.35">
      <c r="B26" s="37" t="s">
        <v>75</v>
      </c>
      <c r="C26" s="38"/>
    </row>
    <row r="27" spans="2:12" x14ac:dyDescent="0.35">
      <c r="B27" s="37" t="s">
        <v>73</v>
      </c>
      <c r="C27" s="38"/>
    </row>
    <row r="28" spans="2:12" x14ac:dyDescent="0.35">
      <c r="B28" s="37" t="s">
        <v>81</v>
      </c>
      <c r="C28" s="38" t="s">
        <v>81</v>
      </c>
    </row>
    <row r="29" spans="2:12" x14ac:dyDescent="0.35">
      <c r="B29" s="37" t="s">
        <v>68</v>
      </c>
      <c r="C29" s="38" t="s">
        <v>88</v>
      </c>
    </row>
    <row r="30" spans="2:12" x14ac:dyDescent="0.35">
      <c r="B30" s="39" t="s">
        <v>89</v>
      </c>
      <c r="C30" s="40" t="s">
        <v>89</v>
      </c>
    </row>
  </sheetData>
  <sortState xmlns:xlrd2="http://schemas.microsoft.com/office/spreadsheetml/2017/richdata2" ref="H10:H15">
    <sortCondition ref="H10:H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Summary</vt:lpstr>
      <vt:lpstr>Details</vt:lpstr>
      <vt:lpstr>Ration</vt:lpstr>
      <vt:lpstr>info</vt:lpstr>
      <vt:lpstr>d_act</vt:lpstr>
      <vt:lpstr>d_bnf</vt:lpstr>
      <vt:lpstr>d_csb1</vt:lpstr>
      <vt:lpstr>d_csb2</vt:lpstr>
      <vt:lpstr>d_doz</vt:lpstr>
      <vt:lpstr>d_hhs</vt:lpstr>
      <vt:lpstr>d_hu</vt:lpstr>
      <vt:lpstr>d_lns</vt:lpstr>
      <vt:lpstr>d_ls</vt:lpstr>
      <vt:lpstr>d_mga</vt:lpstr>
      <vt:lpstr>D_mod</vt:lpstr>
      <vt:lpstr>d_mth</vt:lpstr>
      <vt:lpstr>d_riz</vt:lpstr>
      <vt:lpstr>d_SO</vt:lpstr>
      <vt:lpstr>d_stats</vt:lpstr>
      <vt:lpstr>d_sup</vt:lpstr>
      <vt:lpstr>d_usd</vt:lpstr>
      <vt:lpstr>d_wbs</vt:lpstr>
      <vt:lpstr>d_yr</vt:lpstr>
      <vt:lpstr>ExRate</vt:lpstr>
      <vt:lpstr>madmod</vt:lpstr>
      <vt:lpstr>mg_bt</vt:lpstr>
      <vt:lpstr>Mg_mth</vt:lpstr>
      <vt:lpstr>mg_yr</vt:lpstr>
      <vt:lpstr>MGMT</vt:lpstr>
      <vt:lpstr>partner</vt:lpstr>
      <vt:lpstr>RAr</vt:lpstr>
      <vt:lpstr>rat_tab</vt:lpstr>
      <vt:lpstr>RMth</vt:lpstr>
      <vt:lpstr>RYr</vt:lpstr>
      <vt:lpstr>SchLS</vt:lpstr>
      <vt:lpstr>tab_act</vt:lpstr>
      <vt:lpstr>tab_act1</vt:lpstr>
      <vt:lpstr>tab_cash</vt:lpstr>
      <vt:lpstr>tab_csb1</vt:lpstr>
      <vt:lpstr>tab_csb2</vt:lpstr>
      <vt:lpstr>tab_hu</vt:lpstr>
      <vt:lpstr>tab_lns</vt:lpstr>
      <vt:lpstr>tab_ls</vt:lpstr>
      <vt:lpstr>tab_mc</vt:lpstr>
      <vt:lpstr>tab_mg</vt:lpstr>
      <vt:lpstr>tab_mnp</vt:lpstr>
      <vt:lpstr>tab_mod</vt:lpstr>
      <vt:lpstr>tab_pdoz</vt:lpstr>
      <vt:lpstr>tab_Psup</vt:lpstr>
      <vt:lpstr>tab_riz</vt:lpstr>
      <vt:lpstr>tab_sor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TARR Simon</dc:creator>
  <cp:lastModifiedBy>Manantsoa VAGNONDILY</cp:lastModifiedBy>
  <cp:lastPrinted>2022-12-28T13:51:05Z</cp:lastPrinted>
  <dcterms:created xsi:type="dcterms:W3CDTF">2022-06-26T05:36:45Z</dcterms:created>
  <dcterms:modified xsi:type="dcterms:W3CDTF">2024-02-01T15:37:33Z</dcterms:modified>
</cp:coreProperties>
</file>