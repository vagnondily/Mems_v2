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9"/>
  <workbookPr/>
  <mc:AlternateContent xmlns:mc="http://schemas.openxmlformats.org/markup-compatibility/2006">
    <mc:Choice Requires="x15">
      <x15ac:absPath xmlns:x15ac="http://schemas.microsoft.com/office/spreadsheetml/2010/11/ac" url="https://wfp-my.sharepoint.com/personal/sara_bernardini_wfp_org/Documents/Desktop/WFP URGENT/NI workstream/CBT/M&amp;E/Groundwork/FINAL develiverables/"/>
    </mc:Choice>
  </mc:AlternateContent>
  <xr:revisionPtr revIDLastSave="0" documentId="8_{48CDAD34-12F1-4E3C-927C-F1B7476A45D8}" xr6:coauthVersionLast="47" xr6:coauthVersionMax="47" xr10:uidLastSave="{00000000-0000-0000-0000-000000000000}"/>
  <bookViews>
    <workbookView xWindow="28680" yWindow="-120" windowWidth="29040" windowHeight="15840" firstSheet="2" activeTab="1" xr2:uid="{00000000-000D-0000-FFFF-FFFF00000000}"/>
  </bookViews>
  <sheets>
    <sheet name="0.Variable legend" sheetId="3" r:id="rId1"/>
    <sheet name="1.GFA Stand Alone" sheetId="1" r:id="rId2"/>
    <sheet name="2.Recommended Package" sheetId="12" r:id="rId3"/>
    <sheet name="Other SBC indicators" sheetId="16" r:id="rId4"/>
    <sheet name="3. Recommended Plus Women Empow" sheetId="13" r:id="rId5"/>
    <sheet name="3. Recommended Plus WASH " sheetId="7" r:id="rId6"/>
    <sheet name="3. Recommended Plus Health Serv" sheetId="14" r:id="rId7"/>
    <sheet name="DG ECHO 8 priority calculator" sheetId="6" r:id="rId8"/>
    <sheet name="DG ECHO Full questionnaire" sheetId="5" r:id="rId9"/>
    <sheet name="Sheet1" sheetId="15" r:id="rId10"/>
  </sheets>
  <definedNames>
    <definedName name="_xlnm._FilterDatabase" localSheetId="1" hidden="1">'1.GFA Stand Alone'!$B$2:$T$49</definedName>
    <definedName name="_xlnm._FilterDatabase" localSheetId="2" hidden="1">'2.Recommended Package'!$C$2:$T$115</definedName>
    <definedName name="_xlnm._FilterDatabase" localSheetId="3" hidden="1">'Other SBC indicators'!$A$2:$C$25</definedName>
    <definedName name="_xlnm.Print_Area" localSheetId="1">'1.GFA Stand Alone'!$A$1:$T$49</definedName>
    <definedName name="_xlnm.Print_Area" localSheetId="2">'2.Recommended Package'!$A$1:$T$115</definedName>
    <definedName name="_xlnm.Print_Titles" localSheetId="1">'1.GFA Stand Alone'!$1:$2</definedName>
    <definedName name="_xlnm.Print_Titles" localSheetId="2">'2.Recommended Package'!$1:$2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6" l="1"/>
  <c r="F6" i="6"/>
  <c r="F7" i="6"/>
  <c r="F4" i="6"/>
  <c r="F5" i="6"/>
  <c r="F10" i="6"/>
  <c r="F11" i="6"/>
  <c r="F8" i="6"/>
  <c r="F12" i="6" l="1"/>
</calcChain>
</file>

<file path=xl/sharedStrings.xml><?xml version="1.0" encoding="utf-8"?>
<sst xmlns="http://schemas.openxmlformats.org/spreadsheetml/2006/main" count="3598" uniqueCount="836">
  <si>
    <t>Variable name in indicator matrix</t>
  </si>
  <si>
    <t>Short explanation</t>
  </si>
  <si>
    <t>Results hierarchy</t>
  </si>
  <si>
    <t>This variable provides the level of hierarchy in the PIP: input, activity, output, outcome or impact level</t>
  </si>
  <si>
    <t>Indicator ID</t>
  </si>
  <si>
    <t xml:space="preserve">This numerical identifier allows for a unique ID number of a given indicator; for similar indicators, a different decimal is given (e.g., 10.0, 10.1, 10.2). Future additions of indicators will allow to keep the numbering system. </t>
  </si>
  <si>
    <t>KPI</t>
  </si>
  <si>
    <t>Stands for ‘Key Performance Indicator’; If the corresponding field states "Yes", it is strongly recommended to measure this indicator as part of an CVA program. Morover, the results of this indicator should be routinely reviewed and discussed by the program management team.</t>
  </si>
  <si>
    <t>Program type</t>
  </si>
  <si>
    <t>Some variables are universal to CVA program, wheras other indicators are specifically related to voucher or cash assistance programs.</t>
  </si>
  <si>
    <t>Performance Indicator (name)</t>
  </si>
  <si>
    <t>This is a name to best describe the indicator name in layperson language.</t>
  </si>
  <si>
    <t>Definition of indicator</t>
  </si>
  <si>
    <t xml:space="preserve">This column provides a definition of the indicator and how it is to be calculated. </t>
  </si>
  <si>
    <t>(A)ggregated or (M)anagement -level reported</t>
  </si>
  <si>
    <t xml:space="preserve">This variable stipulates whether a given indicator is to be :
- calculated for individuals (e.g., children or women) and can be (A)ggregated based on individual level,
- calculated / reported for the CVA program. </t>
  </si>
  <si>
    <t>(M)onitoring or (E)valuation</t>
  </si>
  <si>
    <t>This variable provides an indication if the indicator is more one to be used for routine monitoring or for specific evaluations.</t>
  </si>
  <si>
    <t>Data source/ data collection approach</t>
  </si>
  <si>
    <t>This column provides information on how to obtain the data to calculate the indicator. At times, multiple data collections approaches are possible, and can be adjusted based on the size of the program budget and the research objectives of the program</t>
  </si>
  <si>
    <t>Data collection and reporting frequency</t>
  </si>
  <si>
    <t>This column recommends the frequency of data collection and reporting. This frequency can be increased or decreased depending on WFP’s reporting needs, and based on the program design (e.g., CVA programs that transfer funds electronically may be able to calculate and report certain indicators more quickly than paper-based systems)</t>
  </si>
  <si>
    <t>Indicator reference</t>
  </si>
  <si>
    <t>When relevant, this column provides a simple reference to the indicator. Some indicators have been thoroughly standardized, and program planners should utilize standardized indicators when possible.</t>
  </si>
  <si>
    <t>Comments</t>
  </si>
  <si>
    <t xml:space="preserve">A comment column that is more of temporary relevance; comments can ideally be deleted once there is agreement on the established indicators. </t>
  </si>
  <si>
    <t>Risk and assumptions</t>
  </si>
  <si>
    <t>This column provides information on certain risks for the collection of the indicator (e.g. lack of fund) or assumptions that underly the indicator's definition</t>
  </si>
  <si>
    <t>Mininum M&amp;E requirements for C4PX</t>
  </si>
  <si>
    <t>Indicator overview</t>
  </si>
  <si>
    <t>Comments, risks, assumptions</t>
  </si>
  <si>
    <t>WFP CRF category</t>
  </si>
  <si>
    <t>Program type (cash, voucher, both)</t>
  </si>
  <si>
    <t>Program components</t>
  </si>
  <si>
    <t>Target group</t>
  </si>
  <si>
    <t>Definition/calculation of indicator</t>
  </si>
  <si>
    <t>Disaggregation by…</t>
  </si>
  <si>
    <t>(A)ggregated or (M)anagement-level reporting</t>
  </si>
  <si>
    <t>Indicator reference 1</t>
  </si>
  <si>
    <t>Indicator reference 2</t>
  </si>
  <si>
    <t>Risks</t>
  </si>
  <si>
    <t>Assumptions</t>
  </si>
  <si>
    <t>Process</t>
  </si>
  <si>
    <t>Inputs</t>
  </si>
  <si>
    <t>Y</t>
  </si>
  <si>
    <t>Both</t>
  </si>
  <si>
    <t>Funding</t>
  </si>
  <si>
    <t>n/a</t>
  </si>
  <si>
    <t>Sufficient resources for planned project duration</t>
  </si>
  <si>
    <r>
      <t>Yes/No : Amount of funding secured</t>
    </r>
    <r>
      <rPr>
        <sz val="9"/>
        <color theme="1"/>
        <rFont val="Calibri"/>
        <family val="2"/>
      </rPr>
      <t>≥</t>
    </r>
    <r>
      <rPr>
        <sz val="9"/>
        <color theme="1"/>
        <rFont val="Arial"/>
        <family val="2"/>
      </rPr>
      <t>Projected budget required for CVA program</t>
    </r>
  </si>
  <si>
    <t>M</t>
  </si>
  <si>
    <t>WFP operations</t>
  </si>
  <si>
    <t>Annual</t>
  </si>
  <si>
    <t>Bespoke</t>
  </si>
  <si>
    <t>WFP management to document during annual budget meeting</t>
  </si>
  <si>
    <t>Access to financial services to prevent delays or stoppages to CVA program</t>
  </si>
  <si>
    <t>Yes/No : Access to financing or credit services available</t>
  </si>
  <si>
    <t>WFP CBT Distribution Monitoring Surveys</t>
  </si>
  <si>
    <t>N</t>
  </si>
  <si>
    <t>WFP Operational infrastructure</t>
  </si>
  <si>
    <t xml:space="preserve">Partnerships with local implementing agencies </t>
  </si>
  <si>
    <t>Yes/No : WFP has sufficient partnerships with local agencies that have capacity to implement certain activities</t>
  </si>
  <si>
    <t>Information infrastructure for monitoring &amp; evaluation</t>
  </si>
  <si>
    <t>Yes/No : WFP has a sufficient and functional information infrastructure for CVA projects in house or via an implementing agency</t>
  </si>
  <si>
    <t>Program Environment</t>
  </si>
  <si>
    <t>Partnerships with other UN agencies and NGOs addressing complementary sectors</t>
  </si>
  <si>
    <t>Yes/No : WFP has a sufficient and partnerships such that "complementary programs" (e.g., WASH, child protection) for the CVA can be conducted</t>
  </si>
  <si>
    <r>
      <t xml:space="preserve">Only required when complementary programs that are </t>
    </r>
    <r>
      <rPr>
        <u/>
        <sz val="9"/>
        <rFont val="Arial"/>
        <family val="2"/>
      </rPr>
      <t>not</t>
    </r>
    <r>
      <rPr>
        <sz val="9"/>
        <rFont val="Arial"/>
        <family val="2"/>
      </rPr>
      <t xml:space="preserve"> implemented by WFP are required for the context</t>
    </r>
  </si>
  <si>
    <t>Food market is functional</t>
  </si>
  <si>
    <t xml:space="preserve">WFP’s Market Functionality Index </t>
  </si>
  <si>
    <t>MFI</t>
  </si>
  <si>
    <t>Ensure that MFI is calculated by incorporating nutrition, including availability/affordability of nutrtion foods, seasonality, etc.  COs can consider developing a composite indicator (i.e., MFI + average price market of nutritious). This type of indicator would be context-specific.</t>
  </si>
  <si>
    <t>Activities</t>
  </si>
  <si>
    <t>Design, Targetting, and Recruitement</t>
  </si>
  <si>
    <t>Situation analysis conducted to identify the needs and behavioral objectives of food insecure households.</t>
  </si>
  <si>
    <t>Yes/No : WFP conducted situation analysis or identified existing situation analysis describing the behavioral objectives of target groups</t>
  </si>
  <si>
    <t>Required prior to designing CVA program and determining the type of transfer, transfer size , frequency, and duration.
The situation analysis should identify the needs of children &lt;5yrs and PLW separately, where relevant</t>
  </si>
  <si>
    <t>CVA Distribution</t>
  </si>
  <si>
    <t>Households</t>
  </si>
  <si>
    <r>
      <t xml:space="preserve">Food insecure households are informed how to </t>
    </r>
    <r>
      <rPr>
        <u/>
        <sz val="9"/>
        <rFont val="Arial"/>
        <family val="2"/>
      </rPr>
      <t>access</t>
    </r>
    <r>
      <rPr>
        <sz val="9"/>
        <rFont val="Arial"/>
        <family val="2"/>
      </rPr>
      <t xml:space="preserve"> CVA</t>
    </r>
  </si>
  <si>
    <t>% of households who know how to access or collect CVA</t>
  </si>
  <si>
    <t>A</t>
  </si>
  <si>
    <t>WFP CBT Post-distribution monitoring survey</t>
  </si>
  <si>
    <t>Quarterly/Semi-annual</t>
  </si>
  <si>
    <t>CALP 2022</t>
  </si>
  <si>
    <t>WVI 2021</t>
  </si>
  <si>
    <t>The question asked to households will be modified based on the CVA modality used</t>
  </si>
  <si>
    <r>
      <t xml:space="preserve">Food insecure households are informed how to </t>
    </r>
    <r>
      <rPr>
        <u/>
        <sz val="9"/>
        <rFont val="Arial"/>
        <family val="2"/>
      </rPr>
      <t>use</t>
    </r>
    <r>
      <rPr>
        <sz val="9"/>
        <rFont val="Arial"/>
        <family val="2"/>
      </rPr>
      <t xml:space="preserve"> CVA</t>
    </r>
  </si>
  <si>
    <t>% of households who know how redeem or spend CVA</t>
  </si>
  <si>
    <t>Value of cash or vouchers transferred to households</t>
  </si>
  <si>
    <t>Total value (in USD or other currency) of cash, or vouchers, transferred to households during program period</t>
  </si>
  <si>
    <t>Monthly or following each distribution</t>
  </si>
  <si>
    <t xml:space="preserve">This indicator can be modified depending on how the program is administered (e.g., cash, vouchers).
This indicator should be routinely colllected, and can be reported in aggregate on an annual basis or after the distribution period (e.g., lean period) has been completed </t>
  </si>
  <si>
    <t xml:space="preserve"># of households reporting to receive the anticipated amount of cash </t>
  </si>
  <si>
    <t>Vulnerability groups (program specific), household characteristics (e.g., size, location)</t>
  </si>
  <si>
    <t xml:space="preserve">% of households reporting to receive the anticipated amount of cash </t>
  </si>
  <si>
    <t># of households reporting to receive the anticipated amount of cash / # total households enrolled in CVA program</t>
  </si>
  <si>
    <t>% of households who received CVA in accordance with established timeline</t>
  </si>
  <si>
    <t># of households that received CVA transfer according to pre-defined distribution schedule / # total households</t>
  </si>
  <si>
    <t>% of households reporting that CVA was delivered in a safe, accessible, accountable, and participatory manner (Aggregated PM indicator)</t>
  </si>
  <si>
    <t>The indicator is calculated based on the responses to eight required questions covering the four elements of protection mainstreaming (prioritize safety &amp; dignity and avoid causing harm, meaningful access, accountability, participation)</t>
  </si>
  <si>
    <t>Repeat surveys or project households</t>
  </si>
  <si>
    <t>Semi-annual or more frequently (depending on CVA delivery schedule)</t>
  </si>
  <si>
    <t>DG ECHO questions</t>
  </si>
  <si>
    <t>Protection section of the CBT PDM</t>
  </si>
  <si>
    <t>Development of data collection and analysis tools required</t>
  </si>
  <si>
    <t>Food Environment</t>
  </si>
  <si>
    <t>Market assessment conducted to determine the availability and affordability of nutritious food in the market</t>
  </si>
  <si>
    <t>Yes/No : Market assessment conducted</t>
  </si>
  <si>
    <t>Market Functionality Index survey</t>
  </si>
  <si>
    <t>Voucher</t>
  </si>
  <si>
    <t>% of vendors that have a functional mPOS machine.</t>
  </si>
  <si>
    <t># of vendors with at least 1 functional mPOS machine / # of vendors enrolled in voucher program</t>
  </si>
  <si>
    <t>WFP performance monitoring and evaluation questionnaire</t>
  </si>
  <si>
    <t>Outputs</t>
  </si>
  <si>
    <t>Total number of households receiving CVA by end of the distribution period</t>
  </si>
  <si>
    <t># households that report receiving the full amount of cash transferred that was promised / # households in total that were initially registered to receive a cash transfer</t>
  </si>
  <si>
    <t>Cash</t>
  </si>
  <si>
    <t>% of households that received the full amount of cash planned by end of the distribution period</t>
  </si>
  <si>
    <t xml:space="preserve">Value of cash withdrawn / total value of cash distributed </t>
  </si>
  <si>
    <t>Monthly</t>
  </si>
  <si>
    <t>% of households who withdraw the full amount of cash transfer by end of distribution period</t>
  </si>
  <si>
    <t># households that have withdrawn the full amount of cash transferred / # households in total that received the cash transfer</t>
  </si>
  <si>
    <t>WFP financial reports</t>
  </si>
  <si>
    <t>This indicator can be used both to  monitor the utilization of the cash funds during the distribution period and to report the program's performance at the end of the distriubtion/reporting period.
Low %s may indicate that households are experiencing challenges withdrawns funds, are accruing CVA funds in anticipation of a large purchase, that the funding size was too large, etc.</t>
  </si>
  <si>
    <t>% of households who use the full value of vouchers by end of distribution period</t>
  </si>
  <si>
    <t># households that have used the  full amount of vouchers transferred / # households in total that vouchers</t>
  </si>
  <si>
    <t xml:space="preserve">% of total value of vouchers redeemed by households </t>
  </si>
  <si>
    <t xml:space="preserve">Value of vouchers redeemed at contracted shops / total value of vouchers distributed </t>
  </si>
  <si>
    <t>This indicator can be used both to  monitor the utilization of the voucher during the distribution period and to report the program's performance at the end of the distriubtion/reporting  period.
Low %s may indicate that households are experiencing challenges utilizing funds, that the funding size was too large, etc.</t>
  </si>
  <si>
    <t>% of households who report that they faced connectivity challenges when accessing CVA during last payment</t>
  </si>
  <si>
    <t># households reported challenges with access to mobile device or internet or online transfer site / # beneficiares in total</t>
  </si>
  <si>
    <t>Post-distribution monitoring survey</t>
  </si>
  <si>
    <t># and % of households who reported facing
problems accessing CVA</t>
  </si>
  <si>
    <t># households reported challenges using the CVA / # beneficiares in total</t>
  </si>
  <si>
    <t>Follow up questions can be used to identify the specific problems faced by the households</t>
  </si>
  <si>
    <t>% of households who are satisfied with the
assistance provided</t>
  </si>
  <si>
    <t># households reporting their satisfaction level (i.e., very satisfied or satisfied or unsatisfied or very unsatisfied) /  # beneficiares in total</t>
  </si>
  <si>
    <t>If a beneficiary noted that they are "not satistified", there should be a follow up question "why". Questions can be context-specific to illicit responses from those respondents that reported being unsatisfied or very unsatisfied</t>
  </si>
  <si>
    <t>% of households who report that the monthly income of the household has increased</t>
  </si>
  <si>
    <t># households reporting their monthly income has increased /  # household in total</t>
  </si>
  <si>
    <t>Increased purchasing for all food consumed by households</t>
  </si>
  <si>
    <t># households reporting they increased the quantity of food purchased  / # households in total</t>
  </si>
  <si>
    <t>A simple question asking households is proposed here. However, a more comprehensive, and thus resource intensive, method is the minimum expenditure basket (MEB), which requires the collection of a household's total expenditures, and thus can be used to monitoring the changes in the expenditures (total and proportional) on food</t>
  </si>
  <si>
    <t>The MEB approach is too cumbersome for WFP's CVA programs to routinely implement. If this assumption is not correct, indicator 23.1 can be used and this indicator can be dropped.</t>
  </si>
  <si>
    <t>Shops</t>
  </si>
  <si>
    <t>Proportion of voucher funds used on different food items</t>
  </si>
  <si>
    <t>Averaged proportions for shops participating in voucher program</t>
  </si>
  <si>
    <t>Geographic locations, such as urban/ rural, district, etc.</t>
  </si>
  <si>
    <t xml:space="preserve">WFP collects price data through point-of-sale systems
(POS) </t>
  </si>
  <si>
    <t>Purchasing of nutritious foods from shops participating in voucher program</t>
  </si>
  <si>
    <t># households purchasing nutrient-dense foods sold by WFP vendors / # households in total</t>
  </si>
  <si>
    <t>Point-of-sale (POS) data</t>
  </si>
  <si>
    <t>Nutrient-dense foods = animal products, fruits, vegetables, pulses</t>
  </si>
  <si>
    <t>Increases in some foods with minimual nutritional value but good storage (e.g., onions) can occur. The purchase of specific nutritious foods available in the program area to avoid this issue</t>
  </si>
  <si>
    <t>Outcome</t>
  </si>
  <si>
    <t>Coping strategy index (CSI)</t>
  </si>
  <si>
    <t>% of households in households with  low, medium, and high CSI scores based on behaviors in past 7 days</t>
  </si>
  <si>
    <t>M or E</t>
  </si>
  <si>
    <t>Comprehensive Food Security and Vulnerability Analysis (CFSVA) surveys, or  Emergency Food Security Assessments (EFSA)</t>
  </si>
  <si>
    <t>Annual or semi-annual</t>
  </si>
  <si>
    <t>WFP</t>
  </si>
  <si>
    <t xml:space="preserve">Typical CSI thresholds are as follows: low (0-50), medium (51-100) and high (over 100). However, the thresholds, and coping strategies may need to be modified for each context </t>
  </si>
  <si>
    <t xml:space="preserve">% of households that require some level of coping (i.e., stress, crisis, emergency) accordig to the livelihood coping strategies for food security
</t>
  </si>
  <si>
    <t xml:space="preserve">% of households classified as with stress, crisis, or emergency coping strategirs accordig to the livelihood coping strategies for food security / # of households in total
</t>
  </si>
  <si>
    <t>WFP consolidated approach for reporting indicators of food security</t>
  </si>
  <si>
    <t>The three categories (stress, crisis, emergency) should also be calculated separately to describe the severity of the coping strategies</t>
  </si>
  <si>
    <t xml:space="preserve">% of households that require some level of coping (i.e., stress, crisis, emergency) accordig to the livelihood coping strategies for essential needs
</t>
  </si>
  <si>
    <t xml:space="preserve">% of households classified as with stress, crisis, or emergency coping strategirs accordig to the livelihood coping strategies for essential needs / # of households in total
</t>
  </si>
  <si>
    <t>WFP VAM Livelihood Coping Strategies - Essentilal Needs</t>
  </si>
  <si>
    <r>
      <t xml:space="preserve">% of households that purchased </t>
    </r>
    <r>
      <rPr>
        <i/>
        <sz val="9"/>
        <color theme="1"/>
        <rFont val="Arial"/>
        <family val="2"/>
      </rPr>
      <t>food groups*</t>
    </r>
    <r>
      <rPr>
        <sz val="9"/>
        <color theme="1"/>
        <rFont val="Arial"/>
        <family val="2"/>
      </rPr>
      <t xml:space="preserve"> &gt; 0 times in the past week
*Food groups = protein-rich foods, vitamin A-rich foods, heme iron-rich foods.</t>
    </r>
  </si>
  <si>
    <r>
      <t xml:space="preserve"># of household purchased </t>
    </r>
    <r>
      <rPr>
        <i/>
        <sz val="9"/>
        <rFont val="Arial"/>
        <family val="2"/>
      </rPr>
      <t xml:space="preserve">food groups* </t>
    </r>
    <r>
      <rPr>
        <sz val="9"/>
        <rFont val="Arial"/>
        <family val="2"/>
      </rPr>
      <t>&gt;0 times in the past week / # households in total</t>
    </r>
  </si>
  <si>
    <t>Food Consumption Score  Nutrition Quality Analysis (FCS-N)</t>
  </si>
  <si>
    <t>WFP 2015</t>
  </si>
  <si>
    <t>This indicator is adapted from the FCS-N and asks about purchase rather than consumption of 3 separate indicators for protein-rich, vitamin A-rich, and heme iron rich foods. 
Analysis of this indicator can also present results by FCS category.</t>
  </si>
  <si>
    <t>Communities/ Markets</t>
  </si>
  <si>
    <t>Availability of staple food grains (e.g., rice, wheat flour, maize, etc)</t>
  </si>
  <si>
    <t># of markets that are selling staple food grains in program catchment area</t>
  </si>
  <si>
    <t>Markets or administrative unit</t>
  </si>
  <si>
    <t>Fill the nutrition gap (FNG) tool</t>
  </si>
  <si>
    <t>WFP Fill the nutrition gap (FNG) tool</t>
  </si>
  <si>
    <t>The dissagreation of this indicator will be depend on the geographic scope of the CVA programs. Small programs can collcect food availability data from various markets from one location, where as large CVA programs will have to collect food availability data from multiple markets within multiple adminstrative units (e.g., region or state)</t>
  </si>
  <si>
    <t>Availability of staple animal source foods (e.g., eggs, poultry, beef, mutton, etc)</t>
  </si>
  <si>
    <t># of markets that are selling animal source foods in program catchment area</t>
  </si>
  <si>
    <t>Average retail price of staple food grains (e.g., rice, wheat flour, maize, etc)</t>
  </si>
  <si>
    <t>Average market price (in local currency) of staple food grains</t>
  </si>
  <si>
    <t>The dissagreation of this indicator will be depend on the geographic scope of the CVA programs.
Wholesale &amp; retail prices of staple foods are typically reported in WFP's FSMS</t>
  </si>
  <si>
    <t>Average retail price of staple animal source foods (e.g., eggs, poultry, beef, mutton, etc)</t>
  </si>
  <si>
    <t>Average market price (in local currency) of staple animal source foods</t>
  </si>
  <si>
    <t>WFP Fill Nutrition Gap Tool</t>
  </si>
  <si>
    <t>Changes in availability and price of critical commoditiesc or services due to the cash injection</t>
  </si>
  <si>
    <t>Difference in availability and price of critical commoditiesc or services from before CVA program started compared to when CVA program is operational</t>
  </si>
  <si>
    <t>This indicator is used to gauge any unintended effects of the CVA on markets, as well as on other services and systems.</t>
  </si>
  <si>
    <t>The changes in the price and availability of certain commodities can also be affected by seasonality. Thus, seasonality will have to considered when interpretting the changes.</t>
  </si>
  <si>
    <t>I</t>
  </si>
  <si>
    <t>Outcomes</t>
  </si>
  <si>
    <t>Basic needs, food security, and nutrition</t>
  </si>
  <si>
    <t>% of beneficiaris who report being able to meet their own basic needs as they define and prioritize them (unspecified indicator)</t>
  </si>
  <si>
    <t># of households (i.e., PLW) that were able to meet their own basic needs in the past 30 days / # households in total</t>
  </si>
  <si>
    <t>Additional analysis of MEB approach</t>
  </si>
  <si>
    <t>% of households that cannot afford the lowest cost of nutritious diet</t>
  </si>
  <si>
    <t>See WFP indicator #9 in document V1 – 2022.06 for complete details of hoow to calculated this indicator</t>
  </si>
  <si>
    <t>Proportion of the population that cannot afford a nutritious diet is the percentage of the population in a
defined area whose current food expenditure is lowest than the lowest cost nutritious diet.</t>
  </si>
  <si>
    <t>The indicator is optional but is strongly recommended for countries that have conducted a Fill the
Nutrient Gap (FNG) analysis2/Cost of the Diet (CotD) analysis previously, and/or countries planning a FNG analysis/ CotD analysis.</t>
  </si>
  <si>
    <t>Food consumption score (FCS)</t>
  </si>
  <si>
    <t>Mean household-level FCS</t>
  </si>
  <si>
    <t>This indicator was designed to be used at the household level. Currently, there is not data showing if CVA targetted to PLW and children &lt;2 years will increase FCS at the household level</t>
  </si>
  <si>
    <t>Including this indicator assumes that targeted CVA will improved the household level FCS</t>
  </si>
  <si>
    <r>
      <t xml:space="preserve">% of households that consumed </t>
    </r>
    <r>
      <rPr>
        <i/>
        <sz val="9"/>
        <color theme="1"/>
        <rFont val="Arial"/>
        <family val="2"/>
      </rPr>
      <t>food groups*</t>
    </r>
    <r>
      <rPr>
        <sz val="9"/>
        <color theme="1"/>
        <rFont val="Arial"/>
        <family val="2"/>
      </rPr>
      <t xml:space="preserve"> &gt; 0 times in the past week
*Food groups = protein-rich foods, vitamin A-rich foods, heme iron-rich foods.</t>
    </r>
  </si>
  <si>
    <r>
      <t xml:space="preserve"># of household consuming </t>
    </r>
    <r>
      <rPr>
        <i/>
        <sz val="9"/>
        <rFont val="Arial"/>
        <family val="2"/>
      </rPr>
      <t xml:space="preserve">food groups* </t>
    </r>
    <r>
      <rPr>
        <sz val="9"/>
        <rFont val="Arial"/>
        <family val="2"/>
      </rPr>
      <t>&gt;0 times in the past week / # households in total</t>
    </r>
  </si>
  <si>
    <t>This row represents 3 separate indicators for protein-rich, vitamin A-rich, and heme iron rich foods. 
Analysis of this indicator can also present results by FCS category.</t>
  </si>
  <si>
    <t>Household food insecurity and access scale (HFIAS)</t>
  </si>
  <si>
    <t>% of households classified as moderately or severely food insecure</t>
  </si>
  <si>
    <t>Post-distribution monitoring survey / repeat cross-sectional</t>
  </si>
  <si>
    <t>FANTA 2007</t>
  </si>
  <si>
    <t>In areas with lowere levels of food insecurity, this can also be displayed as % of households with any (i.e., mild, moderate, or severe) food insecurity</t>
  </si>
  <si>
    <t>Household dietary diversity score (HDDS)</t>
  </si>
  <si>
    <t>Mean household-level HDDS based on foods consumed in the past week</t>
  </si>
  <si>
    <t>FAO 2013 - FAO Guidelines for Measuring Household and Individual</t>
  </si>
  <si>
    <t>There are no established cut-off points in terms of number of food groups to indicate adequate or inadequate dietary diversity for the HDDS and WDDS. Because of
this it is recommended to use the mean score or distribution of scores for analytical purposes and to set programme targets or goals.</t>
  </si>
  <si>
    <t>Children</t>
  </si>
  <si>
    <t>% of children 6-23 months of age with minimum dietary diversity</t>
  </si>
  <si>
    <t># of children 6–23 months of age who consumed at least 5 of 8 food groups  in the past 24 hours / # of children 6-23 months of age in total</t>
  </si>
  <si>
    <t>Age group, location, vulnerability group</t>
  </si>
  <si>
    <t>WHO 2021; IYCF Guidelines</t>
  </si>
  <si>
    <t>This indicator is greyed-out in the PIP; and thus, does not need to me measured unless individual-level nutrition outcomes are anticipated to be affected (e.g., from large transfer size)</t>
  </si>
  <si>
    <t>Women</t>
  </si>
  <si>
    <t>Dietary diversity score for women</t>
  </si>
  <si>
    <t>Mean dietary diversity score for woman using ten food groups from FANTA's 2016 guidelines</t>
  </si>
  <si>
    <t>FANTA 2016; Guidelines</t>
  </si>
  <si>
    <t xml:space="preserve">Indicator #11 in WFP's nutrition monitoring system. </t>
  </si>
  <si>
    <t>Impacts</t>
  </si>
  <si>
    <t>Impact</t>
  </si>
  <si>
    <t>Economic impacts</t>
  </si>
  <si>
    <t xml:space="preserve">% of households defined as"at risk of poverty" using Multidimensional Poverty Index (MPI) </t>
  </si>
  <si>
    <t xml:space="preserve">Multidimensional Poverty Index (MPI) </t>
  </si>
  <si>
    <t>E</t>
  </si>
  <si>
    <t>Impact evaluation</t>
  </si>
  <si>
    <t>Alkire &amp; Santos, 2014</t>
  </si>
  <si>
    <t xml:space="preserve">The multidimensional poverty index (MPI), whereby living standards, education, health and nutrition, and household assets are combined to create an index ranging from 0 to 1, where 0 indicates no poverty. </t>
  </si>
  <si>
    <t>A household is defined as being at risk for poverty (poor) if its MPI is ≥0.33, and a household is defined as being not at risk of poverty (non-poor) if its MPI is &lt;0.33.</t>
  </si>
  <si>
    <t>Average Multidimensional Poverty Index (MPI) score</t>
  </si>
  <si>
    <t>Mean Multidimensional Poverty Index (MPI) score at the household-level</t>
  </si>
  <si>
    <t>The multidimensional poverty index (MPI), whereby living standards, education, health and nutrition, and household assets are combined to create an index ranging from 0 to 1, where 0 indicates no poverty.</t>
  </si>
  <si>
    <t>WFP indicator category</t>
  </si>
  <si>
    <t>Finance report</t>
  </si>
  <si>
    <t>Market functionality index - MFI</t>
  </si>
  <si>
    <t>WFP’s Market Functionality Index  
                https://newgo.wfp.org/documents/market-functionality-index-mfi-0</t>
  </si>
  <si>
    <t>Overall Retailer Performance Score</t>
  </si>
  <si>
    <t>This indicator aims to determine the percentage of retailers surveyed at a specific round who scored over 70%.
The indicator calculation would be: (number of retailers surveyed who scored over 70% at the same round / total number of retailers surveyed at the same round) multiplied by 100.
https://newgo.wfp.org/documents/retail-performance-management-guidance</t>
  </si>
  <si>
    <t>RPME
https://newgo.wfp.org/documents/retail-performance-management-guidance</t>
  </si>
  <si>
    <t>CRF Indicator Pilot in ; Ethiopia, South Sudan, Ukraine and Nigeria</t>
  </si>
  <si>
    <t>Percentage of Contracted shops with All Essential Needs Items Available</t>
  </si>
  <si>
    <t>(Number of shops surveyed where all essential needs items are available )/(Total number of shops surveyed)  ×100%</t>
  </si>
  <si>
    <t>RPME</t>
  </si>
  <si>
    <t>Average Price Deviation from Market Benchmark per Basket Essential Needs Items Monitored</t>
  </si>
  <si>
    <t>∑_1^C▒(∑_1^n▒〖price deviation  of each essential commodity at a given shop〗)/(number of all shops where this commodity is available)
n is the number of shops where this item is available, and c is the total number of commodities in the basket of essential needs items.
The average price deviation from market benchmark is first calculated for each commodity, and then summed across the whole basket.</t>
  </si>
  <si>
    <t>RPME
Vam Dataviz</t>
  </si>
  <si>
    <t>Situation analysis conducted to identify the needs and behavioral objectives of target groups (i.e., children &lt;5yr, PBWG)</t>
  </si>
  <si>
    <t>Required prior to designing CVA program and determining the type of transfer, transfer size , frequency, and duration.
The situation analysis should identify the needs of children &lt;5 yrs and PBWG separately, where relevant</t>
  </si>
  <si>
    <t># of households and people registered as beneficiaries</t>
  </si>
  <si>
    <t># of households registered * average household size</t>
  </si>
  <si>
    <t>Distribution records</t>
  </si>
  <si>
    <t>This calculation of the # of people that are beneficiaries is currently recommended using the average household size of the area. However, this can also be summed directly by asking housholds to report how many members they have.</t>
  </si>
  <si>
    <r>
      <t xml:space="preserve">Target groups are informed how to </t>
    </r>
    <r>
      <rPr>
        <u/>
        <sz val="9"/>
        <rFont val="Arial"/>
        <family val="2"/>
      </rPr>
      <t>access</t>
    </r>
    <r>
      <rPr>
        <sz val="9"/>
        <rFont val="Arial"/>
        <family val="2"/>
      </rPr>
      <t xml:space="preserve"> CVA</t>
    </r>
  </si>
  <si>
    <t>% of beneficiaries who know how to access or collect CVA</t>
  </si>
  <si>
    <t xml:space="preserve">WFP CBT Post-distribution Monitoring </t>
  </si>
  <si>
    <t>The question asked to beneficiaries will be modified based on the CVA modality used</t>
  </si>
  <si>
    <r>
      <t xml:space="preserve">Target groups are informed how to </t>
    </r>
    <r>
      <rPr>
        <u/>
        <sz val="9"/>
        <rFont val="Arial"/>
        <family val="2"/>
      </rPr>
      <t>use</t>
    </r>
    <r>
      <rPr>
        <sz val="9"/>
        <rFont val="Arial"/>
        <family val="2"/>
      </rPr>
      <t xml:space="preserve"> CVA</t>
    </r>
  </si>
  <si>
    <t>% of beneficiaries who know how redeem or spend CVA</t>
  </si>
  <si>
    <t>% of beneficiaries reporting that CVA was delivered in a safe, accessible, accountable, and participatory manner (Aggregated PM indicator)</t>
  </si>
  <si>
    <t>Post distribution monitoring  (protection section)</t>
  </si>
  <si>
    <t xml:space="preserve"># of beneficiaries reporting to receive the anticipated amount of cash </t>
  </si>
  <si>
    <t>Total number of beneficiaries receiving household-level CVA</t>
  </si>
  <si>
    <t># of households receiving CVA</t>
  </si>
  <si>
    <t>Women &amp; children</t>
  </si>
  <si>
    <t>Total number of individual beneficiaries receiving CVA</t>
  </si>
  <si>
    <t># of PBWG and children receiving CVA</t>
  </si>
  <si>
    <t>Total value of cash transferred to beneficiaries</t>
  </si>
  <si>
    <t>Total value (in USD or other currency) of cash transferred to beneficiaries during program period</t>
  </si>
  <si>
    <t>WFP CRF 2023</t>
  </si>
  <si>
    <t xml:space="preserve">This indicator is part of WFP's CRF.
This indicator should be routinely colllected, and can be reported in aggregate on an annual basis or after the distribution period  has been completed </t>
  </si>
  <si>
    <t>Total value of vouchers transferred to beneficiaries</t>
  </si>
  <si>
    <t>Total value (in USD or other currency) of vouchers transferred to beneficiaries during program period</t>
  </si>
  <si>
    <t>Total value of cash transferred to people by WFP as a service to governments and/or other partners</t>
  </si>
  <si>
    <t>Total value (in USD or other currency) transferred to beneficiaries as a service to governments and/or other partners</t>
  </si>
  <si>
    <t>S1.0</t>
  </si>
  <si>
    <t>SBC</t>
  </si>
  <si>
    <t>Women&amp; children</t>
  </si>
  <si>
    <t xml:space="preserve">Formative research conducted </t>
  </si>
  <si>
    <t>Yes/NO:  formative research was conducted to idenitfy exising knowledge, beliefs, practices anf barriers to adequate feeding</t>
  </si>
  <si>
    <t>S2.0</t>
  </si>
  <si>
    <t># of PBWG and caregivers of children &lt;5 years reached through media SBC</t>
  </si>
  <si>
    <t>% of PBWG beneficiaries that are confident they could adopt at least 3 of the 6 core behaviors to improve nutrition during the program cycle or by year</t>
  </si>
  <si>
    <t>CP reports</t>
  </si>
  <si>
    <t>USAID 2020</t>
  </si>
  <si>
    <t>USAID has identified 6 core behaviors that have been demonstrated to improve nutrition. These can be used as a guide for developing messages</t>
  </si>
  <si>
    <t>This indicator uses a threshold of 3 behaviors, but this threshold can be changed depending on the local context.</t>
  </si>
  <si>
    <t>S2.1</t>
  </si>
  <si>
    <t># of PBWG and caregivers of children &lt;5 years reached through interpersonal communication (counselling and education sessions) on optimal MIYCN practices and healthy diets</t>
  </si>
  <si>
    <t># of PBWG and caregivers of children &lt;5yrs participate in counselling and education sessions conducted during the program cycle or by year</t>
  </si>
  <si>
    <t>This indicator incudes beneficiaries reached through other programs beyond WFP. The wording of this activity can be modified according the to actual activities implemented</t>
  </si>
  <si>
    <t>S2.2</t>
  </si>
  <si>
    <t># of active care groups established to promote and support optimal MIYCN practices and healthy diets.</t>
  </si>
  <si>
    <t># of active care groups established during the program cycle or by year</t>
  </si>
  <si>
    <t>Monthy</t>
  </si>
  <si>
    <t>E1.0</t>
  </si>
  <si>
    <t>Early detection &amp; referral</t>
  </si>
  <si>
    <t>Community screening of acute malnutrition in children &lt;5yrs and PBWG is functional</t>
  </si>
  <si>
    <t>Yes/No: A screening program using either MUAC at the community-level and is functional</t>
  </si>
  <si>
    <t>Health facility reports/CP reports</t>
  </si>
  <si>
    <t>E1.1</t>
  </si>
  <si>
    <t>Health center screening and referral of acute malnutrition in children &lt;5yrs and PBWG established</t>
  </si>
  <si>
    <t>Yes/No: A screening program using either MUAC and/or WHZ established at the health-center level</t>
  </si>
  <si>
    <t>E1.2</t>
  </si>
  <si>
    <t>% of beneficiaries of CVA that are provided with nutrition services/support</t>
  </si>
  <si>
    <t># of beneficiaries receiving both CVA and nutrition services/support / # of beneficiaries in total</t>
  </si>
  <si>
    <t>E1.3</t>
  </si>
  <si>
    <t>Women &amp; chldren</t>
  </si>
  <si>
    <t xml:space="preserve"># of children and women screened for acute malnutrition </t>
  </si>
  <si>
    <t xml:space="preserve">3 of children &lt; 5 and PBWG in catchment area that were screened ( MUAC, or WHZ) </t>
  </si>
  <si>
    <t>target group</t>
  </si>
  <si>
    <t>E1.4</t>
  </si>
  <si>
    <t>Women &amp; Children</t>
  </si>
  <si>
    <t># of children and women screened who were referred to treatment of acute malnutrition</t>
  </si>
  <si>
    <t># of children &lt;5 years of age in catchement area that were screened and subsequently referred based on local criteria (e.g., low MUAC or low WHZ)</t>
  </si>
  <si>
    <t>Monthly or bi-monthly depending on the nutrition and food security situation</t>
  </si>
  <si>
    <t>Acute malnutrition is considered either MAM or SAM</t>
  </si>
  <si>
    <t>E2.0</t>
  </si>
  <si>
    <t>Treatment of acute malnutrition and/or its risk 
factors (e.g., diarrhea) available to target beneficiaries</t>
  </si>
  <si>
    <t>Yes/No: Target beneficiaries have access to a facility where acute malnutrition and/or its risk factors can be treated</t>
  </si>
  <si>
    <t>Annual???</t>
  </si>
  <si>
    <t>INDICATOR TO MEASURE THE FOLLOWING ACTIVITY: Food market stimulated if nutritious food supply is inadequate or unaffordable to households or 
target groups</t>
  </si>
  <si>
    <t>% of beneficiaries receiving the full amount of CVA  as promised by end of the distribution period</t>
  </si>
  <si>
    <t># beneficiaries that report receiving the full amount of cash transferred that was promised / # beneficiaries in total that were initially registered to receive a cash transfer</t>
  </si>
  <si>
    <t>This could be used as the coverage indicator in accordance with the coverage indicator provided in WFP's CRF: "Percentage of eligible population reached by preventive nutrition programme (coverage for malnutrition prevention activities)"</t>
  </si>
  <si>
    <t xml:space="preserve">% of cash withdrawn over the total distributed </t>
  </si>
  <si>
    <t>This could be used as the adherence indicator in accordance with the adherence indicator provided in WFP's CRF: "Percentage of target population who participate in an adequate number of distributions (adherence)"</t>
  </si>
  <si>
    <t>% of beneficiaries who withdraw the full amount of cash transfer by end of distribution period</t>
  </si>
  <si>
    <t># beneficiaries that have withdrawn the full amount of cash transferred / # beneficiaries in total that received the cash transfer</t>
  </si>
  <si>
    <t>% of beneficiaries who use the full value of vouchers by end of distribution period</t>
  </si>
  <si>
    <t># beneficiaries that have used the  full amount of vouchers transferred / # beneficiaries in total that vouchers</t>
  </si>
  <si>
    <t xml:space="preserve">% of total value of vouchers redeemed by beneficiaries </t>
  </si>
  <si>
    <t>% of beneficiaries who report that they faced connectivity challenges when accessing CVA during last payment</t>
  </si>
  <si>
    <t># beneficiaries reported challenges with access to mobile device or internet or online transfer site / # beneficiares in total</t>
  </si>
  <si>
    <t># and % of beneficiaries who reported facing
any problems accessing CVA</t>
  </si>
  <si>
    <t># beneficiaries reported any challenges using the CVA / # beneficiares in total</t>
  </si>
  <si>
    <t>% of beneficiaries who are satisfied with the
assistance provided</t>
  </si>
  <si>
    <t># beneficiaries reporting their satisfaction level (i.e., very satisfied or satisfied or unsatisfied or very unsatisfied) /  # beneficiares in total</t>
  </si>
  <si>
    <t>% of beneficiaries who report that the monthly income of the household has increased</t>
  </si>
  <si>
    <t># beneficiaries reporting their monthly income has increased /  # household in total</t>
  </si>
  <si>
    <t>% of beneficiaries in beneficiaries with  low, medium, and high CSI scores based on behaviors in past 7 days</t>
  </si>
  <si>
    <r>
      <rPr>
        <sz val="9"/>
        <color rgb="FFFF0000"/>
        <rFont val="Arial"/>
        <family val="2"/>
      </rPr>
      <t>Post-distribution monitoring</t>
    </r>
    <r>
      <rPr>
        <sz val="9"/>
        <rFont val="Arial"/>
        <family val="2"/>
      </rPr>
      <t>, Comprehensive Food Security and Vulnerability Analysis (CFSVA) surveys, or  Emergency Food Security Assessments (EFSA)</t>
    </r>
  </si>
  <si>
    <t xml:space="preserve">% of beneficiaries that require some level of coping (i.e., stress, crisis, emergency) accordig to the livelihood coping strategies for food security
</t>
  </si>
  <si>
    <t xml:space="preserve">% of beneficiaries classified as with stress, crisis, or emergency coping strategirs accordig to the livelihood coping strategies for food security / # of beneficiaries in total
</t>
  </si>
  <si>
    <t>Increased purchasing for all food consumed by beneficiaries</t>
  </si>
  <si>
    <t># beneficiaries reporting they increased the quantity of food purchased  / # beneficiaries in total</t>
  </si>
  <si>
    <t># beneficiaries purchasing nutrient-dense foods sold by WFP vendors / # beneficiaries in total</t>
  </si>
  <si>
    <t>% of beneficiaries that purchased food groups* &gt; 0 times in the past week
*Food groups = protein-rich foods, vitamin A-rich foods, heme iron-rich foods.</t>
  </si>
  <si>
    <t># of household purchased food groups* &gt;0 times in the past week / # beneficiaries in total</t>
  </si>
  <si>
    <t>% of beneficiaries that purchased food groups* &gt; 0 times for PBWG or children in the past week
*Food groups = protein-rich foods, vitamin A-rich foods, heme iron-rich foods.</t>
  </si>
  <si>
    <t># of household purchased food groups* &gt;0 times for PBWG or children in the past week / # beneficiaries in total</t>
  </si>
  <si>
    <r>
      <t xml:space="preserve">This indicator is adapted from the FCS-N and asks about purchase (rather than consumption) of 3 separate indicators for protein-rich, vitamin A-rich, and heme iron rich foods. 
To obtain this information for PBWG &amp; children, the question in the questionnaire would need to specify if the food groups were purchased </t>
    </r>
    <r>
      <rPr>
        <i/>
        <sz val="9"/>
        <rFont val="Arial"/>
        <family val="2"/>
      </rPr>
      <t>for</t>
    </r>
    <r>
      <rPr>
        <sz val="9"/>
        <rFont val="Arial"/>
        <family val="2"/>
      </rPr>
      <t xml:space="preserve"> PBWG or children &lt;5 residing in the household</t>
    </r>
  </si>
  <si>
    <t>Market analysis</t>
  </si>
  <si>
    <t xml:space="preserve">% change in the production of high-quality and nutrition-dense foods </t>
  </si>
  <si>
    <t>(MT of high-quality and nutrition-dense foods produced after CVA program - MT of high-quality and nutrition-dense foods produced before CVA program / MT of high-quality and nutrition-dense foods produced after CVA program)</t>
  </si>
  <si>
    <t>Agricultural survey</t>
  </si>
  <si>
    <t>Seasonal and Agricultural monitoring reports</t>
  </si>
  <si>
    <t>S3.0</t>
  </si>
  <si>
    <t>Proportion of target beneficiaries who recall and practice at least 5 out 6 core MIYCN nutrition behaviors</t>
  </si>
  <si>
    <t xml:space="preserve">% PBWG beneficiaries who recall and practice at least 5 out of 6 core MIYCN behaviours </t>
  </si>
  <si>
    <t>Age group, vulnerability groups (program specific), household characteristics (e.g., size, location)</t>
  </si>
  <si>
    <t>Post-distribution monitoring surveys or CP reports</t>
  </si>
  <si>
    <t>Semi-annual or more frequently (depending on SBC messaging schedule)</t>
  </si>
  <si>
    <t>USAID 2022</t>
  </si>
  <si>
    <t>This indicator can be refined to match recall of specific messages that were diseminated</t>
  </si>
  <si>
    <t>S4.0</t>
  </si>
  <si>
    <t>% of target beneficiaries with self efficacy to adopt recommended MIYCN practices and healthy diets</t>
  </si>
  <si>
    <t xml:space="preserve">% PBWG beneficiaries with self efficacy to adopt recommended MIYCN practices and healthy diets </t>
  </si>
  <si>
    <t>s</t>
  </si>
  <si>
    <t>This indicator can be refined to match specific demonstrations, training and counselling sessions conducted.</t>
  </si>
  <si>
    <t>S4.1</t>
  </si>
  <si>
    <t>% of target beneficiaries participated in care groups established to promote and support optimal MIYCN practices and healthy diets</t>
  </si>
  <si>
    <t xml:space="preserve">% PBWG beneficiaries that participated in care groups </t>
  </si>
  <si>
    <t>This indicator can be refined to match specific type of care group implemented or removed if no care groups were organized</t>
  </si>
  <si>
    <t>E3.0</t>
  </si>
  <si>
    <t>% of children that have lost &gt;5% of their body weight in the previous three months</t>
  </si>
  <si>
    <t># of children that have lost &gt;5% of their body weight in the previous three months / # of children screened in total</t>
  </si>
  <si>
    <t>Health registry, CP reports</t>
  </si>
  <si>
    <t>Cederholm et al, 2015</t>
  </si>
  <si>
    <t>E3.1</t>
  </si>
  <si>
    <t>% of children admitted for treatment of  MAM/SAM</t>
  </si>
  <si>
    <t># children &lt;5 years admitted for treatment of MAM or SAM  / # children &lt;5 years screened</t>
  </si>
  <si>
    <t>E3.3</t>
  </si>
  <si>
    <t>% women admitted in treatment of MAM</t>
  </si>
  <si>
    <t># women admitted to treatment of MAM / # of women screened in total</t>
  </si>
  <si>
    <t>E4.0</t>
  </si>
  <si>
    <t>% of children with SAM receiving SNF and/or treatment</t>
  </si>
  <si>
    <r>
      <t># children &lt;5 years</t>
    </r>
    <r>
      <rPr>
        <sz val="9"/>
        <color rgb="FFFF0000"/>
        <rFont val="Arial"/>
        <family val="2"/>
      </rPr>
      <t xml:space="preserve"> </t>
    </r>
    <r>
      <rPr>
        <sz val="9"/>
        <rFont val="Arial"/>
        <family val="2"/>
      </rPr>
      <t xml:space="preserve"> with SAM receiving SNF and/or treatment / # children &lt;5 years </t>
    </r>
    <r>
      <rPr>
        <sz val="9"/>
        <color rgb="FFFF0000"/>
        <rFont val="Arial"/>
        <family val="2"/>
      </rPr>
      <t xml:space="preserve"> </t>
    </r>
    <r>
      <rPr>
        <sz val="9"/>
        <rFont val="Arial"/>
        <family val="2"/>
      </rPr>
      <t xml:space="preserve">with SAM in total </t>
    </r>
  </si>
  <si>
    <t>E4.1</t>
  </si>
  <si>
    <t>% of eligible population reached by nutrition preventive programme (coverage)</t>
  </si>
  <si>
    <t># of beneficiaries reached by nutrition preventive programme / # beneficiaries in total</t>
  </si>
  <si>
    <t>Age group, locale, diversity group</t>
  </si>
  <si>
    <t xml:space="preserve">Desk review or probabilistic cross sectional survey </t>
  </si>
  <si>
    <t>Annual, semi-annual, seasonal</t>
  </si>
  <si>
    <t>WFP CRF</t>
  </si>
  <si>
    <t>E4.2</t>
  </si>
  <si>
    <t>% of target population who participate in an adequate number of distributions (adherence)</t>
  </si>
  <si>
    <t># of beneficiaries who participate in an adequeat number of distributions / # beneficiaries in total</t>
  </si>
  <si>
    <t>benefiicary survey ( e.g., PDM) or desk review using SCOPE data, when appicable</t>
  </si>
  <si>
    <t>Post-distribution monitoring survey - COD????</t>
  </si>
  <si>
    <t xml:space="preserve">% of beneficiaries who report being able to meet their own food needs as they defne them </t>
  </si>
  <si>
    <t># of beneficiaries (i.e., PBWG) that were able to meet their own food needs in the past 30 days / # beneficiaries in total</t>
  </si>
  <si>
    <t>% of target beneficiaries who report being able to meet the food needs of their child as they defne them</t>
  </si>
  <si>
    <t># of target beneficiaries that were able to meet the food needs of their child in the past 30 days / # target beneficiaries in total</t>
  </si>
  <si>
    <t>Age group of PBWG, vulnerability groups (program specific)</t>
  </si>
  <si>
    <r>
      <rPr>
        <sz val="9"/>
        <color rgb="FFFF0000"/>
        <rFont val="Arial"/>
        <family val="2"/>
      </rPr>
      <t>Post distribution monitoring,</t>
    </r>
    <r>
      <rPr>
        <sz val="9"/>
        <rFont val="Arial"/>
        <family val="2"/>
      </rPr>
      <t xml:space="preserve"> Comprehensive Food Security and Vulnerability Analysis (CFSVA) surveys, or  Emergency Food Security Assessments (EFSA)</t>
    </r>
  </si>
  <si>
    <t>WFP indicator compendium 2022</t>
  </si>
  <si>
    <t>This indicator was designed to be used at the household level. Currently, there is not data showing if CVA targetted to PBWG and children &lt;5 years will increase FCS at the household level</t>
  </si>
  <si>
    <t>Mean household-level HFIAS</t>
  </si>
  <si>
    <t>FAO 2013</t>
  </si>
  <si>
    <t>PDM???</t>
  </si>
  <si>
    <t xml:space="preserve">% of households consuming animal source foods </t>
  </si>
  <si>
    <t># of households consuming animal source foods  in the past week / # of households in total</t>
  </si>
  <si>
    <t>The questions related to animal source foods in the HDDS can be used to calculate this indicator</t>
  </si>
  <si>
    <t>% of beneficiaries that consumed food groups* &gt; 0 times for PBWG or children in the past week
*Food groups = protein-rich foods, vitamin A-rich foods, heme iron-rich foods.</t>
  </si>
  <si>
    <t># of household consumed food groups* &gt;0 times for PBWG or children in the past week / # beneficiaries in total</t>
  </si>
  <si>
    <t>Post distribution monitoring  or any other beneficiary based survey</t>
  </si>
  <si>
    <t>It is assumed that this indicator will be collected as part of the entire 2021 suite of IYCF indicators. It is recommended to collect the data for all IYCF indicators using the questionnaire tools and calculations provided in the WHO 2021 IYCF Guidelines.</t>
  </si>
  <si>
    <t>% of children 6-23 months of age with minimum meal frequency</t>
  </si>
  <si>
    <t># of children 6–23 months of age who had a minimal meal frequency in the past 24 hours / # of children 6-23 months of age in total</t>
  </si>
  <si>
    <t>See 2021 IYCF guidelines for definition of minimal meal frequency</t>
  </si>
  <si>
    <t>% of children 6-23 months of age with minimum acceptable diet</t>
  </si>
  <si>
    <t># of children 6–23 months of age who had a minimal acceptable diet in the past 24 hours / # of children 6-23 months of age in total</t>
  </si>
  <si>
    <t>Minimal acceptable diet = concurrent minimal dietary diversity and minimum meal frequency</t>
  </si>
  <si>
    <t>% of children 6-23 months of age that consumed eggs and/or ﬂesh food in past 24 hours</t>
  </si>
  <si>
    <t># of children 6-23 months of age that consumed eggs and/or ﬂesh food in past 24 hours/ # of children 6-23 months of age in total</t>
  </si>
  <si>
    <r>
      <t xml:space="preserve">Data collection approach is determined by the research objectives of the CVA program. If the program aims to </t>
    </r>
    <r>
      <rPr>
        <i/>
        <sz val="9"/>
        <rFont val="Arial"/>
        <family val="2"/>
      </rPr>
      <t>rigorously</t>
    </r>
    <r>
      <rPr>
        <sz val="9"/>
        <rFont val="Arial"/>
        <family val="2"/>
      </rPr>
      <t xml:space="preserve"> demonstrate the association of CVA on dietary diversity, a longitudinal design is recommended </t>
    </r>
  </si>
  <si>
    <t>% of women with minimum dietary diversity</t>
  </si>
  <si>
    <t>% of women who consumed foods and beverages from at least five out of ten defined food groups during the previous day</t>
  </si>
  <si>
    <t>Dietary diversity - % consuming iron-rich diet</t>
  </si>
  <si>
    <t># of beneficiaries consuming iron-rich foods in past 24 h/ # of beneficiaries interviewed</t>
  </si>
  <si>
    <t>Dietary diversity - % vitamin A rich diet</t>
  </si>
  <si>
    <t># of beneficiaries consuming vitamin A-rich foods in past 24 h/ # of beneficiaries interviewed</t>
  </si>
  <si>
    <t>Early initiation of breastfeeding</t>
  </si>
  <si>
    <t>% of children born in the last 24 months who were put to the breast within one hour of birth</t>
  </si>
  <si>
    <t>Exclusive breastfeeing under six months</t>
  </si>
  <si>
    <t>Percentage of infants 0–5 months of age who were fed
exclusively with breast milk during the previous day</t>
  </si>
  <si>
    <t>Continued breastfeeding 12-23 months</t>
  </si>
  <si>
    <t>Percentage of children 12–23 months of age who were fed breast milk during the previous day</t>
  </si>
  <si>
    <t>Unhealthy food consumption 6-23 months</t>
  </si>
  <si>
    <t>Percentage of children 6–23 months of age who consumed selected sentinel unhealthy foods during the previous day</t>
  </si>
  <si>
    <t>E5.0</t>
  </si>
  <si>
    <t>Mean change in MUAC of PBWG</t>
  </si>
  <si>
    <t xml:space="preserve">Difference in mean MUAC in PBWG between baseline and endline </t>
  </si>
  <si>
    <t>Impact Evaluation</t>
  </si>
  <si>
    <t>Standard nutrition/health indicator</t>
  </si>
  <si>
    <r>
      <t xml:space="preserve">When conducting impact evaluations, it is </t>
    </r>
    <r>
      <rPr>
        <u/>
        <sz val="9"/>
        <rFont val="Arial"/>
        <family val="2"/>
      </rPr>
      <t>not</t>
    </r>
    <r>
      <rPr>
        <sz val="9"/>
        <rFont val="Arial"/>
        <family val="2"/>
      </rPr>
      <t xml:space="preserve"> recommended to measure the "difference-of-difference" (i.e., the comparison of mean changes from baseline in anthropometric measures between two or more groups). The "difference-of-difference" approach has fundamental flaws and should be avoided. Rather, it is recommended to use linear mixed effects models to investigate the evolution of the anthropometric measures in the different treatments over the entire duration of the study and we would test the effect of the interaction between time and treatment on the growth indices. </t>
    </r>
  </si>
  <si>
    <t>E6.0</t>
  </si>
  <si>
    <t xml:space="preserve">Mean change in MUAC of children &lt; 5 years of age </t>
  </si>
  <si>
    <t>Mean change in MUAC children &lt; 5 years of age between baseline and endline</t>
  </si>
  <si>
    <t>E6.1</t>
  </si>
  <si>
    <t xml:space="preserve">Mean change in WHZ of children &lt; 5 years of age </t>
  </si>
  <si>
    <t>Mean change in WHZ children &lt; 5 years of age between baseline and endline</t>
  </si>
  <si>
    <t>E7.0</t>
  </si>
  <si>
    <t xml:space="preserve">% of children &lt;5 years of age that received vitamin A supplement in past 6 months </t>
  </si>
  <si>
    <t># of children &lt;5 years of age that received vitamin A supplement in past 6 months / # of children in total</t>
  </si>
  <si>
    <t>E7.1</t>
  </si>
  <si>
    <t xml:space="preserve">% of children &lt;5 years of age received zinc supplements past 6 months </t>
  </si>
  <si>
    <t># of children &lt;5 years of age that received zinc supplements in past 6 months / # of children in total</t>
  </si>
  <si>
    <t>Nutritional impacts</t>
  </si>
  <si>
    <t>Low birthweight</t>
  </si>
  <si>
    <t># of beneficiary children born &lt; 2500 grams / # children in total</t>
  </si>
  <si>
    <t>Funds and expertise for such a study need to be available</t>
  </si>
  <si>
    <t>Micronutrient status - Anemia</t>
  </si>
  <si>
    <t># of beneficiaries with anemia/ # of beneficiaries measured</t>
  </si>
  <si>
    <t>% change in anemia between baseline and endline</t>
  </si>
  <si>
    <t>Bland, Altman 2015</t>
  </si>
  <si>
    <t xml:space="preserve">When conducting impact evaluations, it is recommended to note measure the "difference-of-difference" (i.e., the comparison of mean changes from baseline in anthropometric measures between two or more groups). The "difference-of-difference" approach has fundamental flaws and should be avoided. Rather, it is recommended to use linear mixed effects models to investigate the evolution of the anthropometric measures in the different treatments over the entire duration of the study and we would test the effect of the interaction between time and treatment on the growth indices. </t>
  </si>
  <si>
    <t>Micronutrient status - Iron deficiency</t>
  </si>
  <si>
    <t># of beneficiaries with inflammation-adjusted iron deficiency/ # of beneficiaries measured</t>
  </si>
  <si>
    <t>Micronutrient status - Vitamin A deficiency</t>
  </si>
  <si>
    <t># of beneficiaries with inflammation-adjusted vitamin A deficiency/ # of beneficiaries measured</t>
  </si>
  <si>
    <t>Growth - Weight-for-height z-score</t>
  </si>
  <si>
    <t>Mean weight-for-height z-scores of children beneficiaries</t>
  </si>
  <si>
    <t xml:space="preserve">Age of children for wasting prevention CVA programs are typically 0-23 months, but age range can vary </t>
  </si>
  <si>
    <t>Growth - % Wasting prevalence</t>
  </si>
  <si>
    <t># of children beneficiaries with z-scores below -2.0 for height-for-age/ # of beneficiaries measured</t>
  </si>
  <si>
    <t>SMART? Nutrition assessment?</t>
  </si>
  <si>
    <t>Age of children for wasting prevention CVA programs are typically 0-23 months, but age range can vary.
Prevalence of malnutrition (weight for height &gt;+2 or &lt;-2 standard deviation from the median of the WHO Child Growth Standards) among children under 5 years of age, by type (wasting and overweight) – SDG 2.2.2 and 2.2.3. (common with UNICEF, WHO, World Bank)</t>
  </si>
  <si>
    <t>% change in wasting between baseline and endline</t>
  </si>
  <si>
    <t>Growth - Wasting incidence</t>
  </si>
  <si>
    <t>Mean body mass index (BMI)</t>
  </si>
  <si>
    <r>
      <t>mean body mass index (i.e. kg/m</t>
    </r>
    <r>
      <rPr>
        <vertAlign val="superscript"/>
        <sz val="9"/>
        <rFont val="Arial"/>
        <family val="2"/>
      </rPr>
      <t>2</t>
    </r>
    <r>
      <rPr>
        <sz val="9"/>
        <rFont val="Arial"/>
        <family val="2"/>
      </rPr>
      <t xml:space="preserve">) of non-pregnant women beneficiaries </t>
    </r>
  </si>
  <si>
    <t>BMI, when categorized, can be used to calculate indicator 61.5</t>
  </si>
  <si>
    <t xml:space="preserve">% Undernutrition:  % non-pregnant women with undernutrition defined using BMI </t>
  </si>
  <si>
    <t># non-pregnant women with BMI&lt;18.5 / # non-pregnant women beneficiaries</t>
  </si>
  <si>
    <t>% change in PBWG with MUAC &lt; 23 cm between baseline and endline</t>
  </si>
  <si>
    <t>% Undernutrition: % pregnant women with undernutrition defined using MUAC</t>
  </si>
  <si>
    <t># pregnant women with MUAC&lt;21 cm / # pregnant women beneficiaries</t>
  </si>
  <si>
    <t>Growth - Height-for-age z-score</t>
  </si>
  <si>
    <t>Mean height-for-age z-scores of children beneficiaries</t>
  </si>
  <si>
    <t>Growth - % Stunting</t>
  </si>
  <si>
    <t>Age of children for wasting prevention CVA programs are typically 0-23 months, but age range can vary.
Prevalence of undernourishment
Prevalence of stunting (height for age &lt;-2 standard deviation from the median of the World Health Organization (WHO) Child Growth Standards) among children under 5 years of age – SDG 2.2.1 (common with the United Nations Children’s Fund (UNICEF), WHO,  World Bank)</t>
  </si>
  <si>
    <t>% change in stunting between baseline and endline</t>
  </si>
  <si>
    <t>Neonatal mortality rate (NMR)</t>
  </si>
  <si>
    <t># of deaths of children (0 - 27 days old) per 1000 live births</t>
  </si>
  <si>
    <t>Infant mortality rate (IMR)</t>
  </si>
  <si>
    <t># of deaths of children &lt;1 year per 1000 live births</t>
  </si>
  <si>
    <t>Under-five mortality rate (U5MR)</t>
  </si>
  <si>
    <t># of deaths of children &lt;5 years per 1000 live births</t>
  </si>
  <si>
    <t>Age of children for wasting prevention CVA programs are typically 0-23 months. This variable is applicable if the target age range in children is 0-59 months.</t>
  </si>
  <si>
    <t>% of target children with MUAC &lt; 12.5cm</t>
  </si>
  <si>
    <t># of children &lt;5 years of age with MUAC &lt; 12.5cm / # of children &lt;5 years of age screened</t>
  </si>
  <si>
    <t>% of target children with MUAC &lt; 11.5cm</t>
  </si>
  <si>
    <t># of children &lt;5 years of age with MUAC &lt; 11.5cm / # of children &lt;5 years of age screened</t>
  </si>
  <si>
    <t>% of target children with bilateral pitting edema</t>
  </si>
  <si>
    <t># of children &lt;5 years of age with bilateral pitting edema / # of children &lt;5 years of age in total</t>
  </si>
  <si>
    <t xml:space="preserve">% of householdsdefined as"at risk of poverty" using Multidimensional Poverty Index (MPI) </t>
  </si>
  <si>
    <t>Other potential SBC indicators for WFP COs to consider:</t>
  </si>
  <si>
    <t>Indicators</t>
  </si>
  <si>
    <t xml:space="preserve">Number of radio programs on nutrition related broadcasted per month in the covered districts </t>
  </si>
  <si>
    <t>Proportion of radio programs on nutrition related broadcasted per month in the covered districts</t>
  </si>
  <si>
    <t>Number of cooking demonstrations conducted using nutritious locally available foods, including eggs</t>
  </si>
  <si>
    <t>Number of community counseling sessions conducted</t>
  </si>
  <si>
    <t>Number of communities reached in radio listening sessions</t>
  </si>
  <si>
    <t>Number of participants who participated in radio listening session (total)</t>
  </si>
  <si>
    <t>Age, sex (women/men), administrative divisions</t>
  </si>
  <si>
    <t>Number of communities reached in cooking demonstrations</t>
  </si>
  <si>
    <t>Number of participants who participated in cooking demonstrations (total)</t>
  </si>
  <si>
    <t>Number of communities reached in community counseling sessions</t>
  </si>
  <si>
    <t>Number of participants reached in community counseling sessions</t>
  </si>
  <si>
    <t>Number of people exposed to WFP-supported nutrition messaging</t>
  </si>
  <si>
    <t>Number of people receiving WFP-supported nutrition counselling</t>
  </si>
  <si>
    <t>Number of targeted caregivers (male and female) receiving at least three key messages delivered through WFP-supported messaging and counselling</t>
  </si>
  <si>
    <t>Number of people exposed to nutrition messaging on dietary diversification, early marriage, early pregnancy, and SRH and child health services</t>
  </si>
  <si>
    <t>Percent of people able to recall three key messages about dietary diversification, early marriage, early pregnancy, and SRH and child health services</t>
  </si>
  <si>
    <t>Percentage of MNH messages recalled by beneficiaries</t>
  </si>
  <si>
    <t>Percentage of S&amp;H messages recalled by beneficiaries</t>
  </si>
  <si>
    <t>Proportion of beneficiaries who recall and practice a key nutrition message</t>
  </si>
  <si>
    <t>Percentage of individuals who demonstrate use of new child health and nutrition practices</t>
  </si>
  <si>
    <t xml:space="preserve">Number of beneficiaries who demonstrate use of new safe food preparation and storage practices
</t>
  </si>
  <si>
    <t>% of [service providers/frontline workers/community facilitators] trained on SBC who demonstrated acquired skills and learning as per post-training assessment.</t>
  </si>
  <si>
    <t>% of relevant individuals in WFP-supported intervention areas who feel confident to practice [recommended behaviour/s]</t>
  </si>
  <si>
    <t>% of [relevant individuals/households] in WFP-supported intervention areas having adopted [recommended behaviour/s]</t>
  </si>
  <si>
    <t>W1.0</t>
  </si>
  <si>
    <t xml:space="preserve">Both </t>
  </si>
  <si>
    <t>Women's empowerment</t>
  </si>
  <si>
    <t>Communities</t>
  </si>
  <si>
    <t xml:space="preserve"># of sensitization activities 
conducted about women’s rights </t>
  </si>
  <si>
    <t>CP Report</t>
  </si>
  <si>
    <t>Yearly</t>
  </si>
  <si>
    <t>W2.0</t>
  </si>
  <si>
    <t xml:space="preserve"># of sensitization activities 
conducted to delay marriage  </t>
  </si>
  <si>
    <t>W3.0</t>
  </si>
  <si>
    <t>Communities/households</t>
  </si>
  <si>
    <t>Communities receive messages about women's rights</t>
  </si>
  <si>
    <t># of communties or households receiving sensitization about women's rights</t>
  </si>
  <si>
    <t>W3.1</t>
  </si>
  <si>
    <t>Communities receive messages about delayed marriage</t>
  </si>
  <si>
    <t># of communties or households receiving sensitization about delayed marriage</t>
  </si>
  <si>
    <t>% of women receiving cash transfers into an account in their name</t>
  </si>
  <si>
    <t># of women receiving cash transfers into an account in their name / # CVA beneficiaries in total</t>
  </si>
  <si>
    <t>Account type (bank, mobile money, others)</t>
  </si>
  <si>
    <t>W4.0</t>
  </si>
  <si>
    <t>Women’s decision making</t>
  </si>
  <si>
    <t xml:space="preserve">Women's decision making index </t>
  </si>
  <si>
    <t>Post-distribution monitoring</t>
  </si>
  <si>
    <t>DHS 2022</t>
  </si>
  <si>
    <t>Darteh 2019</t>
  </si>
  <si>
    <t>This indicator can be collected also be collected as part of routine monitoring survey if relevant to the local context.</t>
  </si>
  <si>
    <t>W4.1</t>
  </si>
  <si>
    <t>Change in women’s decision making</t>
  </si>
  <si>
    <t xml:space="preserve">Mean changed in women's decision making index between baseline and endline </t>
  </si>
  <si>
    <t>W5.0</t>
  </si>
  <si>
    <t>Physical violence - Woman ever experienced physical violence</t>
  </si>
  <si>
    <t># of women reporting that they ever experienced physical violence / # women in total</t>
  </si>
  <si>
    <t>Age groups, location, vulnerability groups (program specific)</t>
  </si>
  <si>
    <t>WHO 2005</t>
  </si>
  <si>
    <t>W5.1</t>
  </si>
  <si>
    <t>Physical violence - Woman experienced physical violence in past 12 months</t>
  </si>
  <si>
    <t># of women reporting that they experienced physical violence in the past 12 months / # women in total</t>
  </si>
  <si>
    <t>W5.2</t>
  </si>
  <si>
    <t>Sexual violence - Woman that ever experienced sexual violence</t>
  </si>
  <si>
    <t># of women reporting that they ever experienced sexual violence i / # women in total</t>
  </si>
  <si>
    <t>W5.3</t>
  </si>
  <si>
    <t>Sexual violence - Woman   experienced sexual violence in past 12 months</t>
  </si>
  <si>
    <t># of women reporting that they experienced sexual violence in the past 12 months / # women in total</t>
  </si>
  <si>
    <t>W5.4</t>
  </si>
  <si>
    <t>Physical and Sexual violence - Woman that ever experienced physical and/or sexual violence</t>
  </si>
  <si>
    <t># of women reporting that they ever experienced physical and/or sexual violence  / # women in total</t>
  </si>
  <si>
    <t>W5.5</t>
  </si>
  <si>
    <t>Physical and Sexual violence - Woman experienced physical and/or sexual violence in past 12 months</t>
  </si>
  <si>
    <t># of women reporting that they experienced physical and/or sexual violence in the past 12 months / # women in total</t>
  </si>
  <si>
    <t>W6.0</t>
  </si>
  <si>
    <t>Children &lt;5 years</t>
  </si>
  <si>
    <t>Age of first pregnancy increased</t>
  </si>
  <si>
    <t>Mean age at first pregnancy</t>
  </si>
  <si>
    <t>Age group, location, vulnerability groups (program specific)</t>
  </si>
  <si>
    <t>WHO 2022</t>
  </si>
  <si>
    <t>W6.1</t>
  </si>
  <si>
    <t>% of PLWG aged 20-24 years  having first pregnancy before 18 years of age</t>
  </si>
  <si>
    <t># PLWG aged 20-24 years  having first pregnancy before 18 years of age / #PLWG in total</t>
  </si>
  <si>
    <t>UNICEF Data Warehouse Delivery</t>
  </si>
  <si>
    <t>H1.0</t>
  </si>
  <si>
    <t>WASH</t>
  </si>
  <si>
    <t># of sanitation facilities built or upgraded</t>
  </si>
  <si>
    <t>H1.1</t>
  </si>
  <si>
    <t>Households or communities</t>
  </si>
  <si>
    <t># of households or host communities provided with safe access to improved sanitation facilities</t>
  </si>
  <si>
    <t># of households or host communities provided with safe access to improved sanitation facilities and environmental
health</t>
  </si>
  <si>
    <t>UNICEF 2022: WASH indicators and activities guideline for regional monitoring</t>
  </si>
  <si>
    <t>H2.0</t>
  </si>
  <si>
    <t># of safe drinking water points built or upgraded</t>
  </si>
  <si>
    <t>H2.1</t>
  </si>
  <si>
    <t># of households or host communities provided with safe access to sufficient and safe water</t>
  </si>
  <si>
    <t>H3.0</t>
  </si>
  <si>
    <t># of households provided with
appropriate hygiene supplies and services (items and facilities) including women and girls provided with menstrual hygiene management services</t>
  </si>
  <si>
    <t># of households provided with
appropriate hygiene supplies and services (items and facilities)including women and girls provided with menstrual hygiene management services</t>
  </si>
  <si>
    <t>H3.1</t>
  </si>
  <si>
    <t># Campaigns on hygiene promotion and community engagement for behavioral and social change</t>
  </si>
  <si>
    <t>H3.2</t>
  </si>
  <si>
    <t>Target groups are given training or receive messages about improving hygeine practices</t>
  </si>
  <si>
    <t># of beneficiaries who  are given training or receive messages about improving hygeine practices / # of total beneficiaries</t>
  </si>
  <si>
    <t>H4.0</t>
  </si>
  <si>
    <t xml:space="preserve">Average number of minutes to collect water on a daily basis for the household </t>
  </si>
  <si>
    <t xml:space="preserve">Average number of minutes to collect water on a daily basis </t>
  </si>
  <si>
    <t>Baseline / Endline</t>
  </si>
  <si>
    <t>H4.1</t>
  </si>
  <si>
    <t xml:space="preserve">% of households that require &lt;30 minutes per day (round trip, including queing) to collected water </t>
  </si>
  <si>
    <t># of households that require &lt;30 minutes per day (round trip, including queing) to collect water / # households in total</t>
  </si>
  <si>
    <t>Location, vulnerability groups (program specific)</t>
  </si>
  <si>
    <t>JMP 2018 - Core Questions for Household Surveys</t>
  </si>
  <si>
    <t>H5.0</t>
  </si>
  <si>
    <t>% of households that use an adequate sanitation facility</t>
  </si>
  <si>
    <t># of households that use an "adequate" sanitation facility / # households in total</t>
  </si>
  <si>
    <t>SPHERE 2018 Handbook</t>
  </si>
  <si>
    <t>The definition of "adequacy" is defined in the JMP core questions document</t>
  </si>
  <si>
    <t>H6.0</t>
  </si>
  <si>
    <t>% of households that use
safe drinking water</t>
  </si>
  <si>
    <t># of households that drink "safe" drinking water / # households in total</t>
  </si>
  <si>
    <t xml:space="preserve">The definition of "safe" is defined in the JMP core questions document. The safety of drinking water is a composite measure of the drinking water source and water purification </t>
  </si>
  <si>
    <t>H6.1</t>
  </si>
  <si>
    <t>% of households using an average of 15 liters of water per person in the household per day</t>
  </si>
  <si>
    <t># of liters fetched or obtained per day by household / # of household members</t>
  </si>
  <si>
    <t>The SPHERE indicator average water used per individual has been modifiied slightly to calculate the % of household with the minimum quantity of water for all members.</t>
  </si>
  <si>
    <t>This indicator includes water used for drinking, cooking, bathing, and general hygiene (e.g., handwashing).</t>
  </si>
  <si>
    <t>H6.2.</t>
  </si>
  <si>
    <t>% of households reporting adequate access to hygiene items</t>
  </si>
  <si>
    <t># of households reporting adequate access to hygiene items / # households in total</t>
  </si>
  <si>
    <t>H6.3</t>
  </si>
  <si>
    <t>% of households with soap and water available for handwashing</t>
  </si>
  <si>
    <t># of households with oberservable soap and water for handwashing / # households in total</t>
  </si>
  <si>
    <t>H7.0</t>
  </si>
  <si>
    <t>% of children with diarrhea in the past 2 weeks</t>
  </si>
  <si>
    <t># of children with diarrhea in the past 2 weeks / # children in total</t>
  </si>
  <si>
    <t>Standard health indicator</t>
  </si>
  <si>
    <t>Diarrhea is defined as watery stool 3+ times in a day</t>
  </si>
  <si>
    <t>H7.1</t>
  </si>
  <si>
    <t>% of children with diarrhea with blood in the past 2 weeks</t>
  </si>
  <si>
    <t># of children with diarrhea with blood in the past 2 weeks / # children in total</t>
  </si>
  <si>
    <t>H7.2</t>
  </si>
  <si>
    <t>% of children with fever in the past 2 weeks</t>
  </si>
  <si>
    <t># of children with fever with blood in the past 2 weeks / # children in total</t>
  </si>
  <si>
    <t>H7.3</t>
  </si>
  <si>
    <t>% of children with cough in the past 2 weeks</t>
  </si>
  <si>
    <t># of children with cough with blood in the past 2 weeks / # children in total</t>
  </si>
  <si>
    <t>If "yes", a subsequent question can be asked about where the cough is located (e.g., throat or chest). This can be then used to calculate the proportion of children with lower respiratory infection</t>
  </si>
  <si>
    <t>General health services</t>
  </si>
  <si>
    <t>Procurement of health care supplies and medicines (e.g. vaccines, malaria treatments, etc)</t>
  </si>
  <si>
    <t>Short term procurement of health care supplies and medicines</t>
  </si>
  <si>
    <t>Sometimes WFP is responsible procurement, and other times national agencies manage this. This indicator should be included when WFP is responsible</t>
  </si>
  <si>
    <t>S1.1</t>
  </si>
  <si>
    <t>Establishment of stable supply chain for procurement of health care supplies and medicines</t>
  </si>
  <si>
    <t>Yes/No: Stable supply chain for procurement of health care supplies and medicines established</t>
  </si>
  <si>
    <t>Communities sensitized about services for children &lt;5yrs and PLWG that are provided provided by local health posts</t>
  </si>
  <si>
    <t># of community-level sensitization campaigns conducted</t>
  </si>
  <si>
    <t>Communities/ households</t>
  </si>
  <si>
    <t>Target recipients receive
promotional information
about health services</t>
  </si>
  <si>
    <t># of insecticide treated bednets distributed to beneficiaries</t>
  </si>
  <si>
    <t>Average number of bednets distributed per beneficiary household</t>
  </si>
  <si>
    <t># of insecticide treated bednets distributed to beneficiary households / # of beneficiary households in total</t>
  </si>
  <si>
    <t>S5.0</t>
  </si>
  <si>
    <t>Target recipients increase 
use of health services</t>
  </si>
  <si>
    <t>S6.0</t>
  </si>
  <si>
    <t>Children &lt;12 mo</t>
  </si>
  <si>
    <t>% of children &lt;12 months that received all doses of BCG vaccine</t>
  </si>
  <si>
    <t># of children &lt;12 months of age  who received the BCG vaccine / # of children &lt; 12 months in total</t>
  </si>
  <si>
    <t>UNICEF Data Warehouse Immunization</t>
  </si>
  <si>
    <t>S6.1</t>
  </si>
  <si>
    <t>% of children &lt;12 months that received all doses of DPT vaccine</t>
  </si>
  <si>
    <t># of children &lt;12 months of age  who received the third dose of DTP containing vaccine / # of children &lt; 12 months in total</t>
  </si>
  <si>
    <t>S6.2</t>
  </si>
  <si>
    <t>Children 12-23 mo</t>
  </si>
  <si>
    <t>% of children that received all doses of measles vaccine</t>
  </si>
  <si>
    <t># of children who received the 2nd dose of measles-containing vaccinee / # of children in total</t>
  </si>
  <si>
    <t>No age range for children was specified as the vaccination schedule specified  national health agency should be used</t>
  </si>
  <si>
    <t>S6.3</t>
  </si>
  <si>
    <t>Children &lt;3 years of age</t>
  </si>
  <si>
    <t>% of children &lt;3 years of age with up-to-date vaccination record</t>
  </si>
  <si>
    <t># of children &lt;3 years of age with up-to-date vaccination record / # of children &lt; 3 years in total</t>
  </si>
  <si>
    <t>Lagarde 2009</t>
  </si>
  <si>
    <t>The vaccination schedule specified  national health agency should be used to calculate this variable</t>
  </si>
  <si>
    <t>S7.0</t>
  </si>
  <si>
    <t xml:space="preserve">ART treatment adherence rate of PLWG amd childrem </t>
  </si>
  <si>
    <t># of PLWG or children reporting to take ART according to the prescribed doses and dosing intervals / # PLWG or children enrolled in ART program in total</t>
  </si>
  <si>
    <t>Monthly/Quarterly</t>
  </si>
  <si>
    <t>UNICEF HIV/Aids indicators</t>
  </si>
  <si>
    <t>CDC ART Adherence</t>
  </si>
  <si>
    <t>S7.1</t>
  </si>
  <si>
    <t>% of PLWG presenting at ANC who were tested positive HIV</t>
  </si>
  <si>
    <t># of PLWG presenting at ANC who  tested positive for HIV/ # PLWG that were tested in total</t>
  </si>
  <si>
    <t>S7.2</t>
  </si>
  <si>
    <t>Estimated mother-to-child transmission rate</t>
  </si>
  <si>
    <t># of children 0-4 years infected with HIV during pregnancy / # of infants born to mothers living with HIV</t>
  </si>
  <si>
    <t>S7.3</t>
  </si>
  <si>
    <t>% of PLWG with comprehensive, correct knowledge of HIV</t>
  </si>
  <si>
    <t># PLWG who correctly identify both ways of preventing the sexual transmission of HIV, know that a healthy-looking person can be HIV-positive and reject two most common misconceptions about HIV transmission / # PLWG in total</t>
  </si>
  <si>
    <t>UNICEF Data Warehouse HIV</t>
  </si>
  <si>
    <t>S7.4</t>
  </si>
  <si>
    <t>% PLWG who know a place to get tested for HIV</t>
  </si>
  <si>
    <t># PLWG who know a place to get tested for HIV / # PLWG in total</t>
  </si>
  <si>
    <t>S7.5</t>
  </si>
  <si>
    <t># Tb cases (all forms) in past 12 months</t>
  </si>
  <si>
    <t># of Tb cases (all forms) in past 12 months</t>
  </si>
  <si>
    <t>WHO global TB program</t>
  </si>
  <si>
    <t>S7.6</t>
  </si>
  <si>
    <t># patients in past 12 months who started Tb treatment in the Basic Management Units</t>
  </si>
  <si>
    <t>S8.0</t>
  </si>
  <si>
    <t>% households with at least one insecticide-treated mosquito net (ITN)</t>
  </si>
  <si>
    <t># households with at least one ITN / # households in total</t>
  </si>
  <si>
    <t>UNICEF Data Warehouse Malaria</t>
  </si>
  <si>
    <t>S8.1</t>
  </si>
  <si>
    <t>% children (under age 5) who slept under an insecticide-treated mosquito net the night prior to the survey</t>
  </si>
  <si>
    <t># children (under age 5) who slept under an insecticide-treated mosquito net the night prior to the survey / # children in total</t>
  </si>
  <si>
    <t>S8.2</t>
  </si>
  <si>
    <t>% of PLWG who slept under an insecticide-treated net the previous night</t>
  </si>
  <si>
    <t># PLWG who slept under an insecticide-treated net the previous night / # PLWG in total</t>
  </si>
  <si>
    <t>S8.3</t>
  </si>
  <si>
    <t>% of children (under age 5) with fever for whom advice or treatment was sought from a health facility or provider</t>
  </si>
  <si>
    <t># children (under age 5) with fever for whom advice or treatment was sought from a health facility or provider / # children in total</t>
  </si>
  <si>
    <t>S8.4</t>
  </si>
  <si>
    <t>% of febrile children (under age 5) who had a finger or heel stick for malaria testing</t>
  </si>
  <si>
    <t># of febrile children (under age 5) who had a finger or heel stick for malaria testing / # of febrile children</t>
  </si>
  <si>
    <t>Febrile = child had a fever in the past 2 weeks</t>
  </si>
  <si>
    <t>S8.5</t>
  </si>
  <si>
    <t>% PLWG who received three or more doses of intermittent preventive malaria treatment during antenatal care visits during their last pregnancy</t>
  </si>
  <si>
    <t># PLWG who received three or more doses of intermittent preventive malaria treatment during antenatal care visits during their last pregnancy / # PLWG in total</t>
  </si>
  <si>
    <t>UNICEF Data Warehouse IPT</t>
  </si>
  <si>
    <t>S9.0</t>
  </si>
  <si>
    <t>% PLWG attended at least one antenatal care visit during last/current pregnancy by skilled health personnel</t>
  </si>
  <si>
    <t># PLWG that attended ≥1 antenatal care visit during last/current pregnancy by skilled health personnel / # PLWG in total</t>
  </si>
  <si>
    <t>UNICEF Data Warehouse Antenatal</t>
  </si>
  <si>
    <t>S9.1</t>
  </si>
  <si>
    <t>% PLWG attended at least four antenatal care visits during last/current pregnancy by any provider</t>
  </si>
  <si>
    <r>
      <t xml:space="preserve"># PLWG that attended </t>
    </r>
    <r>
      <rPr>
        <sz val="9"/>
        <color theme="1"/>
        <rFont val="Calibri"/>
        <family val="2"/>
      </rPr>
      <t>≥</t>
    </r>
    <r>
      <rPr>
        <sz val="9"/>
        <color theme="1"/>
        <rFont val="Arial"/>
        <family val="2"/>
      </rPr>
      <t>4 antenatal care visit during last/current pregnancy by any provider / # PLWG in total</t>
    </r>
  </si>
  <si>
    <t>S9.2</t>
  </si>
  <si>
    <t>% of deliveries in a health facility</t>
  </si>
  <si>
    <t># PLWG that delivered their last child at a health facility /  # PLWG in total</t>
  </si>
  <si>
    <t>S9.3</t>
  </si>
  <si>
    <t>% of deliveries attended by skilled health personnel</t>
  </si>
  <si>
    <t># PLWG who had their last child delivered by skilled health personnel /  # PLWG in total</t>
  </si>
  <si>
    <t>S9.4</t>
  </si>
  <si>
    <t>% of PLWG who received postnatal care (durnig their last delivery) within 2 days of giving birth</t>
  </si>
  <si>
    <t># PLWG who received postnatal care (durnig their last delivery) within 2 days of giving birth / # PLWG in total</t>
  </si>
  <si>
    <t>UNICEF Data Warehouse Postnatal</t>
  </si>
  <si>
    <t>S9.5</t>
  </si>
  <si>
    <t>% of children &lt; 2 years of age who had a postnatal contact with a health provider within 2 days of delivery</t>
  </si>
  <si>
    <t># children &lt; 2 years of age who had a postnatal contact with a health provider within 2 days of delivery / # children &lt; 2 years of age in total</t>
  </si>
  <si>
    <t>DG ECHO Seven priority questions and calculator (see following URL for more details: https://drive.google.com/file/d/1Ci2kQff9Gy4rYgSjsrw9r8NLCD5jfz68/view )</t>
  </si>
  <si>
    <t>ECHO Category</t>
  </si>
  <si>
    <t>Priority questions</t>
  </si>
  <si>
    <t>Response options</t>
  </si>
  <si>
    <t>% Yes</t>
  </si>
  <si>
    <t>Score
(this column is auto-calculating)</t>
  </si>
  <si>
    <t>Safety</t>
  </si>
  <si>
    <r>
      <t xml:space="preserve">Did you feel safe at all times travelling to receive the assistance/service (to/from your place), while receiving the assistance/service, and upon return to your place?
</t>
    </r>
    <r>
      <rPr>
        <i/>
        <sz val="8"/>
        <color rgb="FFFF0000"/>
        <rFont val="Arial"/>
        <family val="2"/>
      </rPr>
      <t>(For in-kind assistance or cash distribution the question should cover safety while going to receive assistance, waiting for assistance and coming back home after assistance)</t>
    </r>
  </si>
  <si>
    <t>Yes / No</t>
  </si>
  <si>
    <t>Did you feel you were treated with respect by WFO staff during the intervention?</t>
  </si>
  <si>
    <t>Access</t>
  </si>
  <si>
    <t xml:space="preserve">Was the assistance appropriate to your needs or those of members of the community?   </t>
  </si>
  <si>
    <t>Yes / No / Partially / Don’t know</t>
  </si>
  <si>
    <t>Do you know of people needing assistance/services who were excluded from the assistance/service provided?</t>
  </si>
  <si>
    <t>Participatory</t>
  </si>
  <si>
    <t>Were your views taken into account by the organization about the assistance you received?</t>
  </si>
  <si>
    <t>Did you feel well informed about the assistance/service available?</t>
  </si>
  <si>
    <t>Accountability</t>
  </si>
  <si>
    <t>Have you or anyone you know in your community ever raised any concern on the assistance you received to the NGO using one of the above mechanisms?</t>
  </si>
  <si>
    <t xml:space="preserve">Yes / No </t>
  </si>
  <si>
    <t>If yes, are you satisfied with the response you have received?</t>
  </si>
  <si>
    <t>Yes / No / Partially / Response never received</t>
  </si>
  <si>
    <r>
      <t xml:space="preserve">Tool to measure DG ECHO protection mainstreaming pilot indicators (seven priority indicators in </t>
    </r>
    <r>
      <rPr>
        <b/>
        <sz val="11"/>
        <color rgb="FFFF0000"/>
        <rFont val="Calibri"/>
        <family val="2"/>
        <scheme val="minor"/>
      </rPr>
      <t>red font</t>
    </r>
    <r>
      <rPr>
        <b/>
        <sz val="11"/>
        <color theme="1"/>
        <rFont val="Calibri"/>
        <family val="2"/>
        <scheme val="minor"/>
      </rPr>
      <t>)</t>
    </r>
  </si>
  <si>
    <t>1.Do you know of anyone in your community having been consulted by the NGO on what needs are and how the NGO can best help?</t>
  </si>
  <si>
    <t xml:space="preserve">2.Was the assistance appropriate to your needs or those of members of the community?   </t>
  </si>
  <si>
    <r>
      <t xml:space="preserve"> </t>
    </r>
    <r>
      <rPr>
        <sz val="8"/>
        <color rgb="FFFF0000"/>
        <rFont val="Arial"/>
        <family val="2"/>
      </rPr>
      <t>Yes / No / Partially / Don’t know</t>
    </r>
  </si>
  <si>
    <t>2.1 If no, why do you consider the assistance not appropriate?</t>
  </si>
  <si>
    <t>3.How did you hear about this intervention?</t>
  </si>
  <si>
    <t>1. NGO staff 2. Local committees 3. Community members 4. Other service providers 5. Other: specify</t>
  </si>
  <si>
    <t>4.Did you know what kind of support you were entitled to receive?</t>
  </si>
  <si>
    <t>If no, could you tell us why?</t>
  </si>
  <si>
    <r>
      <t>1</t>
    </r>
    <r>
      <rPr>
        <sz val="9"/>
        <color theme="1"/>
        <rFont val="Calibri"/>
        <family val="2"/>
      </rPr>
      <t xml:space="preserve"> = The organization’s staff did not inform the community; </t>
    </r>
    <r>
      <rPr>
        <b/>
        <sz val="9"/>
        <color theme="1"/>
        <rFont val="Calibri"/>
        <family val="2"/>
      </rPr>
      <t xml:space="preserve"> 2=</t>
    </r>
    <r>
      <rPr>
        <sz val="9"/>
        <color theme="1"/>
        <rFont val="Calibri"/>
        <family val="2"/>
      </rPr>
      <t xml:space="preserve"> I did not attend information sessions ; </t>
    </r>
    <r>
      <rPr>
        <b/>
        <sz val="9"/>
        <color theme="1"/>
        <rFont val="Calibri"/>
        <family val="2"/>
      </rPr>
      <t xml:space="preserve">3 </t>
    </r>
    <r>
      <rPr>
        <sz val="9"/>
        <color theme="1"/>
        <rFont val="Calibri"/>
        <family val="2"/>
      </rPr>
      <t>= Other specify</t>
    </r>
  </si>
  <si>
    <t>5. Did you feel safe while receiving the assistance ?</t>
  </si>
  <si>
    <t>For in-kind assistance or cash distribution the question should cover safety while going to receive assistance, waiting for assistance and coming back home after assistance</t>
  </si>
  <si>
    <t>5.1.If no, do you mind telling us why?</t>
  </si>
  <si>
    <t>1. Physical or verbal assault 2. Lack of respect/consideration 3. Coercion 4. Deprivation 5. Other: specify</t>
  </si>
  <si>
    <t xml:space="preserve">Do not provide the answers directly. </t>
  </si>
  <si>
    <t>6.Did you feel you were treated with respect by NGO staff during the intervention?</t>
  </si>
  <si>
    <r>
      <t xml:space="preserve">6.1 If not, would you mind telling us why? </t>
    </r>
    <r>
      <rPr>
        <i/>
        <sz val="8"/>
        <color rgb="FF000000"/>
        <rFont val="Arial"/>
        <family val="2"/>
      </rPr>
      <t>Emphasize that it is ok if s/he does not want to?</t>
    </r>
  </si>
  <si>
    <t>7. If no to Q5 and/or Q6, what could have been done by the organization to make you feel safe, ensure your wellbeing and make you feel treated with respect?</t>
  </si>
  <si>
    <t>8. Did the assistance received deteriorate your relation with the community?</t>
  </si>
  <si>
    <t>8.1 If yes, how?</t>
  </si>
  <si>
    <t>9. Did the assistance received deteriorate your relation with your family?</t>
  </si>
  <si>
    <t>9.1 If yes, how?</t>
  </si>
  <si>
    <t>10.Have you received the assistance well in time to properly respond to your needs?</t>
  </si>
  <si>
    <t>11.Have negative coping mechanism been adopted before/after the provision of the assistance?</t>
  </si>
  <si>
    <t>11.1 If yes, can you please explain which negative coping mechanisms have been adopted?</t>
  </si>
  <si>
    <t>12. Do you know who was entitled to receive the assistance?</t>
  </si>
  <si>
    <t>13. Do you think that the most needy people in your community received the assistance?</t>
  </si>
  <si>
    <t>Yes / No / Partially</t>
  </si>
  <si>
    <t>13.1.If no, what do you think the NGO should have done to make it easier for the most needy to receive assistance?</t>
  </si>
  <si>
    <t>14. Which - if any - of the following measures have been put in place to ensure that the most needy people in your community received the assistance?</t>
  </si>
  <si>
    <t>1. Transport to reach the distribution point 2. Easy access to the distribution point 3. Easy access to established facilities/services 4. Other:</t>
  </si>
  <si>
    <t>15. Do you think there are  people deserving who were excluded from the assistance?</t>
  </si>
  <si>
    <t xml:space="preserve">15.1.If YES, who was mainly excluded? </t>
  </si>
  <si>
    <r>
      <t xml:space="preserve">1. Child Headed HH 2. Female Headed HH 3. People with disability 4. Terminally ill people 4. Elderly 5. Minority Groups 6. Others </t>
    </r>
    <r>
      <rPr>
        <i/>
        <sz val="8"/>
        <color theme="1"/>
        <rFont val="Arial"/>
        <family val="2"/>
      </rPr>
      <t>specify</t>
    </r>
  </si>
  <si>
    <t>16. What would you do, who would you talk to, where would you go if you had a question or a problem with the assistance?</t>
  </si>
  <si>
    <t>1. Directly to NGO staff 2. Local authorities 3. Community leaders 4. Complaints box 4. Hotlines 5. Talk to family, friends, neighbor or other beneficiaries 6. Other:</t>
  </si>
  <si>
    <t>17. Are you aware of the existence of the following options:</t>
  </si>
  <si>
    <t>1. Talk directly to NGO staff 2. Use the dedicated NGO desk 3. Use the complaints box 4. Hotlines</t>
  </si>
  <si>
    <t>17.1. If yes, do you think anyone in your community would use such mechanism?</t>
  </si>
  <si>
    <t>18. Have you or anyone you know in your community ever raised any concern on the assistance you received to the NGO using one of the above mechanisms?</t>
  </si>
  <si>
    <t>18.1. If yes, are you satisfied with the response you have received?</t>
  </si>
  <si>
    <t xml:space="preserve">19. Were complaints about sensitive issues collected through different channels?   </t>
  </si>
  <si>
    <t>This question intends to assess whether specific mechanisms to address Sexual Exploitation and Abuse have been established</t>
  </si>
  <si>
    <t>19.1 If so, how was it collected?</t>
  </si>
  <si>
    <t xml:space="preserve">1. Directly to NGO staff 2. Community leaders 3. Complaints box 4. Green line 5. 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</si>
</sst>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font>
      <sz val="11"/>
      <color theme="1"/>
      <name val="Calibri"/>
      <family val="2"/>
      <scheme val="minor"/>
    </font>
    <font>
      <b/>
      <sz val="9"/>
      <color theme="1"/>
      <name val="Arial"/>
      <family val="2"/>
    </font>
    <font>
      <b/>
      <sz val="9"/>
      <name val="Arial"/>
      <family val="2"/>
    </font>
    <font>
      <sz val="9"/>
      <color theme="1"/>
      <name val="Calibri"/>
      <family val="2"/>
      <scheme val="minor"/>
    </font>
    <font>
      <sz val="9"/>
      <color theme="1"/>
      <name val="Arial"/>
      <family val="2"/>
    </font>
    <font>
      <b/>
      <sz val="11"/>
      <color theme="1"/>
      <name val="Calibri"/>
      <family val="2"/>
      <scheme val="minor"/>
    </font>
    <font>
      <sz val="9"/>
      <color theme="1"/>
      <name val="Calibri"/>
      <family val="2"/>
    </font>
    <font>
      <sz val="11"/>
      <color theme="1"/>
      <name val="Calibri"/>
      <family val="2"/>
      <scheme val="minor"/>
    </font>
    <font>
      <b/>
      <sz val="11"/>
      <color rgb="FF000000"/>
      <name val="Calibri"/>
      <family val="2"/>
      <scheme val="minor"/>
    </font>
    <font>
      <sz val="11"/>
      <color rgb="FF000000"/>
      <name val="Calibri"/>
      <family val="2"/>
      <scheme val="minor"/>
    </font>
    <font>
      <sz val="9"/>
      <color rgb="FFFF0000"/>
      <name val="Arial"/>
      <family val="2"/>
    </font>
    <font>
      <sz val="9"/>
      <name val="Arial"/>
      <family val="2"/>
    </font>
    <font>
      <sz val="11"/>
      <name val="Calibri"/>
      <family val="2"/>
      <scheme val="minor"/>
    </font>
    <font>
      <sz val="8"/>
      <color rgb="FFFF0000"/>
      <name val="Arial"/>
      <family val="2"/>
    </font>
    <font>
      <sz val="8"/>
      <color theme="1"/>
      <name val="Arial"/>
      <family val="2"/>
    </font>
    <font>
      <sz val="8"/>
      <color rgb="FF000000"/>
      <name val="Arial"/>
      <family val="2"/>
    </font>
    <font>
      <b/>
      <sz val="9"/>
      <color theme="1"/>
      <name val="Calibri"/>
      <family val="2"/>
    </font>
    <font>
      <i/>
      <sz val="8"/>
      <color rgb="FF000000"/>
      <name val="Arial"/>
      <family val="2"/>
    </font>
    <font>
      <i/>
      <sz val="8"/>
      <color theme="1"/>
      <name val="Arial"/>
      <family val="2"/>
    </font>
    <font>
      <b/>
      <sz val="11"/>
      <color rgb="FFFF0000"/>
      <name val="Calibri"/>
      <family val="2"/>
      <scheme val="minor"/>
    </font>
    <font>
      <i/>
      <sz val="8"/>
      <color rgb="FFFF0000"/>
      <name val="Arial"/>
      <family val="2"/>
    </font>
    <font>
      <sz val="11"/>
      <color theme="4" tint="-0.249977111117893"/>
      <name val="Calibri"/>
      <family val="2"/>
      <scheme val="minor"/>
    </font>
    <font>
      <u/>
      <sz val="9"/>
      <name val="Arial"/>
      <family val="2"/>
    </font>
    <font>
      <i/>
      <sz val="9"/>
      <name val="Arial"/>
      <family val="2"/>
    </font>
    <font>
      <sz val="11"/>
      <color rgb="FFFF0000"/>
      <name val="Calibri"/>
      <family val="2"/>
      <scheme val="minor"/>
    </font>
    <font>
      <vertAlign val="superscript"/>
      <sz val="9"/>
      <name val="Arial"/>
      <family val="2"/>
    </font>
    <font>
      <u/>
      <sz val="11"/>
      <color theme="10"/>
      <name val="Calibri"/>
      <family val="2"/>
      <scheme val="minor"/>
    </font>
    <font>
      <u/>
      <sz val="9"/>
      <color theme="10"/>
      <name val="Calibri"/>
      <family val="2"/>
      <scheme val="minor"/>
    </font>
    <font>
      <sz val="8"/>
      <name val="Calibri"/>
      <family val="2"/>
      <scheme val="minor"/>
    </font>
    <font>
      <sz val="9"/>
      <color rgb="FF333333"/>
      <name val="Calibri"/>
    </font>
    <font>
      <sz val="9"/>
      <color rgb="FF333333"/>
      <name val="Calibri"/>
      <family val="2"/>
    </font>
    <font>
      <sz val="9"/>
      <color theme="1"/>
      <name val="Calibri"/>
    </font>
    <font>
      <sz val="11"/>
      <color theme="0"/>
      <name val="Calibri"/>
      <family val="2"/>
      <scheme val="minor"/>
    </font>
    <font>
      <i/>
      <sz val="9"/>
      <color theme="1"/>
      <name val="Arial"/>
      <family val="2"/>
    </font>
    <font>
      <sz val="9"/>
      <color theme="1"/>
      <name val="Segoe UI"/>
      <family val="2"/>
    </font>
    <font>
      <u/>
      <sz val="11"/>
      <name val="Calibri"/>
      <family val="2"/>
      <scheme val="minor"/>
    </font>
  </fonts>
  <fills count="25">
    <fill>
      <patternFill patternType="none"/>
    </fill>
    <fill>
      <patternFill patternType="gray125"/>
    </fill>
    <fill>
      <patternFill patternType="solid">
        <fgColor indexed="22"/>
        <bgColor indexed="64"/>
      </patternFill>
    </fill>
    <fill>
      <patternFill patternType="solid">
        <fgColor rgb="FF99FF66"/>
        <bgColor indexed="64"/>
      </patternFill>
    </fill>
    <fill>
      <patternFill patternType="solid">
        <fgColor rgb="FF99CCFF"/>
        <bgColor indexed="64"/>
      </patternFill>
    </fill>
    <fill>
      <patternFill patternType="solid">
        <fgColor rgb="FFFF9966"/>
        <bgColor indexed="64"/>
      </patternFill>
    </fill>
    <fill>
      <patternFill patternType="solid">
        <fgColor rgb="FFFFFF99"/>
        <bgColor indexed="64"/>
      </patternFill>
    </fill>
    <fill>
      <patternFill patternType="solid">
        <fgColor rgb="FF7DE1DF"/>
        <bgColor indexed="64"/>
      </patternFill>
    </fill>
    <fill>
      <patternFill patternType="solid">
        <fgColor theme="5" tint="-0.249977111117893"/>
        <bgColor indexed="64"/>
      </patternFill>
    </fill>
    <fill>
      <patternFill patternType="solid">
        <fgColor theme="3" tint="0.39997558519241921"/>
        <bgColor indexed="64"/>
      </patternFill>
    </fill>
    <fill>
      <patternFill patternType="solid">
        <fgColor theme="0"/>
        <bgColor indexed="64"/>
      </patternFill>
    </fill>
    <fill>
      <patternFill patternType="solid">
        <fgColor rgb="FFD9D9D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8FBFC"/>
        <bgColor rgb="FFFFFFFF"/>
      </patternFill>
    </fill>
    <fill>
      <patternFill patternType="solid">
        <fgColor rgb="FFFFFFFF"/>
        <bgColor rgb="FFFFFFFF"/>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rgb="FF92D05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C000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ck">
        <color indexed="64"/>
      </right>
      <top style="thick">
        <color indexed="64"/>
      </top>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26" fillId="0" borderId="0" applyNumberFormat="0" applyFill="0" applyBorder="0" applyAlignment="0" applyProtection="0"/>
    <xf numFmtId="0" fontId="7" fillId="0" borderId="0"/>
  </cellStyleXfs>
  <cellXfs count="114">
    <xf numFmtId="0" fontId="0" fillId="0" borderId="0" xfId="0"/>
    <xf numFmtId="0" fontId="3" fillId="0" borderId="0" xfId="0" applyFont="1"/>
    <xf numFmtId="164"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4" fillId="7" borderId="1" xfId="0" applyFont="1" applyFill="1" applyBorder="1" applyAlignment="1">
      <alignment horizontal="left" vertical="center"/>
    </xf>
    <xf numFmtId="0" fontId="4" fillId="3" borderId="1" xfId="0" applyFont="1" applyFill="1" applyBorder="1" applyAlignment="1">
      <alignment horizontal="left" vertical="center"/>
    </xf>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164" fontId="2" fillId="2" borderId="1" xfId="0" applyNumberFormat="1" applyFont="1" applyFill="1" applyBorder="1" applyAlignment="1">
      <alignment horizontal="left" vertical="center" wrapText="1"/>
    </xf>
    <xf numFmtId="0" fontId="4" fillId="6" borderId="1" xfId="0" applyFont="1" applyFill="1" applyBorder="1" applyAlignment="1">
      <alignment horizontal="left" vertical="center"/>
    </xf>
    <xf numFmtId="0" fontId="4" fillId="5" borderId="1" xfId="0" applyFont="1" applyFill="1" applyBorder="1" applyAlignment="1">
      <alignment horizontal="left" vertical="center"/>
    </xf>
    <xf numFmtId="0" fontId="4" fillId="4" borderId="1" xfId="0" applyFont="1" applyFill="1" applyBorder="1" applyAlignment="1">
      <alignment horizontal="lef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7" fillId="0" borderId="4" xfId="0" applyFont="1" applyBorder="1" applyAlignment="1">
      <alignment horizontal="left" vertical="center" wrapText="1"/>
    </xf>
    <xf numFmtId="0" fontId="0" fillId="0" borderId="4" xfId="0" applyBorder="1" applyAlignment="1">
      <alignment horizontal="left" vertical="center" wrapText="1"/>
    </xf>
    <xf numFmtId="0" fontId="4" fillId="0" borderId="1" xfId="0" applyFont="1" applyBorder="1" applyAlignment="1">
      <alignment horizontal="center" vertical="center" wrapText="1"/>
    </xf>
    <xf numFmtId="0" fontId="0" fillId="0" borderId="0" xfId="0" applyAlignment="1">
      <alignment horizontal="center"/>
    </xf>
    <xf numFmtId="0" fontId="10" fillId="0" borderId="1" xfId="0" applyFont="1" applyBorder="1" applyAlignment="1">
      <alignment horizontal="left" vertical="center" wrapText="1"/>
    </xf>
    <xf numFmtId="0" fontId="11" fillId="6" borderId="1" xfId="0" applyFont="1" applyFill="1" applyBorder="1" applyAlignment="1">
      <alignment horizontal="left" vertical="center"/>
    </xf>
    <xf numFmtId="164" fontId="11"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2" fillId="0" borderId="0" xfId="0" applyFont="1"/>
    <xf numFmtId="0" fontId="11" fillId="0" borderId="1" xfId="0" applyFont="1" applyBorder="1" applyAlignment="1">
      <alignment horizontal="left" vertical="center"/>
    </xf>
    <xf numFmtId="0" fontId="11" fillId="10" borderId="1" xfId="0" applyFont="1" applyFill="1" applyBorder="1" applyAlignment="1">
      <alignment horizontal="left" vertical="center" wrapText="1"/>
    </xf>
    <xf numFmtId="0" fontId="11" fillId="7" borderId="1" xfId="0" applyFont="1" applyFill="1" applyBorder="1" applyAlignment="1">
      <alignment horizontal="left" vertical="center"/>
    </xf>
    <xf numFmtId="164" fontId="11" fillId="10" borderId="1" xfId="0" applyNumberFormat="1" applyFont="1" applyFill="1" applyBorder="1" applyAlignment="1">
      <alignment horizontal="left" vertical="center" wrapText="1"/>
    </xf>
    <xf numFmtId="0" fontId="11" fillId="0" borderId="1" xfId="0" applyFont="1" applyBorder="1" applyAlignment="1">
      <alignment horizontal="center" vertical="center"/>
    </xf>
    <xf numFmtId="0" fontId="11" fillId="0" borderId="9" xfId="0" applyFont="1" applyBorder="1" applyAlignment="1">
      <alignment horizontal="left" vertical="center" wrapText="1"/>
    </xf>
    <xf numFmtId="0" fontId="13" fillId="0" borderId="11" xfId="0" applyFont="1" applyBorder="1" applyAlignment="1">
      <alignment vertical="center" wrapText="1"/>
    </xf>
    <xf numFmtId="0" fontId="14" fillId="0" borderId="13" xfId="0" applyFont="1" applyBorder="1" applyAlignment="1">
      <alignment vertical="center" wrapText="1"/>
    </xf>
    <xf numFmtId="0" fontId="14" fillId="0" borderId="15" xfId="0" applyFont="1" applyBorder="1" applyAlignment="1">
      <alignment vertical="center" wrapText="1"/>
    </xf>
    <xf numFmtId="0" fontId="16" fillId="0" borderId="15" xfId="0" applyFont="1" applyBorder="1" applyAlignment="1">
      <alignment vertical="center" wrapText="1"/>
    </xf>
    <xf numFmtId="0" fontId="13" fillId="0" borderId="13" xfId="0" applyFont="1" applyBorder="1" applyAlignment="1">
      <alignment vertical="center" wrapText="1"/>
    </xf>
    <xf numFmtId="0" fontId="13" fillId="0" borderId="15" xfId="0" applyFont="1" applyBorder="1" applyAlignment="1">
      <alignment vertical="center" wrapText="1"/>
    </xf>
    <xf numFmtId="0" fontId="5" fillId="0" borderId="0" xfId="0" applyFont="1" applyAlignment="1">
      <alignment horizontal="left" vertical="center"/>
    </xf>
    <xf numFmtId="0" fontId="13" fillId="11" borderId="10" xfId="0" applyFont="1" applyFill="1" applyBorder="1" applyAlignment="1">
      <alignment horizontal="left" vertical="center" wrapText="1"/>
    </xf>
    <xf numFmtId="0" fontId="13" fillId="11" borderId="12" xfId="0" applyFont="1" applyFill="1" applyBorder="1" applyAlignment="1">
      <alignment horizontal="left" vertical="center" wrapText="1"/>
    </xf>
    <xf numFmtId="0" fontId="15" fillId="11" borderId="14" xfId="0" applyFont="1" applyFill="1" applyBorder="1" applyAlignment="1">
      <alignment horizontal="left" vertical="center" wrapText="1" indent="1"/>
    </xf>
    <xf numFmtId="0" fontId="15" fillId="11" borderId="14" xfId="0" applyFont="1" applyFill="1" applyBorder="1" applyAlignment="1">
      <alignment horizontal="left" vertical="center" wrapText="1"/>
    </xf>
    <xf numFmtId="0" fontId="15" fillId="11" borderId="12" xfId="0" applyFont="1" applyFill="1" applyBorder="1" applyAlignment="1">
      <alignment horizontal="left" vertical="center" wrapText="1"/>
    </xf>
    <xf numFmtId="0" fontId="17" fillId="11" borderId="12" xfId="0" applyFont="1" applyFill="1" applyBorder="1" applyAlignment="1">
      <alignment horizontal="left" vertical="center" wrapText="1"/>
    </xf>
    <xf numFmtId="0" fontId="15" fillId="11" borderId="12" xfId="0" applyFont="1" applyFill="1" applyBorder="1" applyAlignment="1">
      <alignment horizontal="left" vertical="center" wrapText="1" indent="1"/>
    </xf>
    <xf numFmtId="0" fontId="17" fillId="11" borderId="14" xfId="0" applyFont="1" applyFill="1" applyBorder="1" applyAlignment="1">
      <alignment horizontal="left" vertical="center" wrapText="1" indent="1"/>
    </xf>
    <xf numFmtId="0" fontId="13" fillId="11" borderId="14" xfId="0" applyFont="1" applyFill="1" applyBorder="1" applyAlignment="1">
      <alignment horizontal="left" vertical="center" wrapText="1" indent="1"/>
    </xf>
    <xf numFmtId="0" fontId="0" fillId="0" borderId="0" xfId="0" applyAlignment="1">
      <alignment horizontal="left"/>
    </xf>
    <xf numFmtId="0" fontId="5" fillId="12" borderId="1" xfId="0" applyFont="1" applyFill="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5" fillId="12" borderId="1" xfId="0" applyFont="1" applyFill="1" applyBorder="1" applyAlignment="1">
      <alignment horizontal="center" vertical="center" wrapText="1"/>
    </xf>
    <xf numFmtId="0" fontId="21" fillId="0" borderId="1" xfId="0" applyFont="1" applyBorder="1" applyAlignment="1">
      <alignment horizontal="center" vertical="center"/>
    </xf>
    <xf numFmtId="0" fontId="11" fillId="4" borderId="1" xfId="0" applyFont="1" applyFill="1" applyBorder="1" applyAlignment="1">
      <alignment horizontal="left" vertical="center"/>
    </xf>
    <xf numFmtId="0" fontId="5" fillId="8" borderId="7" xfId="0" applyFont="1" applyFill="1" applyBorder="1" applyAlignment="1">
      <alignment horizontal="center"/>
    </xf>
    <xf numFmtId="0" fontId="26" fillId="0" borderId="1" xfId="1" applyFill="1" applyBorder="1" applyAlignment="1">
      <alignment horizontal="left" vertical="center" wrapText="1"/>
    </xf>
    <xf numFmtId="0" fontId="27" fillId="0" borderId="1" xfId="1" applyFont="1" applyFill="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26" fillId="0" borderId="0" xfId="1" applyFill="1" applyBorder="1" applyAlignment="1">
      <alignment horizontal="left" vertical="center" wrapText="1"/>
    </xf>
    <xf numFmtId="0" fontId="4" fillId="13" borderId="1" xfId="0" applyFont="1" applyFill="1" applyBorder="1" applyAlignment="1">
      <alignment horizontal="left" vertical="center" wrapText="1"/>
    </xf>
    <xf numFmtId="0" fontId="26" fillId="0" borderId="1" xfId="1" applyBorder="1" applyAlignment="1">
      <alignment horizontal="left" vertical="center" wrapText="1"/>
    </xf>
    <xf numFmtId="0" fontId="1" fillId="13" borderId="1" xfId="0" applyFont="1" applyFill="1" applyBorder="1" applyAlignment="1">
      <alignment horizontal="left" vertical="center" wrapText="1"/>
    </xf>
    <xf numFmtId="0" fontId="1" fillId="17" borderId="1" xfId="0" applyFont="1" applyFill="1" applyBorder="1" applyAlignment="1">
      <alignment horizontal="left" vertical="center" wrapText="1"/>
    </xf>
    <xf numFmtId="0" fontId="0" fillId="16" borderId="1" xfId="0" applyFill="1" applyBorder="1" applyAlignment="1">
      <alignment vertical="center"/>
    </xf>
    <xf numFmtId="0" fontId="0" fillId="18" borderId="1" xfId="0" applyFill="1" applyBorder="1" applyAlignment="1">
      <alignment vertical="center"/>
    </xf>
    <xf numFmtId="0" fontId="32" fillId="19" borderId="1" xfId="0" applyFont="1" applyFill="1" applyBorder="1" applyAlignment="1">
      <alignment vertical="center"/>
    </xf>
    <xf numFmtId="0" fontId="34" fillId="0" borderId="0" xfId="0" applyFont="1" applyAlignment="1">
      <alignment vertical="center"/>
    </xf>
    <xf numFmtId="0" fontId="34" fillId="0" borderId="0" xfId="0" quotePrefix="1" applyFont="1" applyAlignment="1">
      <alignment vertical="center"/>
    </xf>
    <xf numFmtId="0" fontId="0" fillId="0" borderId="1" xfId="0" applyBorder="1"/>
    <xf numFmtId="0" fontId="5" fillId="0" borderId="0" xfId="0" applyFont="1"/>
    <xf numFmtId="0" fontId="0" fillId="0" borderId="0" xfId="0" applyAlignment="1">
      <alignment wrapText="1"/>
    </xf>
    <xf numFmtId="49" fontId="30" fillId="15" borderId="1" xfId="0" applyNumberFormat="1" applyFont="1" applyFill="1" applyBorder="1" applyAlignment="1">
      <alignment horizontal="left" vertical="center" wrapText="1"/>
    </xf>
    <xf numFmtId="0" fontId="24" fillId="0" borderId="1" xfId="0" applyFont="1" applyBorder="1"/>
    <xf numFmtId="49" fontId="30" fillId="15" borderId="1" xfId="0" applyNumberFormat="1" applyFont="1" applyFill="1" applyBorder="1" applyAlignment="1">
      <alignment vertical="top" wrapText="1"/>
    </xf>
    <xf numFmtId="49" fontId="30" fillId="15" borderId="1" xfId="0" applyNumberFormat="1" applyFont="1" applyFill="1" applyBorder="1" applyAlignment="1">
      <alignment vertical="top"/>
    </xf>
    <xf numFmtId="49" fontId="29" fillId="15" borderId="1" xfId="0" applyNumberFormat="1" applyFont="1" applyFill="1" applyBorder="1" applyAlignment="1">
      <alignment vertical="center" wrapText="1"/>
    </xf>
    <xf numFmtId="49" fontId="30" fillId="15" borderId="1" xfId="0" applyNumberFormat="1" applyFont="1" applyFill="1" applyBorder="1" applyAlignment="1">
      <alignment vertical="center" wrapText="1"/>
    </xf>
    <xf numFmtId="0" fontId="30" fillId="14" borderId="1" xfId="0" applyFont="1" applyFill="1" applyBorder="1" applyAlignment="1">
      <alignment vertical="top" wrapText="1"/>
    </xf>
    <xf numFmtId="0" fontId="30" fillId="15" borderId="1" xfId="0" applyFont="1" applyFill="1" applyBorder="1" applyAlignment="1">
      <alignment vertical="top" wrapText="1"/>
    </xf>
    <xf numFmtId="0" fontId="31" fillId="0" borderId="1" xfId="0" applyFont="1" applyBorder="1" applyAlignment="1">
      <alignment wrapText="1"/>
    </xf>
    <xf numFmtId="0" fontId="32" fillId="20" borderId="1" xfId="0" applyFont="1" applyFill="1" applyBorder="1" applyAlignment="1">
      <alignment vertical="center"/>
    </xf>
    <xf numFmtId="0" fontId="12" fillId="21" borderId="0" xfId="0" applyFont="1" applyFill="1"/>
    <xf numFmtId="0" fontId="0" fillId="22" borderId="0" xfId="0" applyFill="1"/>
    <xf numFmtId="164" fontId="11" fillId="23" borderId="1" xfId="0" applyNumberFormat="1" applyFont="1" applyFill="1" applyBorder="1" applyAlignment="1">
      <alignment horizontal="left" vertical="center" wrapText="1"/>
    </xf>
    <xf numFmtId="164" fontId="4" fillId="23" borderId="1" xfId="0" applyNumberFormat="1" applyFont="1" applyFill="1" applyBorder="1" applyAlignment="1">
      <alignment horizontal="left" vertical="center" wrapText="1"/>
    </xf>
    <xf numFmtId="0" fontId="11" fillId="23"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26" fillId="23" borderId="1" xfId="1" applyFill="1" applyBorder="1" applyAlignment="1">
      <alignment horizontal="left" vertical="center" wrapText="1"/>
    </xf>
    <xf numFmtId="0" fontId="10" fillId="23" borderId="1" xfId="0" applyFont="1" applyFill="1" applyBorder="1" applyAlignment="1">
      <alignment horizontal="left" vertical="center" wrapText="1"/>
    </xf>
    <xf numFmtId="0" fontId="0" fillId="23" borderId="0" xfId="0" applyFill="1"/>
    <xf numFmtId="0" fontId="12" fillId="23" borderId="0" xfId="0" applyFont="1" applyFill="1"/>
    <xf numFmtId="0" fontId="11" fillId="24" borderId="1" xfId="0" applyFont="1" applyFill="1" applyBorder="1" applyAlignment="1">
      <alignment horizontal="left" vertical="center" wrapText="1"/>
    </xf>
    <xf numFmtId="0" fontId="11" fillId="23" borderId="1" xfId="0" applyFont="1" applyFill="1" applyBorder="1" applyAlignment="1">
      <alignment horizontal="center" vertical="center"/>
    </xf>
    <xf numFmtId="0" fontId="11" fillId="23" borderId="1" xfId="0" applyFont="1" applyFill="1" applyBorder="1" applyAlignment="1">
      <alignment horizontal="left" vertical="center"/>
    </xf>
    <xf numFmtId="0" fontId="4" fillId="23"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35" fillId="23" borderId="1" xfId="1" applyFont="1" applyFill="1" applyBorder="1" applyAlignment="1">
      <alignment horizontal="left" vertical="center" wrapText="1"/>
    </xf>
    <xf numFmtId="0" fontId="5" fillId="9" borderId="6" xfId="0" applyFont="1" applyFill="1" applyBorder="1" applyAlignment="1">
      <alignment horizontal="center"/>
    </xf>
    <xf numFmtId="0" fontId="5" fillId="9" borderId="7" xfId="0" applyFont="1" applyFill="1" applyBorder="1" applyAlignment="1">
      <alignment horizontal="center"/>
    </xf>
    <xf numFmtId="0" fontId="5" fillId="9" borderId="8" xfId="0" applyFont="1" applyFill="1" applyBorder="1" applyAlignment="1">
      <alignment horizontal="center"/>
    </xf>
    <xf numFmtId="0" fontId="5" fillId="8" borderId="17" xfId="0" applyFont="1" applyFill="1" applyBorder="1" applyAlignment="1">
      <alignment horizontal="center"/>
    </xf>
    <xf numFmtId="0" fontId="5" fillId="8" borderId="18" xfId="0" applyFont="1" applyFill="1" applyBorder="1" applyAlignment="1">
      <alignment horizontal="center"/>
    </xf>
    <xf numFmtId="0" fontId="5" fillId="8" borderId="6" xfId="0" applyFont="1" applyFill="1" applyBorder="1" applyAlignment="1">
      <alignment horizontal="center"/>
    </xf>
    <xf numFmtId="0" fontId="5" fillId="8" borderId="7" xfId="0" applyFont="1" applyFill="1" applyBorder="1" applyAlignment="1">
      <alignment horizontal="center"/>
    </xf>
    <xf numFmtId="0" fontId="5" fillId="8" borderId="8" xfId="0" applyFont="1" applyFill="1" applyBorder="1" applyAlignment="1">
      <alignment horizontal="center"/>
    </xf>
    <xf numFmtId="0" fontId="13" fillId="0" borderId="16" xfId="0" applyFont="1" applyBorder="1" applyAlignment="1">
      <alignment vertical="center" wrapText="1"/>
    </xf>
    <xf numFmtId="0" fontId="13" fillId="0" borderId="13" xfId="0" applyFont="1" applyBorder="1" applyAlignment="1">
      <alignment vertical="center" wrapText="1"/>
    </xf>
    <xf numFmtId="0" fontId="14" fillId="0" borderId="13" xfId="0" applyFont="1" applyBorder="1" applyAlignment="1">
      <alignment vertical="center" wrapText="1"/>
    </xf>
    <xf numFmtId="0" fontId="14" fillId="0" borderId="15" xfId="0" applyFont="1" applyBorder="1" applyAlignment="1">
      <alignment vertical="center" wrapText="1"/>
    </xf>
    <xf numFmtId="0" fontId="14" fillId="0" borderId="16" xfId="0" applyFont="1" applyBorder="1" applyAlignment="1">
      <alignment vertical="center" wrapText="1"/>
    </xf>
  </cellXfs>
  <cellStyles count="3">
    <cellStyle name="Hyperlink" xfId="1" builtinId="8"/>
    <cellStyle name="Normal" xfId="0" builtinId="0"/>
    <cellStyle name="Normal 2" xfId="2" xr:uid="{EC83B25D-DBA3-40DC-BB1D-4A5E7BA1C495}"/>
  </cellStyles>
  <dxfs count="10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99FF66"/>
      <color rgb="FF7DE1DF"/>
      <color rgb="FFFF9966"/>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wvi.org/publications/report/cash-voucher-programming-compendium-indicators" TargetMode="External"/><Relationship Id="rId18" Type="http://schemas.openxmlformats.org/officeDocument/2006/relationships/hyperlink" Target="https://reliefweb.int/report/world/multipurpose-outcome-indicators-and-guidance" TargetMode="External"/><Relationship Id="rId26" Type="http://schemas.openxmlformats.org/officeDocument/2006/relationships/hyperlink" Target="https://docs.wfp.org/api/documents/WFP-0000139458/download/" TargetMode="External"/><Relationship Id="rId3" Type="http://schemas.openxmlformats.org/officeDocument/2006/relationships/hyperlink" Target="https://www.fao.org/nutrition/assessment/tools/household-dietary-diversity/en/" TargetMode="External"/><Relationship Id="rId21" Type="http://schemas.openxmlformats.org/officeDocument/2006/relationships/hyperlink" Target="https://www.wvi.org/publications/report/cash-voucher-programming-compendium-indicators" TargetMode="External"/><Relationship Id="rId34" Type="http://schemas.openxmlformats.org/officeDocument/2006/relationships/hyperlink" Target="https://www.wfp.org/publications/2020-fill-nutrient-gap" TargetMode="External"/><Relationship Id="rId7" Type="http://schemas.openxmlformats.org/officeDocument/2006/relationships/hyperlink" Target="https://www.wvi.org/publications/report/cash-voucher-programming-compendium-indicators" TargetMode="External"/><Relationship Id="rId12" Type="http://schemas.openxmlformats.org/officeDocument/2006/relationships/hyperlink" Target="https://reliefweb.int/report/world/multipurpose-outcome-indicators-and-guidance" TargetMode="External"/><Relationship Id="rId17" Type="http://schemas.openxmlformats.org/officeDocument/2006/relationships/hyperlink" Target="https://www.wvi.org/publications/report/cash-voucher-programming-compendium-indicators" TargetMode="External"/><Relationship Id="rId25" Type="http://schemas.openxmlformats.org/officeDocument/2006/relationships/hyperlink" Target="https://www.fantaproject.org/monitoring-and-evaluation/minimum-dietary-diversity-women-indicator-mddw" TargetMode="External"/><Relationship Id="rId33" Type="http://schemas.openxmlformats.org/officeDocument/2006/relationships/hyperlink" Target="https://www.wfp.org/publications/2020-fill-nutrient-gap" TargetMode="External"/><Relationship Id="rId2" Type="http://schemas.openxmlformats.org/officeDocument/2006/relationships/hyperlink" Target="https://ec.europa.eu/echo/files/policies/sectoral/dg_echo_protection_mainstreaming_indicator_-_technical_guidance.pdf" TargetMode="External"/><Relationship Id="rId16" Type="http://schemas.openxmlformats.org/officeDocument/2006/relationships/hyperlink" Target="https://www.wvi.org/publications/report/cash-voucher-programming-compendium-indicators" TargetMode="External"/><Relationship Id="rId20" Type="http://schemas.openxmlformats.org/officeDocument/2006/relationships/hyperlink" Target="https://www.fantaproject.org/monitoring-and-evaluation/household-food-insecurity-access-scale-hfias" TargetMode="External"/><Relationship Id="rId29" Type="http://schemas.openxmlformats.org/officeDocument/2006/relationships/hyperlink" Target="https://docs.wfp.org/api/documents/WFP-0000134704/download/" TargetMode="External"/><Relationship Id="rId1" Type="http://schemas.openxmlformats.org/officeDocument/2006/relationships/hyperlink" Target="https://www.wfp.org/publications/market-functionality-index-mfi" TargetMode="External"/><Relationship Id="rId6" Type="http://schemas.openxmlformats.org/officeDocument/2006/relationships/hyperlink" Target="https://reliefweb.int/report/world/multipurpose-outcome-indicators-and-guidance" TargetMode="External"/><Relationship Id="rId11" Type="http://schemas.openxmlformats.org/officeDocument/2006/relationships/hyperlink" Target="https://www.wvi.org/publications/report/cash-voucher-programming-compendium-indicators" TargetMode="External"/><Relationship Id="rId24" Type="http://schemas.openxmlformats.org/officeDocument/2006/relationships/hyperlink" Target="https://www.who.int/publications/i/item/9789240018389" TargetMode="External"/><Relationship Id="rId32" Type="http://schemas.openxmlformats.org/officeDocument/2006/relationships/hyperlink" Target="https://documents.wfp.org/stellent/groups/public/documents/manual_guide_proced/wfp277333.pdf?_ga=2.186203168.845855741.1677492973-133872602.1674826384" TargetMode="External"/><Relationship Id="rId5" Type="http://schemas.openxmlformats.org/officeDocument/2006/relationships/hyperlink" Target="https://www.sciencedirect.com/science/article/abs/pii/S0305750X14000278" TargetMode="External"/><Relationship Id="rId15" Type="http://schemas.openxmlformats.org/officeDocument/2006/relationships/hyperlink" Target="https://www.wvi.org/publications/report/cash-voucher-programming-compendium-indicators" TargetMode="External"/><Relationship Id="rId23" Type="http://schemas.openxmlformats.org/officeDocument/2006/relationships/hyperlink" Target="https://www.wvi.org/publications/report/cash-voucher-programming-compendium-indicators" TargetMode="External"/><Relationship Id="rId28" Type="http://schemas.openxmlformats.org/officeDocument/2006/relationships/hyperlink" Target="https://documents.wfp.org/stellent/groups/public/documents/manual_guide_proced/wfp277333.pdf?_ga=2.186203168.845855741.1677492973-133872602.1674826384" TargetMode="External"/><Relationship Id="rId10" Type="http://schemas.openxmlformats.org/officeDocument/2006/relationships/hyperlink" Target="https://reliefweb.int/report/world/multipurpose-outcome-indicators-and-guidance" TargetMode="External"/><Relationship Id="rId19" Type="http://schemas.openxmlformats.org/officeDocument/2006/relationships/hyperlink" Target="https://reliefweb.int/report/world/multipurpose-outcome-indicators-and-guidance" TargetMode="External"/><Relationship Id="rId31" Type="http://schemas.openxmlformats.org/officeDocument/2006/relationships/hyperlink" Target="https://www.wfp.org/publications/market-functionality-index-mfi" TargetMode="External"/><Relationship Id="rId4" Type="http://schemas.openxmlformats.org/officeDocument/2006/relationships/hyperlink" Target="https://www.sciencedirect.com/science/article/abs/pii/S0305750X14000278" TargetMode="External"/><Relationship Id="rId9" Type="http://schemas.openxmlformats.org/officeDocument/2006/relationships/hyperlink" Target="https://www.wvi.org/publications/report/cash-voucher-programming-compendium-indicators" TargetMode="External"/><Relationship Id="rId14" Type="http://schemas.openxmlformats.org/officeDocument/2006/relationships/hyperlink" Target="https://reliefweb.int/report/world/multipurpose-outcome-indicators-and-guidance" TargetMode="External"/><Relationship Id="rId22" Type="http://schemas.openxmlformats.org/officeDocument/2006/relationships/hyperlink" Target="https://www.wvi.org/publications/report/cash-voucher-programming-compendium-indicators" TargetMode="External"/><Relationship Id="rId27" Type="http://schemas.openxmlformats.org/officeDocument/2006/relationships/hyperlink" Target="https://www.wfp.org/publications/2020-fill-nutrient-gap" TargetMode="External"/><Relationship Id="rId30" Type="http://schemas.openxmlformats.org/officeDocument/2006/relationships/hyperlink" Target="https://resources.vam.wfp.org/data-analysis/quantitative/essential-needs/livelihood-coping-strategies-essential-needs" TargetMode="External"/><Relationship Id="rId35" Type="http://schemas.openxmlformats.org/officeDocument/2006/relationships/printerSettings" Target="../printerSettings/printerSettings1.bin"/><Relationship Id="rId8" Type="http://schemas.openxmlformats.org/officeDocument/2006/relationships/hyperlink" Target="https://reliefweb.int/report/world/multipurpose-outcome-indicators-and-guidanc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fantaproject.org/monitoring-and-evaluation/minimum-dietary-diversity-women-indicator-mddw" TargetMode="External"/><Relationship Id="rId18" Type="http://schemas.openxmlformats.org/officeDocument/2006/relationships/hyperlink" Target="https://www.wfp.org/publications/fill-nutrient-gap-and-minimum-expenditure-basket" TargetMode="External"/><Relationship Id="rId26" Type="http://schemas.openxmlformats.org/officeDocument/2006/relationships/hyperlink" Target="https://pubmed.ncbi.nlm.nih.gov/26354536/" TargetMode="External"/><Relationship Id="rId39" Type="http://schemas.openxmlformats.org/officeDocument/2006/relationships/hyperlink" Target="https://www.wvi.org/publications/report/cash-voucher-programming-compendium-indicators" TargetMode="External"/><Relationship Id="rId21" Type="http://schemas.openxmlformats.org/officeDocument/2006/relationships/hyperlink" Target="https://www.advancingnutrition.org/resources/behaviors-improve-nutrition" TargetMode="External"/><Relationship Id="rId34" Type="http://schemas.openxmlformats.org/officeDocument/2006/relationships/hyperlink" Target="https://reliefweb.int/report/world/multipurpose-outcome-indicators-and-guidance" TargetMode="External"/><Relationship Id="rId42" Type="http://schemas.openxmlformats.org/officeDocument/2006/relationships/hyperlink" Target="https://www.wvi.org/publications/report/cash-voucher-programming-compendium-indicators" TargetMode="External"/><Relationship Id="rId47" Type="http://schemas.openxmlformats.org/officeDocument/2006/relationships/hyperlink" Target="https://linkinghub.elsevier.com/retrieve/pii/S0261561415000758" TargetMode="External"/><Relationship Id="rId50" Type="http://schemas.openxmlformats.org/officeDocument/2006/relationships/hyperlink" Target="https://documents.wfp.org/stellent/groups/public/documents/manual_guide_proced/wfp277333.pdf?_ga=2.186203168.845855741.1677492973-133872602.1674826384" TargetMode="External"/><Relationship Id="rId7" Type="http://schemas.openxmlformats.org/officeDocument/2006/relationships/hyperlink" Target="https://www.fao.org/nutrition/assessment/tools/household-dietary-diversity/en/" TargetMode="External"/><Relationship Id="rId2" Type="http://schemas.openxmlformats.org/officeDocument/2006/relationships/hyperlink" Target="https://www.sciencedirect.com/science/article/abs/pii/S0305750X14000278" TargetMode="External"/><Relationship Id="rId16" Type="http://schemas.openxmlformats.org/officeDocument/2006/relationships/hyperlink" Target="https://www.fantaproject.org/monitoring-and-evaluation/minimum-dietary-diversity-women-indicator-mddw" TargetMode="External"/><Relationship Id="rId29" Type="http://schemas.openxmlformats.org/officeDocument/2006/relationships/hyperlink" Target="https://pubmed.ncbi.nlm.nih.gov/26354536/" TargetMode="External"/><Relationship Id="rId11" Type="http://schemas.openxmlformats.org/officeDocument/2006/relationships/hyperlink" Target="https://www.who.int/publications/i/item/9789240018389" TargetMode="External"/><Relationship Id="rId24" Type="http://schemas.openxmlformats.org/officeDocument/2006/relationships/hyperlink" Target="https://www.who.int/publications/i/item/9789240018389" TargetMode="External"/><Relationship Id="rId32" Type="http://schemas.openxmlformats.org/officeDocument/2006/relationships/hyperlink" Target="https://www.wvi.org/publications/report/cash-voucher-programming-compendium-indicators" TargetMode="External"/><Relationship Id="rId37" Type="http://schemas.openxmlformats.org/officeDocument/2006/relationships/hyperlink" Target="https://www.wvi.org/publications/report/cash-voucher-programming-compendium-indicators" TargetMode="External"/><Relationship Id="rId40" Type="http://schemas.openxmlformats.org/officeDocument/2006/relationships/hyperlink" Target="https://www.wvi.org/publications/report/cash-voucher-programming-compendium-indicators" TargetMode="External"/><Relationship Id="rId45" Type="http://schemas.openxmlformats.org/officeDocument/2006/relationships/hyperlink" Target="https://documents.wfp.org/stellent/groups/public/documents/manual_guide_proced/wfp277333.pdf?_ga=2.186203168.845855741.1677492973-133872602.1674826384" TargetMode="External"/><Relationship Id="rId53" Type="http://schemas.openxmlformats.org/officeDocument/2006/relationships/hyperlink" Target="https://www.who.int/publications/i/item/9789240018389" TargetMode="External"/><Relationship Id="rId5" Type="http://schemas.openxmlformats.org/officeDocument/2006/relationships/hyperlink" Target="https://reliefweb.int/report/world/multipurpose-outcome-indicators-and-guidance" TargetMode="External"/><Relationship Id="rId10" Type="http://schemas.openxmlformats.org/officeDocument/2006/relationships/hyperlink" Target="https://www.fao.org/nutrition/assessment/tools/household-dietary-diversity/en/" TargetMode="External"/><Relationship Id="rId19" Type="http://schemas.openxmlformats.org/officeDocument/2006/relationships/hyperlink" Target="https://www.wfp.org/publications/fill-nutrient-gap-and-minimum-expenditure-basket" TargetMode="External"/><Relationship Id="rId31" Type="http://schemas.openxmlformats.org/officeDocument/2006/relationships/hyperlink" Target="https://reliefweb.int/report/world/multipurpose-outcome-indicators-and-guidance" TargetMode="External"/><Relationship Id="rId44" Type="http://schemas.openxmlformats.org/officeDocument/2006/relationships/hyperlink" Target="https://docs.wfp.org/api/documents/WFP-0000134704/download/" TargetMode="External"/><Relationship Id="rId52" Type="http://schemas.openxmlformats.org/officeDocument/2006/relationships/hyperlink" Target="https://documents.wfp.org/stellent/groups/public/documents/manual_guide_proced/wfp277333.pdf?_ga=2.186203168.845855741.1677492973-133872602.1674826384" TargetMode="External"/><Relationship Id="rId4" Type="http://schemas.openxmlformats.org/officeDocument/2006/relationships/hyperlink" Target="https://ec.europa.eu/echo/files/policies/sectoral/dg_echo_protection_mainstreaming_indicator_-_technical_guidance.pdf" TargetMode="External"/><Relationship Id="rId9" Type="http://schemas.openxmlformats.org/officeDocument/2006/relationships/hyperlink" Target="https://www.fantaproject.org/monitoring-and-evaluation/household-food-insecurity-access-scale-hfias" TargetMode="External"/><Relationship Id="rId14" Type="http://schemas.openxmlformats.org/officeDocument/2006/relationships/hyperlink" Target="https://www.fantaproject.org/monitoring-and-evaluation/minimum-dietary-diversity-women-indicator-mddw" TargetMode="External"/><Relationship Id="rId22" Type="http://schemas.openxmlformats.org/officeDocument/2006/relationships/hyperlink" Target="https://www.advancingnutrition.org/resources/measuring-social-and-behavior-change-nutrition-programs-guide-evaluators" TargetMode="External"/><Relationship Id="rId27" Type="http://schemas.openxmlformats.org/officeDocument/2006/relationships/hyperlink" Target="https://pubmed.ncbi.nlm.nih.gov/26354536/" TargetMode="External"/><Relationship Id="rId30" Type="http://schemas.openxmlformats.org/officeDocument/2006/relationships/hyperlink" Target="../../../../../../../../../../CRF2022-2025/CRF%20Outcome%20indicators/Forms/AllItems.aspx" TargetMode="External"/><Relationship Id="rId35" Type="http://schemas.openxmlformats.org/officeDocument/2006/relationships/hyperlink" Target="https://www.wvi.org/publications/report/cash-voucher-programming-compendium-indicators" TargetMode="External"/><Relationship Id="rId43" Type="http://schemas.openxmlformats.org/officeDocument/2006/relationships/hyperlink" Target="https://www.wvi.org/publications/report/cash-voucher-programming-compendium-indicators" TargetMode="External"/><Relationship Id="rId48" Type="http://schemas.openxmlformats.org/officeDocument/2006/relationships/hyperlink" Target="https://www.wfp.org/seasonal-and-agricultural-monitoring" TargetMode="External"/><Relationship Id="rId8" Type="http://schemas.openxmlformats.org/officeDocument/2006/relationships/hyperlink" Target="https://reliefweb.int/report/world/multipurpose-outcome-indicators-and-guidance" TargetMode="External"/><Relationship Id="rId51" Type="http://schemas.openxmlformats.org/officeDocument/2006/relationships/hyperlink" Target="https://reliefweb.int/report/world/multipurpose-outcome-indicators-and-guidance" TargetMode="External"/><Relationship Id="rId3" Type="http://schemas.openxmlformats.org/officeDocument/2006/relationships/hyperlink" Target="https://www.sciencedirect.com/science/article/abs/pii/S0305750X14000278" TargetMode="External"/><Relationship Id="rId12" Type="http://schemas.openxmlformats.org/officeDocument/2006/relationships/hyperlink" Target="https://www.who.int/publications/i/item/9789240018389" TargetMode="External"/><Relationship Id="rId17" Type="http://schemas.openxmlformats.org/officeDocument/2006/relationships/hyperlink" Target="https://www.who.int/publications/i/item/9789240018389" TargetMode="External"/><Relationship Id="rId25" Type="http://schemas.openxmlformats.org/officeDocument/2006/relationships/hyperlink" Target="https://www.who.int/publications/i/item/9789240018389" TargetMode="External"/><Relationship Id="rId33" Type="http://schemas.openxmlformats.org/officeDocument/2006/relationships/hyperlink" Target="https://www.wfp.org/publications/market-functionality-index-mfi" TargetMode="External"/><Relationship Id="rId38" Type="http://schemas.openxmlformats.org/officeDocument/2006/relationships/hyperlink" Target="https://reliefweb.int/report/world/multipurpose-outcome-indicators-and-guidance" TargetMode="External"/><Relationship Id="rId46" Type="http://schemas.openxmlformats.org/officeDocument/2006/relationships/hyperlink" Target="https://documents.wfp.org/stellent/groups/public/documents/manual_guide_proced/wfp277333.pdf?_ga=2.186203168.845855741.1677492973-133872602.1674826384" TargetMode="External"/><Relationship Id="rId20" Type="http://schemas.openxmlformats.org/officeDocument/2006/relationships/hyperlink" Target="https://www.advancingnutrition.org/resources/measuring-social-and-behavior-change-nutrition-programs-guide-evaluators" TargetMode="External"/><Relationship Id="rId41" Type="http://schemas.openxmlformats.org/officeDocument/2006/relationships/hyperlink" Target="https://www.wvi.org/publications/report/cash-voucher-programming-compendium-indicators" TargetMode="External"/><Relationship Id="rId54" Type="http://schemas.openxmlformats.org/officeDocument/2006/relationships/printerSettings" Target="../printerSettings/printerSettings2.bin"/><Relationship Id="rId1" Type="http://schemas.openxmlformats.org/officeDocument/2006/relationships/hyperlink" Target="https://www.fao.org/nutrition/assessment/tools/household-dietary-diversity/en/" TargetMode="External"/><Relationship Id="rId6" Type="http://schemas.openxmlformats.org/officeDocument/2006/relationships/hyperlink" Target="https://reliefweb.int/report/world/multipurpose-outcome-indicators-and-guidance" TargetMode="External"/><Relationship Id="rId15" Type="http://schemas.openxmlformats.org/officeDocument/2006/relationships/hyperlink" Target="https://www.fantaproject.org/monitoring-and-evaluation/minimum-dietary-diversity-women-indicator-mddw" TargetMode="External"/><Relationship Id="rId23" Type="http://schemas.openxmlformats.org/officeDocument/2006/relationships/hyperlink" Target="https://www.advancingnutrition.org/resources/measuring-social-and-behavior-change-nutrition-programs-guide-evaluators" TargetMode="External"/><Relationship Id="rId28" Type="http://schemas.openxmlformats.org/officeDocument/2006/relationships/hyperlink" Target="https://pubmed.ncbi.nlm.nih.gov/26354536/" TargetMode="External"/><Relationship Id="rId36" Type="http://schemas.openxmlformats.org/officeDocument/2006/relationships/hyperlink" Target="https://reliefweb.int/report/world/multipurpose-outcome-indicators-and-guidance" TargetMode="External"/><Relationship Id="rId49" Type="http://schemas.openxmlformats.org/officeDocument/2006/relationships/hyperlink" Target="https://www.who.int/publications/i/item/9789240018389"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who.int/publications/i/item/9241593512" TargetMode="External"/><Relationship Id="rId13" Type="http://schemas.openxmlformats.org/officeDocument/2006/relationships/hyperlink" Target="https://wfp.sharepoint.com/sites/CRF2022-2025/CRF%20Programmatic%20indicators/A/7.pdf?csf=1&amp;web=1&amp;e=ISd1o4&amp;cid=0f2be57d-cf63-4ac4-9b25-b64c31f98819" TargetMode="External"/><Relationship Id="rId3" Type="http://schemas.openxmlformats.org/officeDocument/2006/relationships/hyperlink" Target="https://dhsprogram.com/data/Guide-to-DHS-Statistics/Participation_in_Decision_Making.htm" TargetMode="External"/><Relationship Id="rId7" Type="http://schemas.openxmlformats.org/officeDocument/2006/relationships/hyperlink" Target="https://www.who.int/publications/i/item/9241593512" TargetMode="External"/><Relationship Id="rId12" Type="http://schemas.openxmlformats.org/officeDocument/2006/relationships/hyperlink" Target="https://data.unicef.org/resources/data_explorer/unicef_f/?ag=UNICEF&amp;df=GLOBAL_DATAFLOW&amp;ver=1.0&amp;dq=.MNCH_INSTDEL+MNCH_CSEC+MNCH_SAB+MNCH_BIRTH18..&amp;startPeriod=2016&amp;endPeriod=2022" TargetMode="External"/><Relationship Id="rId2" Type="http://schemas.openxmlformats.org/officeDocument/2006/relationships/hyperlink" Target="https://dhsprogram.com/data/Guide-to-DHS-Statistics/Participation_in_Decision_Making.htm" TargetMode="External"/><Relationship Id="rId1" Type="http://schemas.openxmlformats.org/officeDocument/2006/relationships/hyperlink" Target="https://www.who.int/publications/i/item/9241593512" TargetMode="External"/><Relationship Id="rId6" Type="http://schemas.openxmlformats.org/officeDocument/2006/relationships/hyperlink" Target="https://www.who.int/news-room/fact-sheets/detail/adolescent-pregnancy" TargetMode="External"/><Relationship Id="rId11" Type="http://schemas.openxmlformats.org/officeDocument/2006/relationships/hyperlink" Target="https://www.who.int/publications/i/item/9241593512" TargetMode="External"/><Relationship Id="rId5" Type="http://schemas.openxmlformats.org/officeDocument/2006/relationships/hyperlink" Target="https://journals.plos.org/plosone/article?id=10.1371/journal.pone.0209985" TargetMode="External"/><Relationship Id="rId10" Type="http://schemas.openxmlformats.org/officeDocument/2006/relationships/hyperlink" Target="https://www.who.int/publications/i/item/9241593512" TargetMode="External"/><Relationship Id="rId4" Type="http://schemas.openxmlformats.org/officeDocument/2006/relationships/hyperlink" Target="https://journals.plos.org/plosone/article?id=10.1371/journal.pone.0209985" TargetMode="External"/><Relationship Id="rId9" Type="http://schemas.openxmlformats.org/officeDocument/2006/relationships/hyperlink" Target="https://www.who.int/publications/i/item/9241593512" TargetMode="External"/><Relationship Id="rId1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www.spherestandards.org/handbook" TargetMode="External"/><Relationship Id="rId13" Type="http://schemas.openxmlformats.org/officeDocument/2006/relationships/hyperlink" Target="http://www.spherestandards.org/handbook" TargetMode="External"/><Relationship Id="rId3" Type="http://schemas.openxmlformats.org/officeDocument/2006/relationships/hyperlink" Target="https://washdata.org/monitoring/methods" TargetMode="External"/><Relationship Id="rId7" Type="http://schemas.openxmlformats.org/officeDocument/2006/relationships/hyperlink" Target="https://reliefweb.int/report/world/wash-indicators-and-activities-guideline-regional-monitoring" TargetMode="External"/><Relationship Id="rId12" Type="http://schemas.openxmlformats.org/officeDocument/2006/relationships/hyperlink" Target="http://www.spherestandards.org/handbook" TargetMode="External"/><Relationship Id="rId2" Type="http://schemas.openxmlformats.org/officeDocument/2006/relationships/hyperlink" Target="https://washdata.org/monitoring/methods" TargetMode="External"/><Relationship Id="rId1" Type="http://schemas.openxmlformats.org/officeDocument/2006/relationships/hyperlink" Target="https://washdata.org/monitoring/methods" TargetMode="External"/><Relationship Id="rId6" Type="http://schemas.openxmlformats.org/officeDocument/2006/relationships/hyperlink" Target="https://reliefweb.int/report/world/wash-indicators-and-activities-guideline-regional-monitoring" TargetMode="External"/><Relationship Id="rId11" Type="http://schemas.openxmlformats.org/officeDocument/2006/relationships/hyperlink" Target="http://www.spherestandards.org/handbook" TargetMode="External"/><Relationship Id="rId5" Type="http://schemas.openxmlformats.org/officeDocument/2006/relationships/hyperlink" Target="https://reliefweb.int/report/world/wash-indicators-and-activities-guideline-regional-monitoring" TargetMode="External"/><Relationship Id="rId15" Type="http://schemas.openxmlformats.org/officeDocument/2006/relationships/printerSettings" Target="../printerSettings/printerSettings5.bin"/><Relationship Id="rId10" Type="http://schemas.openxmlformats.org/officeDocument/2006/relationships/hyperlink" Target="http://www.spherestandards.org/handbook" TargetMode="External"/><Relationship Id="rId4" Type="http://schemas.openxmlformats.org/officeDocument/2006/relationships/hyperlink" Target="https://reliefweb.int/report/world/wash-indicators-and-activities-guideline-regional-monitoring" TargetMode="External"/><Relationship Id="rId9" Type="http://schemas.openxmlformats.org/officeDocument/2006/relationships/hyperlink" Target="http://www.spherestandards.org/handbook" TargetMode="External"/><Relationship Id="rId14" Type="http://schemas.openxmlformats.org/officeDocument/2006/relationships/hyperlink" Target="http://www.spherestandards.org/handboo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ata.unicef.org/resources/data_explorer/unicef_f/?ag=UNICEF&amp;df=GLOBAL_DATAFLOW&amp;ver=1.0&amp;dq=.MNCH_IPTP+MNCH_ITN+MNCH_ITN2+MNCH_ITNOWN+MNCH_ITNPREG+MNCH_MLRACT+MNCH_MLRCARE+MNCH_MLRDIAG..&amp;startPeriod=2016&amp;endPeriod=2022" TargetMode="External"/><Relationship Id="rId13" Type="http://schemas.openxmlformats.org/officeDocument/2006/relationships/hyperlink" Target="https://data.unicef.org/resources/data_explorer/unicef_f/?ag=UNICEF&amp;df=GLOBAL_DATAFLOW&amp;ver=1.0&amp;dq=.MNCH_IPTP+MNCH_ITN+MNCH_ITN2+MNCH_ITNOWN+MNCH_ITNPREG+MNCH_MLRACT+MNCH_MLRCARE+MNCH_MLRDIAG..&amp;startPeriod=2016&amp;endPeriod=2022" TargetMode="External"/><Relationship Id="rId18" Type="http://schemas.openxmlformats.org/officeDocument/2006/relationships/hyperlink" Target="https://data.unicef.org/topic/hiv-aids/" TargetMode="External"/><Relationship Id="rId3" Type="http://schemas.openxmlformats.org/officeDocument/2006/relationships/hyperlink" Target="https://data.unicef.org/resources/data_explorer/unicef_f/?ag=UNICEF&amp;df=GLOBAL_DATAFLOW&amp;ver=1.0&amp;dq=.MNCH_ANC1+MNCH_ANC4..&amp;startPeriod=2016&amp;endPeriod=2022" TargetMode="External"/><Relationship Id="rId21" Type="http://schemas.openxmlformats.org/officeDocument/2006/relationships/printerSettings" Target="../printerSettings/printerSettings6.bin"/><Relationship Id="rId7" Type="http://schemas.openxmlformats.org/officeDocument/2006/relationships/hyperlink" Target="https://data.unicef.org/resources/data_explorer/unicef_f/?ag=UNICEF&amp;df=GLOBAL_DATAFLOW&amp;ver=1.0&amp;dq=.MNCH_PNCNB+MNCH_PNCMOM+MNCH_INSTDEL..&amp;startPeriod=2016&amp;endPeriod=2022" TargetMode="External"/><Relationship Id="rId12" Type="http://schemas.openxmlformats.org/officeDocument/2006/relationships/hyperlink" Target="http://dx.doi.org/10.1002/14651858.CD008137" TargetMode="External"/><Relationship Id="rId17" Type="http://schemas.openxmlformats.org/officeDocument/2006/relationships/hyperlink" Target="https://www.who.int/teams/global-tuberculosis-programme/data" TargetMode="External"/><Relationship Id="rId2" Type="http://schemas.openxmlformats.org/officeDocument/2006/relationships/hyperlink" Target="https://data.unicef.org/resources/data_explorer/unicef_f/?ag=UNICEF&amp;df=GLOBAL_DATAFLOW&amp;ver=1.0&amp;dq=.MNCH_IPTP..&amp;startPeriod=2015&amp;endPeriod=2018" TargetMode="External"/><Relationship Id="rId16" Type="http://schemas.openxmlformats.org/officeDocument/2006/relationships/hyperlink" Target="https://www.who.int/teams/global-tuberculosis-programme/data" TargetMode="External"/><Relationship Id="rId20" Type="http://schemas.openxmlformats.org/officeDocument/2006/relationships/hyperlink" Target="https://data.unicef.org/topic/hiv-aids/" TargetMode="External"/><Relationship Id="rId1" Type="http://schemas.openxmlformats.org/officeDocument/2006/relationships/hyperlink" Target="https://data.unicef.org/resources/data_explorer/unicef_f/?ag=UNICEF&amp;df=GLOBAL_DATAFLOW&amp;ver=1.0&amp;dq=.MNCH_ANC1+MNCH_ANC4..&amp;startPeriod=2016&amp;endPeriod=2022" TargetMode="External"/><Relationship Id="rId6" Type="http://schemas.openxmlformats.org/officeDocument/2006/relationships/hyperlink" Target="https://data.unicef.org/resources/data_explorer/unicef_f/?ag=UNICEF&amp;df=GLOBAL_DATAFLOW&amp;ver=1.0&amp;dq=.MNCH_PNCNB+MNCH_PNCMOM+MNCH_INSTDEL..&amp;startPeriod=2016&amp;endPeriod=2022" TargetMode="External"/><Relationship Id="rId11" Type="http://schemas.openxmlformats.org/officeDocument/2006/relationships/hyperlink" Target="https://data.unicef.org/resources/data_explorer/unicef_f/?ag=UNICEF&amp;df=GLOBAL_DATAFLOW&amp;ver=1.0&amp;dq=.IM_BCG+IMMUNISATION+IM_DTP1+IM_DTP3+IM_HEPB3+IM_HEPBB+IM_HIB3+IM_IPV1+IM_MCV1+IM_MCV2+IM_PCV3+IM_POL3+IM_RCV1+IM_ROTAC+IM_YFV..&amp;startPeriod=2010&amp;endPeriod=2020&amp;lastnobservations=1" TargetMode="External"/><Relationship Id="rId5" Type="http://schemas.openxmlformats.org/officeDocument/2006/relationships/hyperlink" Target="https://data.unicef.org/resources/data_explorer/unicef_f/?ag=UNICEF&amp;df=GLOBAL_DATAFLOW&amp;ver=1.0&amp;dq=.MNCH_INSTDEL+MNCH_CSEC+MNCH_SAB+MNCH_BIRTH18..&amp;startPeriod=2016&amp;endPeriod=2022" TargetMode="External"/><Relationship Id="rId15" Type="http://schemas.openxmlformats.org/officeDocument/2006/relationships/hyperlink" Target="https://data.unicef.org/resources/data_explorer/unicef_f/?ag=UNICEF&amp;df=GLOBAL_DATAFLOW&amp;ver=1.0&amp;dq=.HVA_PREV_KNOW+HVA_PREV_TEST_RES+HVA_EPI_DTH_RT+HVA_EPI_INF_RT+HVA_PREV_CNDM_MULT+HVA_PREV_KNOW_TEST+HVA_PREV_CNDM_REG..&amp;startPeriod=2016&amp;endPeriod=2019" TargetMode="External"/><Relationship Id="rId10" Type="http://schemas.openxmlformats.org/officeDocument/2006/relationships/hyperlink" Target="https://data.unicef.org/resources/data_explorer/unicef_f/?ag=UNICEF&amp;df=GLOBAL_DATAFLOW&amp;ver=1.0&amp;dq=.IM_BCG+IMMUNISATION+IM_DTP1+IM_DTP3+IM_HEPB3+IM_HEPBB+IM_HIB3+IM_IPV1+IM_MCV1+IM_MCV2+IM_PCV3+IM_POL3+IM_RCV1+IM_ROTAC+IM_YFV..&amp;startPeriod=2010&amp;endPeriod=2020&amp;lastnobservations=1" TargetMode="External"/><Relationship Id="rId19" Type="http://schemas.openxmlformats.org/officeDocument/2006/relationships/hyperlink" Target="https://www.cdc.gov/hiv/clinicians/treatment/art-adherence.html" TargetMode="External"/><Relationship Id="rId4" Type="http://schemas.openxmlformats.org/officeDocument/2006/relationships/hyperlink" Target="https://data.unicef.org/resources/data_explorer/unicef_f/?ag=UNICEF&amp;df=GLOBAL_DATAFLOW&amp;ver=1.0&amp;dq=.MNCH_INSTDEL+MNCH_CSEC+MNCH_SAB+MNCH_BIRTH18..&amp;startPeriod=2016&amp;endPeriod=2022" TargetMode="External"/><Relationship Id="rId9" Type="http://schemas.openxmlformats.org/officeDocument/2006/relationships/hyperlink" Target="https://data.unicef.org/resources/data_explorer/unicef_f/?ag=UNICEF&amp;df=GLOBAL_DATAFLOW&amp;ver=1.0&amp;dq=.IM_BCG+IMMUNISATION+IM_DTP1+IM_DTP3+IM_HEPB3+IM_HEPBB+IM_HIB3+IM_IPV1+IM_MCV1+IM_MCV2+IM_PCV3+IM_POL3+IM_RCV1+IM_ROTAC+IM_YFV..&amp;startPeriod=2010&amp;endPeriod=2020&amp;lastnobservations=1" TargetMode="External"/><Relationship Id="rId14" Type="http://schemas.openxmlformats.org/officeDocument/2006/relationships/hyperlink" Target="https://data.unicef.org/resources/data_explorer/unicef_f/?ag=UNICEF&amp;df=GLOBAL_DATAFLOW&amp;ver=1.0&amp;dq=.HVA_PREV_KNOW+HVA_PREV_TEST_RES+HVA_EPI_DTH_RT+HVA_EPI_INF_RT+HVA_PREV_CNDM_MULT+HVA_PREV_KNOW_TEST+HVA_PREV_CNDM_REG..&amp;startPeriod=2016&amp;endPeriod=2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topLeftCell="A11" workbookViewId="0">
      <selection activeCell="A16" sqref="A16"/>
    </sheetView>
  </sheetViews>
  <sheetFormatPr defaultColWidth="8.7109375" defaultRowHeight="14.45"/>
  <cols>
    <col min="1" max="1" width="31.42578125" customWidth="1"/>
    <col min="2" max="2" width="47.7109375" customWidth="1"/>
  </cols>
  <sheetData>
    <row r="1" spans="1:2" ht="15" thickBot="1">
      <c r="A1" s="12" t="s">
        <v>0</v>
      </c>
      <c r="B1" s="13" t="s">
        <v>1</v>
      </c>
    </row>
    <row r="2" spans="1:2" ht="29.45" thickBot="1">
      <c r="A2" s="14" t="s">
        <v>2</v>
      </c>
      <c r="B2" s="15" t="s">
        <v>3</v>
      </c>
    </row>
    <row r="3" spans="1:2" ht="58.5" thickBot="1">
      <c r="A3" s="16" t="s">
        <v>4</v>
      </c>
      <c r="B3" s="15" t="s">
        <v>5</v>
      </c>
    </row>
    <row r="4" spans="1:2" ht="87.6" thickBot="1">
      <c r="A4" s="16" t="s">
        <v>6</v>
      </c>
      <c r="B4" s="15" t="s">
        <v>7</v>
      </c>
    </row>
    <row r="5" spans="1:2" ht="44.1" thickBot="1">
      <c r="A5" s="17" t="s">
        <v>8</v>
      </c>
      <c r="B5" s="15" t="s">
        <v>9</v>
      </c>
    </row>
    <row r="6" spans="1:2" ht="29.45" thickBot="1">
      <c r="A6" s="16" t="s">
        <v>10</v>
      </c>
      <c r="B6" s="15" t="s">
        <v>11</v>
      </c>
    </row>
    <row r="7" spans="1:2" ht="29.45" thickBot="1">
      <c r="A7" s="16" t="s">
        <v>12</v>
      </c>
      <c r="B7" s="15" t="s">
        <v>13</v>
      </c>
    </row>
    <row r="8" spans="1:2" ht="72.95" thickBot="1">
      <c r="A8" s="17" t="s">
        <v>14</v>
      </c>
      <c r="B8" s="15" t="s">
        <v>15</v>
      </c>
    </row>
    <row r="9" spans="1:2" ht="44.1" thickBot="1">
      <c r="A9" s="16" t="s">
        <v>16</v>
      </c>
      <c r="B9" s="15" t="s">
        <v>17</v>
      </c>
    </row>
    <row r="10" spans="1:2" ht="72.95" thickBot="1">
      <c r="A10" s="16" t="s">
        <v>18</v>
      </c>
      <c r="B10" s="15" t="s">
        <v>19</v>
      </c>
    </row>
    <row r="11" spans="1:2" ht="102" thickBot="1">
      <c r="A11" s="16" t="s">
        <v>20</v>
      </c>
      <c r="B11" s="15" t="s">
        <v>21</v>
      </c>
    </row>
    <row r="12" spans="1:2" ht="58.5" thickBot="1">
      <c r="A12" s="17" t="s">
        <v>22</v>
      </c>
      <c r="B12" s="15" t="s">
        <v>23</v>
      </c>
    </row>
    <row r="13" spans="1:2" ht="44.1" thickBot="1">
      <c r="A13" s="16" t="s">
        <v>24</v>
      </c>
      <c r="B13" s="17" t="s">
        <v>25</v>
      </c>
    </row>
    <row r="14" spans="1:2" ht="44.1" thickBot="1">
      <c r="A14" s="16" t="s">
        <v>26</v>
      </c>
      <c r="B14" s="17" t="s">
        <v>27</v>
      </c>
    </row>
    <row r="16" spans="1:2">
      <c r="A16" s="92"/>
      <c r="B16"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pageSetUpPr fitToPage="1"/>
  </sheetPr>
  <dimension ref="B1:T49"/>
  <sheetViews>
    <sheetView showGridLines="0" tabSelected="1" view="pageBreakPreview" zoomScale="70" zoomScaleNormal="40" zoomScaleSheetLayoutView="70" workbookViewId="0">
      <pane ySplit="2" topLeftCell="A38" activePane="bottomLeft" state="frozen"/>
      <selection pane="bottomLeft" activeCell="D36" sqref="D36"/>
      <selection activeCell="E1" sqref="E1"/>
    </sheetView>
  </sheetViews>
  <sheetFormatPr defaultColWidth="8.7109375" defaultRowHeight="14.45"/>
  <cols>
    <col min="1" max="1" width="2.5703125" customWidth="1"/>
    <col min="2" max="2" width="10.5703125" style="50" customWidth="1"/>
    <col min="3" max="3" width="12.5703125" customWidth="1"/>
    <col min="4" max="4" width="8.42578125" customWidth="1"/>
    <col min="5" max="5" width="5.28515625" customWidth="1"/>
    <col min="6" max="8" width="13.42578125" customWidth="1"/>
    <col min="9" max="9" width="36.7109375" customWidth="1"/>
    <col min="10" max="10" width="30" customWidth="1"/>
    <col min="11" max="11" width="17" customWidth="1"/>
    <col min="12" max="12" width="16.5703125" customWidth="1"/>
    <col min="13" max="13" width="13.140625" style="19" customWidth="1"/>
    <col min="14" max="14" width="20.42578125" style="19" customWidth="1"/>
    <col min="15" max="15" width="20.42578125" customWidth="1"/>
    <col min="16" max="17" width="13.85546875" customWidth="1"/>
    <col min="18" max="20" width="29.42578125" customWidth="1"/>
  </cols>
  <sheetData>
    <row r="1" spans="2:20">
      <c r="B1" s="104" t="s">
        <v>29</v>
      </c>
      <c r="C1" s="104"/>
      <c r="D1" s="104"/>
      <c r="E1" s="104"/>
      <c r="F1" s="104"/>
      <c r="G1" s="104"/>
      <c r="H1" s="104"/>
      <c r="I1" s="104"/>
      <c r="J1" s="104"/>
      <c r="K1" s="104"/>
      <c r="L1" s="104"/>
      <c r="M1" s="104"/>
      <c r="N1" s="104"/>
      <c r="O1" s="104"/>
      <c r="P1" s="105"/>
      <c r="Q1" s="56"/>
      <c r="R1" s="101" t="s">
        <v>30</v>
      </c>
      <c r="S1" s="102"/>
      <c r="T1" s="103"/>
    </row>
    <row r="2" spans="2:20" s="1" customFormat="1" ht="34.5">
      <c r="B2" s="65" t="s">
        <v>31</v>
      </c>
      <c r="C2" s="7" t="s">
        <v>2</v>
      </c>
      <c r="D2" s="8" t="s">
        <v>4</v>
      </c>
      <c r="E2" s="8" t="s">
        <v>6</v>
      </c>
      <c r="F2" s="8" t="s">
        <v>32</v>
      </c>
      <c r="G2" s="8" t="s">
        <v>33</v>
      </c>
      <c r="H2" s="8" t="s">
        <v>34</v>
      </c>
      <c r="I2" s="6" t="s">
        <v>10</v>
      </c>
      <c r="J2" s="6" t="s">
        <v>35</v>
      </c>
      <c r="K2" s="6" t="s">
        <v>36</v>
      </c>
      <c r="L2" s="6" t="s">
        <v>37</v>
      </c>
      <c r="M2" s="6" t="s">
        <v>16</v>
      </c>
      <c r="N2" s="6" t="s">
        <v>18</v>
      </c>
      <c r="O2" s="6" t="s">
        <v>20</v>
      </c>
      <c r="P2" s="6" t="s">
        <v>38</v>
      </c>
      <c r="Q2" s="6" t="s">
        <v>39</v>
      </c>
      <c r="R2" s="6" t="s">
        <v>24</v>
      </c>
      <c r="S2" s="6" t="s">
        <v>40</v>
      </c>
      <c r="T2" s="6" t="s">
        <v>41</v>
      </c>
    </row>
    <row r="3" spans="2:20" s="1" customFormat="1" ht="35.1">
      <c r="B3" s="66" t="s">
        <v>42</v>
      </c>
      <c r="C3" s="4" t="s">
        <v>43</v>
      </c>
      <c r="D3" s="2">
        <v>1</v>
      </c>
      <c r="E3" s="2" t="s">
        <v>44</v>
      </c>
      <c r="F3" s="2" t="s">
        <v>45</v>
      </c>
      <c r="G3" s="2" t="s">
        <v>46</v>
      </c>
      <c r="H3" s="2" t="s">
        <v>47</v>
      </c>
      <c r="I3" s="3" t="s">
        <v>48</v>
      </c>
      <c r="J3" s="3" t="s">
        <v>49</v>
      </c>
      <c r="K3" s="3" t="s">
        <v>47</v>
      </c>
      <c r="L3" s="18" t="s">
        <v>50</v>
      </c>
      <c r="M3" s="18" t="s">
        <v>50</v>
      </c>
      <c r="N3" s="3" t="s">
        <v>51</v>
      </c>
      <c r="O3" s="3" t="s">
        <v>52</v>
      </c>
      <c r="P3" s="3" t="s">
        <v>53</v>
      </c>
      <c r="Q3" s="3"/>
      <c r="R3" s="3" t="s">
        <v>54</v>
      </c>
      <c r="S3" s="3"/>
      <c r="T3" s="3"/>
    </row>
    <row r="4" spans="2:20" s="1" customFormat="1" ht="63" customHeight="1">
      <c r="B4" s="66" t="s">
        <v>42</v>
      </c>
      <c r="C4" s="4" t="s">
        <v>43</v>
      </c>
      <c r="D4" s="22">
        <v>2</v>
      </c>
      <c r="E4" s="22" t="s">
        <v>44</v>
      </c>
      <c r="F4" s="2" t="s">
        <v>45</v>
      </c>
      <c r="G4" s="2" t="s">
        <v>46</v>
      </c>
      <c r="H4" s="2" t="s">
        <v>47</v>
      </c>
      <c r="I4" s="23" t="s">
        <v>55</v>
      </c>
      <c r="J4" s="23" t="s">
        <v>56</v>
      </c>
      <c r="K4" s="27" t="s">
        <v>47</v>
      </c>
      <c r="L4" s="24" t="s">
        <v>50</v>
      </c>
      <c r="M4" s="24" t="s">
        <v>50</v>
      </c>
      <c r="N4" s="23" t="s">
        <v>57</v>
      </c>
      <c r="O4" s="23" t="s">
        <v>52</v>
      </c>
      <c r="P4" s="3" t="s">
        <v>53</v>
      </c>
      <c r="Q4" s="3"/>
      <c r="R4" s="3" t="s">
        <v>54</v>
      </c>
      <c r="S4" s="3"/>
      <c r="T4" s="3"/>
    </row>
    <row r="5" spans="2:20" s="1" customFormat="1" ht="45.95">
      <c r="B5" s="66" t="s">
        <v>42</v>
      </c>
      <c r="C5" s="4" t="s">
        <v>43</v>
      </c>
      <c r="D5" s="22">
        <v>3</v>
      </c>
      <c r="E5" s="22" t="s">
        <v>58</v>
      </c>
      <c r="F5" s="2" t="s">
        <v>45</v>
      </c>
      <c r="G5" s="2" t="s">
        <v>59</v>
      </c>
      <c r="H5" s="2" t="s">
        <v>47</v>
      </c>
      <c r="I5" s="23" t="s">
        <v>60</v>
      </c>
      <c r="J5" s="27" t="s">
        <v>61</v>
      </c>
      <c r="K5" s="27" t="s">
        <v>47</v>
      </c>
      <c r="L5" s="24" t="s">
        <v>50</v>
      </c>
      <c r="M5" s="24" t="s">
        <v>50</v>
      </c>
      <c r="N5" s="23" t="s">
        <v>51</v>
      </c>
      <c r="O5" s="23" t="s">
        <v>52</v>
      </c>
      <c r="P5" s="3" t="s">
        <v>53</v>
      </c>
      <c r="Q5" s="3"/>
      <c r="R5" s="3" t="s">
        <v>54</v>
      </c>
      <c r="S5" s="3"/>
      <c r="T5" s="3"/>
    </row>
    <row r="6" spans="2:20" ht="45.95">
      <c r="B6" s="66" t="s">
        <v>42</v>
      </c>
      <c r="C6" s="28" t="s">
        <v>43</v>
      </c>
      <c r="D6" s="22">
        <v>4</v>
      </c>
      <c r="E6" s="22" t="s">
        <v>58</v>
      </c>
      <c r="F6" s="2" t="s">
        <v>45</v>
      </c>
      <c r="G6" s="2" t="s">
        <v>59</v>
      </c>
      <c r="H6" s="2" t="s">
        <v>47</v>
      </c>
      <c r="I6" s="23" t="s">
        <v>62</v>
      </c>
      <c r="J6" s="23" t="s">
        <v>63</v>
      </c>
      <c r="K6" s="27" t="s">
        <v>47</v>
      </c>
      <c r="L6" s="24" t="s">
        <v>50</v>
      </c>
      <c r="M6" s="24" t="s">
        <v>50</v>
      </c>
      <c r="N6" s="23" t="s">
        <v>51</v>
      </c>
      <c r="O6" s="23" t="s">
        <v>52</v>
      </c>
      <c r="P6" s="3" t="s">
        <v>53</v>
      </c>
      <c r="Q6" s="3"/>
      <c r="R6" s="3" t="s">
        <v>54</v>
      </c>
      <c r="S6" s="3"/>
      <c r="T6" s="3"/>
    </row>
    <row r="7" spans="2:20" s="25" customFormat="1" ht="57.6">
      <c r="B7" s="66" t="s">
        <v>42</v>
      </c>
      <c r="C7" s="28" t="s">
        <v>43</v>
      </c>
      <c r="D7" s="22">
        <v>5</v>
      </c>
      <c r="E7" s="22" t="s">
        <v>58</v>
      </c>
      <c r="F7" s="2" t="s">
        <v>45</v>
      </c>
      <c r="G7" s="2" t="s">
        <v>64</v>
      </c>
      <c r="H7" s="2" t="s">
        <v>47</v>
      </c>
      <c r="I7" s="23" t="s">
        <v>65</v>
      </c>
      <c r="J7" s="27" t="s">
        <v>66</v>
      </c>
      <c r="K7" s="27" t="s">
        <v>47</v>
      </c>
      <c r="L7" s="24" t="s">
        <v>50</v>
      </c>
      <c r="M7" s="24" t="s">
        <v>50</v>
      </c>
      <c r="N7" s="23" t="s">
        <v>51</v>
      </c>
      <c r="O7" s="23" t="s">
        <v>52</v>
      </c>
      <c r="P7" s="23" t="s">
        <v>53</v>
      </c>
      <c r="Q7" s="23"/>
      <c r="R7" s="23" t="s">
        <v>54</v>
      </c>
      <c r="S7" s="23"/>
      <c r="T7" s="23" t="s">
        <v>67</v>
      </c>
    </row>
    <row r="8" spans="2:20" s="25" customFormat="1" ht="106.5" customHeight="1">
      <c r="B8" s="66" t="s">
        <v>42</v>
      </c>
      <c r="C8" s="28" t="s">
        <v>43</v>
      </c>
      <c r="D8" s="22">
        <v>6</v>
      </c>
      <c r="E8" s="22" t="s">
        <v>58</v>
      </c>
      <c r="F8" s="2" t="s">
        <v>45</v>
      </c>
      <c r="G8" s="2" t="s">
        <v>64</v>
      </c>
      <c r="H8" s="2" t="s">
        <v>47</v>
      </c>
      <c r="I8" s="23" t="s">
        <v>68</v>
      </c>
      <c r="J8" s="23" t="s">
        <v>69</v>
      </c>
      <c r="K8" s="23" t="s">
        <v>47</v>
      </c>
      <c r="L8" s="24" t="s">
        <v>50</v>
      </c>
      <c r="M8" s="24" t="s">
        <v>50</v>
      </c>
      <c r="N8" s="23" t="s">
        <v>51</v>
      </c>
      <c r="O8" s="23" t="s">
        <v>52</v>
      </c>
      <c r="P8" s="57" t="s">
        <v>70</v>
      </c>
      <c r="Q8" s="57"/>
      <c r="R8" s="23" t="s">
        <v>71</v>
      </c>
      <c r="S8" s="23"/>
      <c r="T8" s="23"/>
    </row>
    <row r="9" spans="2:20" s="25" customFormat="1" ht="92.1">
      <c r="B9" s="66" t="s">
        <v>42</v>
      </c>
      <c r="C9" s="21" t="s">
        <v>72</v>
      </c>
      <c r="D9" s="22">
        <v>10</v>
      </c>
      <c r="E9" s="22" t="s">
        <v>58</v>
      </c>
      <c r="F9" s="2" t="s">
        <v>45</v>
      </c>
      <c r="G9" s="2" t="s">
        <v>73</v>
      </c>
      <c r="H9" s="2" t="s">
        <v>47</v>
      </c>
      <c r="I9" s="23" t="s">
        <v>74</v>
      </c>
      <c r="J9" s="23" t="s">
        <v>75</v>
      </c>
      <c r="K9" s="23" t="s">
        <v>47</v>
      </c>
      <c r="L9" s="24" t="s">
        <v>50</v>
      </c>
      <c r="M9" s="24" t="s">
        <v>50</v>
      </c>
      <c r="N9" s="23" t="s">
        <v>51</v>
      </c>
      <c r="O9" s="23" t="s">
        <v>52</v>
      </c>
      <c r="P9" s="23" t="s">
        <v>53</v>
      </c>
      <c r="Q9" s="23"/>
      <c r="R9" s="23" t="s">
        <v>76</v>
      </c>
      <c r="S9" s="23"/>
      <c r="T9" s="23"/>
    </row>
    <row r="10" spans="2:20" ht="34.5">
      <c r="B10" s="66" t="s">
        <v>42</v>
      </c>
      <c r="C10" s="9" t="s">
        <v>72</v>
      </c>
      <c r="D10" s="22">
        <v>11</v>
      </c>
      <c r="E10" s="22" t="s">
        <v>58</v>
      </c>
      <c r="F10" s="2" t="s">
        <v>45</v>
      </c>
      <c r="G10" s="2" t="s">
        <v>77</v>
      </c>
      <c r="H10" s="2" t="s">
        <v>78</v>
      </c>
      <c r="I10" s="23" t="s">
        <v>79</v>
      </c>
      <c r="J10" s="23" t="s">
        <v>80</v>
      </c>
      <c r="K10" s="23" t="s">
        <v>47</v>
      </c>
      <c r="L10" s="24" t="s">
        <v>81</v>
      </c>
      <c r="M10" s="24" t="s">
        <v>50</v>
      </c>
      <c r="N10" s="23" t="s">
        <v>82</v>
      </c>
      <c r="O10" s="23" t="s">
        <v>83</v>
      </c>
      <c r="P10" s="57" t="s">
        <v>84</v>
      </c>
      <c r="Q10" s="57" t="s">
        <v>85</v>
      </c>
      <c r="R10" s="23" t="s">
        <v>86</v>
      </c>
      <c r="S10" s="20"/>
      <c r="T10" s="23"/>
    </row>
    <row r="11" spans="2:20" ht="34.5">
      <c r="B11" s="66" t="s">
        <v>42</v>
      </c>
      <c r="C11" s="9" t="s">
        <v>72</v>
      </c>
      <c r="D11" s="22">
        <v>11.1</v>
      </c>
      <c r="E11" s="22" t="s">
        <v>58</v>
      </c>
      <c r="F11" s="2" t="s">
        <v>45</v>
      </c>
      <c r="G11" s="2" t="s">
        <v>77</v>
      </c>
      <c r="H11" s="2" t="s">
        <v>78</v>
      </c>
      <c r="I11" s="23" t="s">
        <v>87</v>
      </c>
      <c r="J11" s="23" t="s">
        <v>88</v>
      </c>
      <c r="K11" s="23" t="s">
        <v>47</v>
      </c>
      <c r="L11" s="24" t="s">
        <v>81</v>
      </c>
      <c r="M11" s="24" t="s">
        <v>50</v>
      </c>
      <c r="N11" s="23" t="s">
        <v>82</v>
      </c>
      <c r="O11" s="23" t="s">
        <v>83</v>
      </c>
      <c r="P11" s="57" t="s">
        <v>84</v>
      </c>
      <c r="Q11" s="57" t="s">
        <v>85</v>
      </c>
      <c r="R11" s="23" t="s">
        <v>86</v>
      </c>
      <c r="S11" s="20"/>
      <c r="T11" s="23"/>
    </row>
    <row r="12" spans="2:20" ht="103.5">
      <c r="B12" s="66" t="s">
        <v>42</v>
      </c>
      <c r="C12" s="9" t="s">
        <v>72</v>
      </c>
      <c r="D12" s="22">
        <v>12</v>
      </c>
      <c r="E12" s="22" t="s">
        <v>44</v>
      </c>
      <c r="F12" s="2" t="s">
        <v>45</v>
      </c>
      <c r="G12" s="2" t="s">
        <v>77</v>
      </c>
      <c r="H12" s="2" t="s">
        <v>78</v>
      </c>
      <c r="I12" s="23" t="s">
        <v>89</v>
      </c>
      <c r="J12" s="23" t="s">
        <v>90</v>
      </c>
      <c r="K12" s="23" t="s">
        <v>47</v>
      </c>
      <c r="L12" s="24" t="s">
        <v>81</v>
      </c>
      <c r="M12" s="24" t="s">
        <v>50</v>
      </c>
      <c r="N12" s="23" t="s">
        <v>82</v>
      </c>
      <c r="O12" s="23" t="s">
        <v>91</v>
      </c>
      <c r="P12" s="57" t="s">
        <v>84</v>
      </c>
      <c r="Q12" s="57" t="s">
        <v>85</v>
      </c>
      <c r="R12" s="23" t="s">
        <v>92</v>
      </c>
      <c r="S12" s="20"/>
      <c r="T12" s="23"/>
    </row>
    <row r="13" spans="2:20" ht="72" customHeight="1">
      <c r="B13" s="66" t="s">
        <v>42</v>
      </c>
      <c r="C13" s="9" t="s">
        <v>72</v>
      </c>
      <c r="D13" s="22">
        <v>12.1</v>
      </c>
      <c r="E13" s="22" t="s">
        <v>44</v>
      </c>
      <c r="F13" s="2" t="s">
        <v>45</v>
      </c>
      <c r="G13" s="2" t="s">
        <v>77</v>
      </c>
      <c r="H13" s="2" t="s">
        <v>78</v>
      </c>
      <c r="I13" s="23" t="s">
        <v>93</v>
      </c>
      <c r="J13" s="23" t="s">
        <v>93</v>
      </c>
      <c r="K13" s="23" t="s">
        <v>94</v>
      </c>
      <c r="L13" s="24" t="s">
        <v>81</v>
      </c>
      <c r="M13" s="24" t="s">
        <v>50</v>
      </c>
      <c r="N13" s="23" t="s">
        <v>82</v>
      </c>
      <c r="O13" s="23" t="s">
        <v>91</v>
      </c>
      <c r="P13" s="23" t="s">
        <v>53</v>
      </c>
      <c r="Q13" s="57"/>
      <c r="R13" s="23"/>
      <c r="S13" s="20"/>
      <c r="T13" s="23"/>
    </row>
    <row r="14" spans="2:20" ht="72" customHeight="1">
      <c r="B14" s="66" t="s">
        <v>42</v>
      </c>
      <c r="C14" s="9" t="s">
        <v>72</v>
      </c>
      <c r="D14" s="22">
        <v>12.2</v>
      </c>
      <c r="E14" s="22" t="s">
        <v>44</v>
      </c>
      <c r="F14" s="2" t="s">
        <v>45</v>
      </c>
      <c r="G14" s="2" t="s">
        <v>77</v>
      </c>
      <c r="H14" s="2" t="s">
        <v>78</v>
      </c>
      <c r="I14" s="23" t="s">
        <v>95</v>
      </c>
      <c r="J14" s="23" t="s">
        <v>96</v>
      </c>
      <c r="K14" s="23" t="s">
        <v>94</v>
      </c>
      <c r="L14" s="24" t="s">
        <v>81</v>
      </c>
      <c r="M14" s="24" t="s">
        <v>50</v>
      </c>
      <c r="N14" s="23" t="s">
        <v>82</v>
      </c>
      <c r="O14" s="23" t="s">
        <v>91</v>
      </c>
      <c r="P14" s="23" t="s">
        <v>53</v>
      </c>
      <c r="Q14" s="57"/>
      <c r="R14" s="23"/>
      <c r="S14" s="20"/>
      <c r="T14" s="23"/>
    </row>
    <row r="15" spans="2:20" ht="57.6">
      <c r="B15" s="66" t="s">
        <v>42</v>
      </c>
      <c r="C15" s="9" t="s">
        <v>72</v>
      </c>
      <c r="D15" s="22">
        <v>12.3</v>
      </c>
      <c r="E15" s="22" t="s">
        <v>44</v>
      </c>
      <c r="F15" s="2" t="s">
        <v>45</v>
      </c>
      <c r="G15" s="2" t="s">
        <v>77</v>
      </c>
      <c r="H15" s="2" t="s">
        <v>78</v>
      </c>
      <c r="I15" s="23" t="s">
        <v>97</v>
      </c>
      <c r="J15" s="23" t="s">
        <v>98</v>
      </c>
      <c r="K15" s="23" t="s">
        <v>94</v>
      </c>
      <c r="L15" s="24" t="s">
        <v>81</v>
      </c>
      <c r="M15" s="24" t="s">
        <v>50</v>
      </c>
      <c r="N15" s="23" t="s">
        <v>82</v>
      </c>
      <c r="O15" s="23" t="s">
        <v>91</v>
      </c>
      <c r="P15" s="57" t="s">
        <v>85</v>
      </c>
      <c r="Q15" s="23"/>
      <c r="R15" s="23"/>
      <c r="S15" s="20"/>
      <c r="T15" s="23"/>
    </row>
    <row r="16" spans="2:20" ht="80.45">
      <c r="B16" s="66" t="s">
        <v>42</v>
      </c>
      <c r="C16" s="9" t="s">
        <v>72</v>
      </c>
      <c r="D16" s="22">
        <v>13</v>
      </c>
      <c r="E16" s="22" t="s">
        <v>44</v>
      </c>
      <c r="F16" s="2" t="s">
        <v>45</v>
      </c>
      <c r="G16" s="2" t="s">
        <v>77</v>
      </c>
      <c r="H16" s="2" t="s">
        <v>78</v>
      </c>
      <c r="I16" s="23" t="s">
        <v>99</v>
      </c>
      <c r="J16" s="23" t="s">
        <v>100</v>
      </c>
      <c r="K16" s="23" t="s">
        <v>94</v>
      </c>
      <c r="L16" s="24" t="s">
        <v>81</v>
      </c>
      <c r="M16" s="24" t="s">
        <v>50</v>
      </c>
      <c r="N16" s="23" t="s">
        <v>101</v>
      </c>
      <c r="O16" s="23" t="s">
        <v>102</v>
      </c>
      <c r="P16" s="57" t="s">
        <v>103</v>
      </c>
      <c r="Q16" s="23" t="s">
        <v>104</v>
      </c>
      <c r="R16" s="20"/>
      <c r="S16" s="20"/>
      <c r="T16" s="23" t="s">
        <v>105</v>
      </c>
    </row>
    <row r="17" spans="2:20" ht="72" customHeight="1">
      <c r="B17" s="66" t="s">
        <v>42</v>
      </c>
      <c r="C17" s="9" t="s">
        <v>72</v>
      </c>
      <c r="D17" s="22">
        <v>14</v>
      </c>
      <c r="E17" s="22" t="s">
        <v>58</v>
      </c>
      <c r="F17" s="2" t="s">
        <v>45</v>
      </c>
      <c r="G17" s="2" t="s">
        <v>106</v>
      </c>
      <c r="H17" s="2" t="s">
        <v>47</v>
      </c>
      <c r="I17" s="23" t="s">
        <v>107</v>
      </c>
      <c r="J17" s="3" t="s">
        <v>108</v>
      </c>
      <c r="K17" s="23" t="s">
        <v>47</v>
      </c>
      <c r="L17" s="24" t="s">
        <v>50</v>
      </c>
      <c r="M17" s="24" t="s">
        <v>50</v>
      </c>
      <c r="N17" s="23" t="s">
        <v>109</v>
      </c>
      <c r="O17" s="23" t="s">
        <v>52</v>
      </c>
      <c r="P17" s="57" t="s">
        <v>70</v>
      </c>
      <c r="Q17" s="3"/>
      <c r="R17" s="20"/>
      <c r="S17" s="20"/>
      <c r="T17" s="23"/>
    </row>
    <row r="18" spans="2:20" ht="72" customHeight="1">
      <c r="B18" s="66" t="s">
        <v>42</v>
      </c>
      <c r="C18" s="9" t="s">
        <v>72</v>
      </c>
      <c r="D18" s="22">
        <v>14.1</v>
      </c>
      <c r="E18" s="22" t="s">
        <v>58</v>
      </c>
      <c r="F18" s="2" t="s">
        <v>110</v>
      </c>
      <c r="G18" s="2" t="s">
        <v>106</v>
      </c>
      <c r="H18" s="2" t="s">
        <v>47</v>
      </c>
      <c r="I18" s="23" t="s">
        <v>111</v>
      </c>
      <c r="J18" s="3" t="s">
        <v>112</v>
      </c>
      <c r="K18" s="23" t="s">
        <v>47</v>
      </c>
      <c r="L18" s="24" t="s">
        <v>50</v>
      </c>
      <c r="M18" s="24" t="s">
        <v>50</v>
      </c>
      <c r="N18" s="23" t="s">
        <v>113</v>
      </c>
      <c r="O18" s="23" t="s">
        <v>52</v>
      </c>
      <c r="P18" s="63" t="s">
        <v>113</v>
      </c>
      <c r="Q18" s="3"/>
      <c r="R18" s="20"/>
      <c r="S18" s="20"/>
      <c r="T18" s="23"/>
    </row>
    <row r="19" spans="2:20" ht="74.25" customHeight="1">
      <c r="B19" s="66" t="s">
        <v>42</v>
      </c>
      <c r="C19" s="10" t="s">
        <v>114</v>
      </c>
      <c r="D19" s="22">
        <v>20</v>
      </c>
      <c r="E19" s="22" t="s">
        <v>44</v>
      </c>
      <c r="F19" s="2" t="s">
        <v>45</v>
      </c>
      <c r="G19" s="2" t="s">
        <v>77</v>
      </c>
      <c r="H19" s="2" t="s">
        <v>78</v>
      </c>
      <c r="I19" s="23" t="s">
        <v>115</v>
      </c>
      <c r="J19" s="23" t="s">
        <v>116</v>
      </c>
      <c r="K19" s="23" t="s">
        <v>94</v>
      </c>
      <c r="L19" s="24" t="s">
        <v>81</v>
      </c>
      <c r="M19" s="24" t="s">
        <v>50</v>
      </c>
      <c r="N19" s="23" t="s">
        <v>82</v>
      </c>
      <c r="O19" s="23" t="s">
        <v>91</v>
      </c>
      <c r="P19" s="57" t="s">
        <v>84</v>
      </c>
      <c r="Q19" s="57" t="s">
        <v>85</v>
      </c>
      <c r="R19" s="23"/>
      <c r="S19" s="20"/>
      <c r="T19" s="23"/>
    </row>
    <row r="20" spans="2:20" ht="73.5" customHeight="1">
      <c r="B20" s="66" t="s">
        <v>42</v>
      </c>
      <c r="C20" s="10" t="s">
        <v>114</v>
      </c>
      <c r="D20" s="22">
        <v>20.100000000000001</v>
      </c>
      <c r="E20" s="22" t="s">
        <v>44</v>
      </c>
      <c r="F20" s="22" t="s">
        <v>117</v>
      </c>
      <c r="G20" s="22" t="s">
        <v>77</v>
      </c>
      <c r="H20" s="22" t="s">
        <v>47</v>
      </c>
      <c r="I20" s="23" t="s">
        <v>118</v>
      </c>
      <c r="J20" s="23" t="s">
        <v>119</v>
      </c>
      <c r="K20" s="23" t="s">
        <v>47</v>
      </c>
      <c r="L20" s="24" t="s">
        <v>81</v>
      </c>
      <c r="M20" s="24" t="s">
        <v>50</v>
      </c>
      <c r="N20" s="23" t="s">
        <v>82</v>
      </c>
      <c r="O20" s="23" t="s">
        <v>120</v>
      </c>
      <c r="P20" s="57" t="s">
        <v>84</v>
      </c>
      <c r="Q20" s="57" t="s">
        <v>85</v>
      </c>
      <c r="R20" s="23"/>
      <c r="S20" s="20"/>
      <c r="T20" s="23"/>
    </row>
    <row r="21" spans="2:20" ht="149.44999999999999">
      <c r="B21" s="66" t="s">
        <v>42</v>
      </c>
      <c r="C21" s="10" t="s">
        <v>114</v>
      </c>
      <c r="D21" s="22">
        <v>20.2</v>
      </c>
      <c r="E21" s="22" t="s">
        <v>44</v>
      </c>
      <c r="F21" s="22" t="s">
        <v>117</v>
      </c>
      <c r="G21" s="22" t="s">
        <v>77</v>
      </c>
      <c r="H21" s="22" t="s">
        <v>78</v>
      </c>
      <c r="I21" s="23" t="s">
        <v>121</v>
      </c>
      <c r="J21" s="23" t="s">
        <v>122</v>
      </c>
      <c r="K21" s="23" t="s">
        <v>94</v>
      </c>
      <c r="L21" s="24" t="s">
        <v>81</v>
      </c>
      <c r="M21" s="24" t="s">
        <v>50</v>
      </c>
      <c r="N21" s="23" t="s">
        <v>123</v>
      </c>
      <c r="O21" s="23" t="s">
        <v>120</v>
      </c>
      <c r="P21" s="57" t="s">
        <v>84</v>
      </c>
      <c r="Q21" s="57" t="s">
        <v>85</v>
      </c>
      <c r="R21" s="23" t="s">
        <v>124</v>
      </c>
      <c r="S21" s="20"/>
      <c r="T21" s="23"/>
    </row>
    <row r="22" spans="2:20" ht="73.5" customHeight="1">
      <c r="B22" s="66" t="s">
        <v>42</v>
      </c>
      <c r="C22" s="10" t="s">
        <v>114</v>
      </c>
      <c r="D22" s="22">
        <v>20.3</v>
      </c>
      <c r="E22" s="22" t="s">
        <v>44</v>
      </c>
      <c r="F22" s="22" t="s">
        <v>110</v>
      </c>
      <c r="G22" s="22" t="s">
        <v>77</v>
      </c>
      <c r="H22" s="22" t="s">
        <v>78</v>
      </c>
      <c r="I22" s="23" t="s">
        <v>125</v>
      </c>
      <c r="J22" s="23" t="s">
        <v>126</v>
      </c>
      <c r="K22" s="23" t="s">
        <v>94</v>
      </c>
      <c r="L22" s="24" t="s">
        <v>81</v>
      </c>
      <c r="M22" s="24" t="s">
        <v>50</v>
      </c>
      <c r="N22" s="23" t="s">
        <v>123</v>
      </c>
      <c r="O22" s="23" t="s">
        <v>120</v>
      </c>
      <c r="P22" s="57" t="s">
        <v>84</v>
      </c>
      <c r="Q22" s="57" t="s">
        <v>85</v>
      </c>
      <c r="R22" s="23"/>
      <c r="S22" s="20"/>
      <c r="T22" s="23"/>
    </row>
    <row r="23" spans="2:20" ht="126.6">
      <c r="B23" s="66" t="s">
        <v>42</v>
      </c>
      <c r="C23" s="10" t="s">
        <v>114</v>
      </c>
      <c r="D23" s="22">
        <v>20.399999999999999</v>
      </c>
      <c r="E23" s="22" t="s">
        <v>44</v>
      </c>
      <c r="F23" s="22" t="s">
        <v>110</v>
      </c>
      <c r="G23" s="22" t="s">
        <v>77</v>
      </c>
      <c r="H23" s="22" t="s">
        <v>47</v>
      </c>
      <c r="I23" s="23" t="s">
        <v>127</v>
      </c>
      <c r="J23" s="23" t="s">
        <v>128</v>
      </c>
      <c r="K23" s="23" t="s">
        <v>47</v>
      </c>
      <c r="L23" s="24" t="s">
        <v>81</v>
      </c>
      <c r="M23" s="24" t="s">
        <v>50</v>
      </c>
      <c r="N23" s="23" t="s">
        <v>123</v>
      </c>
      <c r="O23" s="23" t="s">
        <v>120</v>
      </c>
      <c r="P23" s="57" t="s">
        <v>85</v>
      </c>
      <c r="R23" s="23" t="s">
        <v>129</v>
      </c>
      <c r="S23" s="20"/>
      <c r="T23" s="23"/>
    </row>
    <row r="24" spans="2:20" ht="57.6">
      <c r="B24" s="66" t="s">
        <v>42</v>
      </c>
      <c r="C24" s="10" t="s">
        <v>114</v>
      </c>
      <c r="D24" s="22">
        <v>21</v>
      </c>
      <c r="E24" s="22" t="s">
        <v>44</v>
      </c>
      <c r="F24" s="22" t="s">
        <v>45</v>
      </c>
      <c r="G24" s="22" t="s">
        <v>77</v>
      </c>
      <c r="H24" s="22" t="s">
        <v>78</v>
      </c>
      <c r="I24" s="23" t="s">
        <v>130</v>
      </c>
      <c r="J24" s="23" t="s">
        <v>131</v>
      </c>
      <c r="K24" s="23" t="s">
        <v>94</v>
      </c>
      <c r="L24" s="24" t="s">
        <v>81</v>
      </c>
      <c r="M24" s="24" t="s">
        <v>50</v>
      </c>
      <c r="N24" s="23" t="s">
        <v>132</v>
      </c>
      <c r="O24" s="23" t="s">
        <v>120</v>
      </c>
      <c r="P24" s="57" t="s">
        <v>85</v>
      </c>
      <c r="Q24" s="57"/>
      <c r="R24" s="23"/>
      <c r="S24" s="20"/>
      <c r="T24" s="23"/>
    </row>
    <row r="25" spans="2:20" ht="57.6">
      <c r="B25" s="66" t="s">
        <v>42</v>
      </c>
      <c r="C25" s="10" t="s">
        <v>114</v>
      </c>
      <c r="D25" s="22">
        <v>21.1</v>
      </c>
      <c r="E25" s="22" t="s">
        <v>44</v>
      </c>
      <c r="F25" s="22" t="s">
        <v>45</v>
      </c>
      <c r="G25" s="22" t="s">
        <v>77</v>
      </c>
      <c r="H25" s="22" t="s">
        <v>78</v>
      </c>
      <c r="I25" s="23" t="s">
        <v>133</v>
      </c>
      <c r="J25" s="23" t="s">
        <v>134</v>
      </c>
      <c r="K25" s="23" t="s">
        <v>94</v>
      </c>
      <c r="L25" s="24" t="s">
        <v>81</v>
      </c>
      <c r="M25" s="24" t="s">
        <v>50</v>
      </c>
      <c r="N25" s="23" t="s">
        <v>132</v>
      </c>
      <c r="O25" s="23" t="s">
        <v>120</v>
      </c>
      <c r="P25" s="57" t="s">
        <v>85</v>
      </c>
      <c r="Q25" s="57"/>
      <c r="R25" s="23" t="s">
        <v>135</v>
      </c>
      <c r="S25" s="20"/>
      <c r="T25" s="23"/>
    </row>
    <row r="26" spans="2:20" ht="69">
      <c r="B26" s="66" t="s">
        <v>42</v>
      </c>
      <c r="C26" s="10" t="s">
        <v>114</v>
      </c>
      <c r="D26" s="22">
        <v>21.2</v>
      </c>
      <c r="E26" s="22" t="s">
        <v>44</v>
      </c>
      <c r="F26" s="22" t="s">
        <v>45</v>
      </c>
      <c r="G26" s="22" t="s">
        <v>77</v>
      </c>
      <c r="H26" s="22" t="s">
        <v>78</v>
      </c>
      <c r="I26" s="23" t="s">
        <v>136</v>
      </c>
      <c r="J26" s="23" t="s">
        <v>137</v>
      </c>
      <c r="K26" s="23" t="s">
        <v>94</v>
      </c>
      <c r="L26" s="24" t="s">
        <v>81</v>
      </c>
      <c r="M26" s="24" t="s">
        <v>50</v>
      </c>
      <c r="N26" s="23" t="s">
        <v>132</v>
      </c>
      <c r="O26" s="23" t="s">
        <v>120</v>
      </c>
      <c r="P26" s="57" t="s">
        <v>85</v>
      </c>
      <c r="Q26" s="57"/>
      <c r="R26" s="23" t="s">
        <v>138</v>
      </c>
      <c r="S26" s="20"/>
      <c r="T26" s="23"/>
    </row>
    <row r="27" spans="2:20" ht="57.6">
      <c r="B27" s="66" t="s">
        <v>42</v>
      </c>
      <c r="C27" s="10" t="s">
        <v>114</v>
      </c>
      <c r="D27" s="22">
        <v>22</v>
      </c>
      <c r="E27" s="22" t="s">
        <v>44</v>
      </c>
      <c r="F27" s="22" t="s">
        <v>45</v>
      </c>
      <c r="G27" s="22" t="s">
        <v>77</v>
      </c>
      <c r="H27" s="22" t="s">
        <v>78</v>
      </c>
      <c r="I27" s="23" t="s">
        <v>139</v>
      </c>
      <c r="J27" s="23" t="s">
        <v>140</v>
      </c>
      <c r="K27" s="23" t="s">
        <v>94</v>
      </c>
      <c r="L27" s="24" t="s">
        <v>81</v>
      </c>
      <c r="M27" s="24" t="s">
        <v>50</v>
      </c>
      <c r="N27" s="23" t="s">
        <v>132</v>
      </c>
      <c r="O27" s="23" t="s">
        <v>120</v>
      </c>
      <c r="P27" s="23" t="s">
        <v>53</v>
      </c>
      <c r="Q27" s="57"/>
      <c r="R27" s="23"/>
      <c r="S27" s="20"/>
      <c r="T27" s="23"/>
    </row>
    <row r="28" spans="2:20" ht="114.95">
      <c r="B28" s="67" t="s">
        <v>114</v>
      </c>
      <c r="C28" s="10" t="s">
        <v>114</v>
      </c>
      <c r="D28" s="22">
        <v>23</v>
      </c>
      <c r="E28" s="22" t="s">
        <v>44</v>
      </c>
      <c r="F28" s="22" t="s">
        <v>45</v>
      </c>
      <c r="G28" s="22" t="s">
        <v>77</v>
      </c>
      <c r="H28" s="22" t="s">
        <v>78</v>
      </c>
      <c r="I28" s="23" t="s">
        <v>141</v>
      </c>
      <c r="J28" s="23" t="s">
        <v>142</v>
      </c>
      <c r="K28" s="23" t="s">
        <v>94</v>
      </c>
      <c r="L28" s="24" t="s">
        <v>81</v>
      </c>
      <c r="M28" s="24" t="s">
        <v>50</v>
      </c>
      <c r="N28" s="23" t="s">
        <v>132</v>
      </c>
      <c r="O28" s="23" t="s">
        <v>120</v>
      </c>
      <c r="P28" s="23" t="s">
        <v>53</v>
      </c>
      <c r="Q28" s="23"/>
      <c r="R28" s="23" t="s">
        <v>143</v>
      </c>
      <c r="S28" s="20"/>
      <c r="T28" s="23" t="s">
        <v>144</v>
      </c>
    </row>
    <row r="29" spans="2:20" ht="66" customHeight="1">
      <c r="B29" s="67" t="s">
        <v>114</v>
      </c>
      <c r="C29" s="10" t="s">
        <v>114</v>
      </c>
      <c r="D29" s="22">
        <v>23.1</v>
      </c>
      <c r="E29" s="22" t="s">
        <v>44</v>
      </c>
      <c r="F29" s="22" t="s">
        <v>110</v>
      </c>
      <c r="G29" s="22" t="s">
        <v>77</v>
      </c>
      <c r="H29" s="22" t="s">
        <v>145</v>
      </c>
      <c r="I29" s="23" t="s">
        <v>146</v>
      </c>
      <c r="J29" s="23" t="s">
        <v>147</v>
      </c>
      <c r="K29" s="23" t="s">
        <v>148</v>
      </c>
      <c r="L29" s="24" t="s">
        <v>81</v>
      </c>
      <c r="M29" s="24" t="s">
        <v>50</v>
      </c>
      <c r="N29" s="23" t="s">
        <v>132</v>
      </c>
      <c r="O29" s="23" t="s">
        <v>120</v>
      </c>
      <c r="P29" s="23"/>
      <c r="Q29" s="23"/>
      <c r="R29" s="23" t="s">
        <v>149</v>
      </c>
      <c r="S29" s="20"/>
      <c r="T29" s="23"/>
    </row>
    <row r="30" spans="2:20" ht="57.6">
      <c r="B30" s="67" t="s">
        <v>114</v>
      </c>
      <c r="C30" s="10" t="s">
        <v>114</v>
      </c>
      <c r="D30" s="22">
        <v>23.2</v>
      </c>
      <c r="E30" s="22"/>
      <c r="F30" s="22" t="s">
        <v>110</v>
      </c>
      <c r="G30" s="22" t="s">
        <v>77</v>
      </c>
      <c r="H30" s="22" t="s">
        <v>78</v>
      </c>
      <c r="I30" s="23" t="s">
        <v>150</v>
      </c>
      <c r="J30" s="23" t="s">
        <v>151</v>
      </c>
      <c r="K30" s="23" t="s">
        <v>94</v>
      </c>
      <c r="L30" s="24" t="s">
        <v>81</v>
      </c>
      <c r="M30" s="24" t="s">
        <v>50</v>
      </c>
      <c r="N30" s="23" t="s">
        <v>152</v>
      </c>
      <c r="O30" s="23" t="s">
        <v>120</v>
      </c>
      <c r="P30" s="23" t="s">
        <v>53</v>
      </c>
      <c r="Q30" s="23"/>
      <c r="R30" s="23" t="s">
        <v>153</v>
      </c>
      <c r="S30" s="23" t="s">
        <v>154</v>
      </c>
      <c r="T30" s="23"/>
    </row>
    <row r="31" spans="2:20" ht="47.25" customHeight="1">
      <c r="B31" s="68" t="s">
        <v>155</v>
      </c>
      <c r="C31" s="10" t="s">
        <v>114</v>
      </c>
      <c r="D31" s="22">
        <v>24</v>
      </c>
      <c r="E31" s="22" t="s">
        <v>44</v>
      </c>
      <c r="F31" s="22" t="s">
        <v>45</v>
      </c>
      <c r="G31" s="22" t="s">
        <v>77</v>
      </c>
      <c r="H31" s="22" t="s">
        <v>78</v>
      </c>
      <c r="I31" s="23" t="s">
        <v>156</v>
      </c>
      <c r="J31" s="23" t="s">
        <v>157</v>
      </c>
      <c r="K31" s="23" t="s">
        <v>94</v>
      </c>
      <c r="L31" s="24" t="s">
        <v>81</v>
      </c>
      <c r="M31" s="24" t="s">
        <v>158</v>
      </c>
      <c r="N31" s="23" t="s">
        <v>159</v>
      </c>
      <c r="O31" s="23" t="s">
        <v>160</v>
      </c>
      <c r="P31" s="23" t="s">
        <v>161</v>
      </c>
      <c r="Q31" s="23"/>
      <c r="R31" s="23" t="s">
        <v>162</v>
      </c>
      <c r="S31" s="20"/>
      <c r="T31" s="23"/>
    </row>
    <row r="32" spans="2:20" ht="111" customHeight="1">
      <c r="B32" s="68" t="s">
        <v>155</v>
      </c>
      <c r="C32" s="10" t="s">
        <v>114</v>
      </c>
      <c r="D32" s="22">
        <v>24.1</v>
      </c>
      <c r="E32" s="22" t="s">
        <v>44</v>
      </c>
      <c r="F32" s="22" t="s">
        <v>45</v>
      </c>
      <c r="G32" s="22" t="s">
        <v>77</v>
      </c>
      <c r="H32" s="22" t="s">
        <v>78</v>
      </c>
      <c r="I32" s="3" t="s">
        <v>163</v>
      </c>
      <c r="J32" s="3" t="s">
        <v>164</v>
      </c>
      <c r="K32" s="23" t="s">
        <v>94</v>
      </c>
      <c r="L32" s="24" t="s">
        <v>81</v>
      </c>
      <c r="M32" s="24" t="s">
        <v>158</v>
      </c>
      <c r="N32" s="23" t="s">
        <v>159</v>
      </c>
      <c r="O32" s="23" t="s">
        <v>160</v>
      </c>
      <c r="P32" s="63" t="s">
        <v>165</v>
      </c>
      <c r="Q32" s="23"/>
      <c r="R32" s="23" t="s">
        <v>166</v>
      </c>
      <c r="S32" s="20"/>
      <c r="T32" s="23"/>
    </row>
    <row r="33" spans="2:20" ht="87">
      <c r="B33" s="68" t="s">
        <v>155</v>
      </c>
      <c r="C33" s="10" t="s">
        <v>114</v>
      </c>
      <c r="D33" s="22">
        <v>24.2</v>
      </c>
      <c r="E33" s="22" t="s">
        <v>44</v>
      </c>
      <c r="F33" s="22" t="s">
        <v>45</v>
      </c>
      <c r="G33" s="22" t="s">
        <v>77</v>
      </c>
      <c r="H33" s="22" t="s">
        <v>78</v>
      </c>
      <c r="I33" s="3" t="s">
        <v>167</v>
      </c>
      <c r="J33" s="3" t="s">
        <v>168</v>
      </c>
      <c r="K33" s="23" t="s">
        <v>94</v>
      </c>
      <c r="L33" s="24" t="s">
        <v>81</v>
      </c>
      <c r="M33" s="24" t="s">
        <v>158</v>
      </c>
      <c r="N33" s="23" t="s">
        <v>159</v>
      </c>
      <c r="O33" s="23" t="s">
        <v>160</v>
      </c>
      <c r="P33" s="63" t="s">
        <v>169</v>
      </c>
      <c r="Q33" s="23"/>
      <c r="R33" s="23" t="s">
        <v>166</v>
      </c>
      <c r="S33" s="20"/>
      <c r="T33" s="23"/>
    </row>
    <row r="34" spans="2:20" ht="103.5" customHeight="1">
      <c r="B34" s="67" t="s">
        <v>114</v>
      </c>
      <c r="C34" s="10" t="s">
        <v>114</v>
      </c>
      <c r="D34" s="22">
        <v>25</v>
      </c>
      <c r="E34" s="22" t="s">
        <v>44</v>
      </c>
      <c r="F34" s="22" t="s">
        <v>45</v>
      </c>
      <c r="G34" s="22" t="s">
        <v>77</v>
      </c>
      <c r="H34" s="22" t="s">
        <v>78</v>
      </c>
      <c r="I34" s="3" t="s">
        <v>170</v>
      </c>
      <c r="J34" s="23" t="s">
        <v>171</v>
      </c>
      <c r="K34" s="23" t="s">
        <v>94</v>
      </c>
      <c r="L34" s="24" t="s">
        <v>81</v>
      </c>
      <c r="M34" s="24" t="s">
        <v>158</v>
      </c>
      <c r="N34" s="23" t="s">
        <v>172</v>
      </c>
      <c r="O34" s="23" t="s">
        <v>160</v>
      </c>
      <c r="P34" s="63" t="s">
        <v>173</v>
      </c>
      <c r="Q34" s="23"/>
      <c r="R34" s="23" t="s">
        <v>174</v>
      </c>
      <c r="S34" s="20"/>
      <c r="T34" s="23"/>
    </row>
    <row r="35" spans="2:20" ht="114.95">
      <c r="B35" s="67" t="s">
        <v>114</v>
      </c>
      <c r="C35" s="10" t="s">
        <v>114</v>
      </c>
      <c r="D35" s="22">
        <v>27</v>
      </c>
      <c r="E35" s="22" t="s">
        <v>44</v>
      </c>
      <c r="F35" s="22" t="s">
        <v>117</v>
      </c>
      <c r="G35" s="22" t="s">
        <v>106</v>
      </c>
      <c r="H35" s="22" t="s">
        <v>175</v>
      </c>
      <c r="I35" s="23" t="s">
        <v>176</v>
      </c>
      <c r="J35" s="23" t="s">
        <v>177</v>
      </c>
      <c r="K35" s="23" t="s">
        <v>178</v>
      </c>
      <c r="L35" s="24" t="s">
        <v>50</v>
      </c>
      <c r="M35" s="24" t="s">
        <v>50</v>
      </c>
      <c r="N35" s="23" t="s">
        <v>179</v>
      </c>
      <c r="O35" s="23" t="s">
        <v>120</v>
      </c>
      <c r="P35" s="57" t="s">
        <v>180</v>
      </c>
      <c r="Q35" s="23"/>
      <c r="R35" s="23" t="s">
        <v>181</v>
      </c>
      <c r="S35" s="20"/>
      <c r="T35" s="23"/>
    </row>
    <row r="36" spans="2:20" ht="114.95">
      <c r="B36" s="67" t="s">
        <v>114</v>
      </c>
      <c r="C36" s="10" t="s">
        <v>114</v>
      </c>
      <c r="D36" s="22">
        <v>27.1</v>
      </c>
      <c r="E36" s="22" t="s">
        <v>44</v>
      </c>
      <c r="F36" s="22" t="s">
        <v>117</v>
      </c>
      <c r="G36" s="22" t="s">
        <v>106</v>
      </c>
      <c r="H36" s="22" t="s">
        <v>175</v>
      </c>
      <c r="I36" s="23" t="s">
        <v>182</v>
      </c>
      <c r="J36" s="23" t="s">
        <v>183</v>
      </c>
      <c r="K36" s="23" t="s">
        <v>178</v>
      </c>
      <c r="L36" s="24" t="s">
        <v>50</v>
      </c>
      <c r="M36" s="24" t="s">
        <v>50</v>
      </c>
      <c r="N36" s="23" t="s">
        <v>179</v>
      </c>
      <c r="O36" s="23" t="s">
        <v>120</v>
      </c>
      <c r="P36" s="23" t="s">
        <v>53</v>
      </c>
      <c r="Q36" s="23"/>
      <c r="R36" s="23" t="s">
        <v>181</v>
      </c>
      <c r="S36" s="20"/>
      <c r="T36" s="23"/>
    </row>
    <row r="37" spans="2:20" ht="80.45">
      <c r="B37" s="67" t="s">
        <v>114</v>
      </c>
      <c r="C37" s="10" t="s">
        <v>114</v>
      </c>
      <c r="D37" s="22">
        <v>27.2</v>
      </c>
      <c r="E37" s="22" t="s">
        <v>58</v>
      </c>
      <c r="F37" s="22" t="s">
        <v>117</v>
      </c>
      <c r="G37" s="22" t="s">
        <v>106</v>
      </c>
      <c r="H37" s="22" t="s">
        <v>175</v>
      </c>
      <c r="I37" s="23" t="s">
        <v>184</v>
      </c>
      <c r="J37" s="23" t="s">
        <v>185</v>
      </c>
      <c r="K37" s="23" t="s">
        <v>178</v>
      </c>
      <c r="L37" s="24" t="s">
        <v>50</v>
      </c>
      <c r="M37" s="24" t="s">
        <v>50</v>
      </c>
      <c r="N37" s="23" t="s">
        <v>179</v>
      </c>
      <c r="O37" s="23" t="s">
        <v>120</v>
      </c>
      <c r="P37" s="57" t="s">
        <v>85</v>
      </c>
      <c r="Q37" s="23"/>
      <c r="R37" s="23" t="s">
        <v>186</v>
      </c>
      <c r="S37" s="20"/>
      <c r="T37" s="23"/>
    </row>
    <row r="38" spans="2:20" ht="80.45">
      <c r="B38" s="67" t="s">
        <v>114</v>
      </c>
      <c r="C38" s="10" t="s">
        <v>114</v>
      </c>
      <c r="D38" s="22">
        <v>27.3</v>
      </c>
      <c r="E38" s="22" t="s">
        <v>58</v>
      </c>
      <c r="F38" s="22" t="s">
        <v>117</v>
      </c>
      <c r="G38" s="22" t="s">
        <v>106</v>
      </c>
      <c r="H38" s="22" t="s">
        <v>175</v>
      </c>
      <c r="I38" s="23" t="s">
        <v>187</v>
      </c>
      <c r="J38" s="23" t="s">
        <v>188</v>
      </c>
      <c r="K38" s="23" t="s">
        <v>178</v>
      </c>
      <c r="L38" s="24" t="s">
        <v>50</v>
      </c>
      <c r="M38" s="24" t="s">
        <v>50</v>
      </c>
      <c r="N38" s="23" t="s">
        <v>179</v>
      </c>
      <c r="O38" s="23" t="s">
        <v>120</v>
      </c>
      <c r="P38" s="63" t="s">
        <v>189</v>
      </c>
      <c r="Q38" s="23"/>
      <c r="R38" s="23" t="s">
        <v>186</v>
      </c>
      <c r="S38" s="20"/>
      <c r="T38" s="23"/>
    </row>
    <row r="39" spans="2:20" ht="130.5" customHeight="1">
      <c r="B39" s="67" t="s">
        <v>114</v>
      </c>
      <c r="C39" s="10" t="s">
        <v>114</v>
      </c>
      <c r="D39" s="22">
        <v>27.4</v>
      </c>
      <c r="E39" s="22" t="s">
        <v>58</v>
      </c>
      <c r="F39" s="22" t="s">
        <v>117</v>
      </c>
      <c r="G39" s="22" t="s">
        <v>106</v>
      </c>
      <c r="H39" s="22" t="s">
        <v>175</v>
      </c>
      <c r="I39" s="23" t="s">
        <v>190</v>
      </c>
      <c r="J39" s="23" t="s">
        <v>191</v>
      </c>
      <c r="K39" s="23" t="s">
        <v>178</v>
      </c>
      <c r="L39" s="24" t="s">
        <v>50</v>
      </c>
      <c r="M39" s="24" t="s">
        <v>50</v>
      </c>
      <c r="N39" s="23" t="s">
        <v>179</v>
      </c>
      <c r="O39" s="23" t="s">
        <v>120</v>
      </c>
      <c r="P39" s="63" t="s">
        <v>189</v>
      </c>
      <c r="R39" s="23" t="s">
        <v>192</v>
      </c>
      <c r="S39" s="23" t="s">
        <v>193</v>
      </c>
      <c r="T39" s="23" t="s">
        <v>194</v>
      </c>
    </row>
    <row r="40" spans="2:20" ht="57.6">
      <c r="B40" s="68" t="s">
        <v>155</v>
      </c>
      <c r="C40" s="11" t="s">
        <v>195</v>
      </c>
      <c r="D40" s="22">
        <v>40</v>
      </c>
      <c r="E40" s="22" t="s">
        <v>58</v>
      </c>
      <c r="F40" s="22" t="s">
        <v>45</v>
      </c>
      <c r="G40" s="22" t="s">
        <v>196</v>
      </c>
      <c r="H40" s="22" t="s">
        <v>78</v>
      </c>
      <c r="I40" s="3" t="s">
        <v>197</v>
      </c>
      <c r="J40" s="23" t="s">
        <v>198</v>
      </c>
      <c r="K40" s="23" t="s">
        <v>94</v>
      </c>
      <c r="L40" s="18" t="s">
        <v>81</v>
      </c>
      <c r="M40" s="18" t="s">
        <v>50</v>
      </c>
      <c r="N40" s="23" t="s">
        <v>132</v>
      </c>
      <c r="O40" s="23" t="s">
        <v>120</v>
      </c>
      <c r="P40" s="57" t="s">
        <v>84</v>
      </c>
      <c r="Q40" s="71"/>
      <c r="R40" s="23" t="s">
        <v>199</v>
      </c>
      <c r="S40" s="20"/>
      <c r="T40" s="20"/>
    </row>
    <row r="41" spans="2:20" ht="80.45">
      <c r="B41" s="68" t="s">
        <v>155</v>
      </c>
      <c r="C41" s="11" t="s">
        <v>195</v>
      </c>
      <c r="D41" s="22">
        <v>40.1</v>
      </c>
      <c r="E41" s="22" t="s">
        <v>58</v>
      </c>
      <c r="F41" s="22" t="s">
        <v>45</v>
      </c>
      <c r="G41" s="22" t="s">
        <v>196</v>
      </c>
      <c r="H41" s="22" t="s">
        <v>78</v>
      </c>
      <c r="I41" s="3" t="s">
        <v>200</v>
      </c>
      <c r="J41" s="23" t="s">
        <v>201</v>
      </c>
      <c r="K41" s="23" t="s">
        <v>94</v>
      </c>
      <c r="L41" s="18" t="s">
        <v>81</v>
      </c>
      <c r="M41" s="18" t="s">
        <v>50</v>
      </c>
      <c r="N41" s="23" t="s">
        <v>132</v>
      </c>
      <c r="O41" s="23" t="s">
        <v>52</v>
      </c>
      <c r="P41" s="57"/>
      <c r="Q41" s="71"/>
      <c r="R41" s="23" t="s">
        <v>202</v>
      </c>
      <c r="S41" s="20"/>
      <c r="T41" s="23" t="s">
        <v>203</v>
      </c>
    </row>
    <row r="42" spans="2:20" ht="69">
      <c r="B42" s="68" t="s">
        <v>155</v>
      </c>
      <c r="C42" s="11" t="s">
        <v>195</v>
      </c>
      <c r="D42" s="22">
        <v>41</v>
      </c>
      <c r="E42" s="22" t="s">
        <v>44</v>
      </c>
      <c r="F42" s="22" t="s">
        <v>45</v>
      </c>
      <c r="G42" s="22" t="s">
        <v>196</v>
      </c>
      <c r="H42" s="22" t="s">
        <v>78</v>
      </c>
      <c r="I42" s="3" t="s">
        <v>204</v>
      </c>
      <c r="J42" s="23" t="s">
        <v>205</v>
      </c>
      <c r="K42" s="23" t="s">
        <v>94</v>
      </c>
      <c r="L42" s="24" t="s">
        <v>81</v>
      </c>
      <c r="M42" s="24" t="s">
        <v>158</v>
      </c>
      <c r="N42" s="23" t="s">
        <v>159</v>
      </c>
      <c r="O42" s="23" t="s">
        <v>160</v>
      </c>
      <c r="P42" s="57" t="s">
        <v>84</v>
      </c>
      <c r="Q42" s="63"/>
      <c r="R42" s="23" t="s">
        <v>206</v>
      </c>
      <c r="S42" s="20"/>
      <c r="T42" s="23" t="s">
        <v>207</v>
      </c>
    </row>
    <row r="43" spans="2:20" ht="103.5" customHeight="1">
      <c r="B43" s="68" t="s">
        <v>155</v>
      </c>
      <c r="C43" s="11" t="s">
        <v>195</v>
      </c>
      <c r="D43" s="22">
        <v>41.1</v>
      </c>
      <c r="E43" s="22" t="s">
        <v>44</v>
      </c>
      <c r="F43" s="22" t="s">
        <v>45</v>
      </c>
      <c r="G43" s="22" t="s">
        <v>77</v>
      </c>
      <c r="H43" s="22" t="s">
        <v>78</v>
      </c>
      <c r="I43" s="3" t="s">
        <v>208</v>
      </c>
      <c r="J43" s="23" t="s">
        <v>209</v>
      </c>
      <c r="K43" s="23" t="s">
        <v>94</v>
      </c>
      <c r="L43" s="24" t="s">
        <v>81</v>
      </c>
      <c r="M43" s="24" t="s">
        <v>158</v>
      </c>
      <c r="N43" s="23" t="s">
        <v>172</v>
      </c>
      <c r="O43" s="23" t="s">
        <v>160</v>
      </c>
      <c r="P43" s="63" t="s">
        <v>173</v>
      </c>
      <c r="Q43" s="23"/>
      <c r="R43" s="23" t="s">
        <v>210</v>
      </c>
      <c r="S43" s="20"/>
      <c r="T43" s="23"/>
    </row>
    <row r="44" spans="2:20" ht="82.5" customHeight="1">
      <c r="B44" s="68" t="s">
        <v>155</v>
      </c>
      <c r="C44" s="11" t="s">
        <v>195</v>
      </c>
      <c r="D44" s="22">
        <v>41.2</v>
      </c>
      <c r="E44" s="22" t="s">
        <v>44</v>
      </c>
      <c r="F44" s="22" t="s">
        <v>45</v>
      </c>
      <c r="G44" s="22" t="s">
        <v>196</v>
      </c>
      <c r="H44" s="22" t="s">
        <v>78</v>
      </c>
      <c r="I44" s="23" t="s">
        <v>211</v>
      </c>
      <c r="J44" s="23" t="s">
        <v>212</v>
      </c>
      <c r="K44" s="23" t="s">
        <v>94</v>
      </c>
      <c r="L44" s="24" t="s">
        <v>81</v>
      </c>
      <c r="M44" s="24" t="s">
        <v>158</v>
      </c>
      <c r="N44" s="23" t="s">
        <v>213</v>
      </c>
      <c r="O44" s="23" t="s">
        <v>160</v>
      </c>
      <c r="P44" s="57" t="s">
        <v>214</v>
      </c>
      <c r="Q44" s="23"/>
      <c r="R44" s="23" t="s">
        <v>215</v>
      </c>
      <c r="S44" s="20"/>
      <c r="T44" s="23"/>
    </row>
    <row r="45" spans="2:20" ht="103.5">
      <c r="B45" s="68" t="s">
        <v>155</v>
      </c>
      <c r="C45" s="11" t="s">
        <v>195</v>
      </c>
      <c r="D45" s="22">
        <v>42</v>
      </c>
      <c r="E45" s="22" t="s">
        <v>44</v>
      </c>
      <c r="F45" s="22" t="s">
        <v>45</v>
      </c>
      <c r="G45" s="22" t="s">
        <v>196</v>
      </c>
      <c r="H45" s="22" t="s">
        <v>78</v>
      </c>
      <c r="I45" s="23" t="s">
        <v>216</v>
      </c>
      <c r="J45" s="23" t="s">
        <v>217</v>
      </c>
      <c r="K45" s="23" t="s">
        <v>94</v>
      </c>
      <c r="L45" s="24" t="s">
        <v>81</v>
      </c>
      <c r="M45" s="24" t="s">
        <v>158</v>
      </c>
      <c r="N45" s="23" t="s">
        <v>213</v>
      </c>
      <c r="O45" s="23" t="s">
        <v>160</v>
      </c>
      <c r="P45" s="57" t="s">
        <v>218</v>
      </c>
      <c r="Q45" s="57"/>
      <c r="R45" s="23" t="s">
        <v>219</v>
      </c>
      <c r="S45" s="20"/>
      <c r="T45" s="23"/>
    </row>
    <row r="46" spans="2:20" ht="69">
      <c r="B46" s="68" t="s">
        <v>155</v>
      </c>
      <c r="C46" s="11" t="s">
        <v>195</v>
      </c>
      <c r="D46" s="22">
        <v>44</v>
      </c>
      <c r="E46" s="22" t="s">
        <v>44</v>
      </c>
      <c r="F46" s="22" t="s">
        <v>45</v>
      </c>
      <c r="G46" s="22" t="s">
        <v>196</v>
      </c>
      <c r="H46" s="22" t="s">
        <v>220</v>
      </c>
      <c r="I46" s="23" t="s">
        <v>221</v>
      </c>
      <c r="J46" s="23" t="s">
        <v>222</v>
      </c>
      <c r="K46" s="23" t="s">
        <v>223</v>
      </c>
      <c r="L46" s="24" t="s">
        <v>81</v>
      </c>
      <c r="M46" s="24" t="s">
        <v>158</v>
      </c>
      <c r="N46" s="23" t="s">
        <v>213</v>
      </c>
      <c r="O46" s="23" t="s">
        <v>160</v>
      </c>
      <c r="P46" s="57" t="s">
        <v>224</v>
      </c>
      <c r="Q46" s="23" t="s">
        <v>47</v>
      </c>
      <c r="R46" s="23" t="s">
        <v>225</v>
      </c>
      <c r="S46" s="23"/>
    </row>
    <row r="47" spans="2:20" ht="69">
      <c r="B47" s="68" t="s">
        <v>155</v>
      </c>
      <c r="C47" s="11" t="s">
        <v>195</v>
      </c>
      <c r="D47" s="22">
        <v>44.2</v>
      </c>
      <c r="E47" s="22" t="s">
        <v>44</v>
      </c>
      <c r="F47" s="22" t="s">
        <v>45</v>
      </c>
      <c r="G47" s="22" t="s">
        <v>196</v>
      </c>
      <c r="H47" s="22" t="s">
        <v>226</v>
      </c>
      <c r="I47" s="23" t="s">
        <v>227</v>
      </c>
      <c r="J47" s="23" t="s">
        <v>228</v>
      </c>
      <c r="K47" s="23" t="s">
        <v>223</v>
      </c>
      <c r="L47" s="24" t="s">
        <v>81</v>
      </c>
      <c r="M47" s="24" t="s">
        <v>158</v>
      </c>
      <c r="N47" s="23" t="s">
        <v>213</v>
      </c>
      <c r="O47" s="23" t="s">
        <v>160</v>
      </c>
      <c r="P47" s="57" t="s">
        <v>229</v>
      </c>
      <c r="Q47" s="23" t="s">
        <v>230</v>
      </c>
      <c r="R47" s="23" t="s">
        <v>225</v>
      </c>
      <c r="S47" s="23"/>
    </row>
    <row r="48" spans="2:20" ht="69">
      <c r="B48" s="83" t="s">
        <v>231</v>
      </c>
      <c r="C48" s="5" t="s">
        <v>232</v>
      </c>
      <c r="D48" s="22">
        <v>65</v>
      </c>
      <c r="E48" s="22" t="s">
        <v>58</v>
      </c>
      <c r="F48" s="22" t="s">
        <v>45</v>
      </c>
      <c r="G48" s="22" t="s">
        <v>233</v>
      </c>
      <c r="H48" s="22" t="s">
        <v>78</v>
      </c>
      <c r="I48" s="23" t="s">
        <v>234</v>
      </c>
      <c r="J48" s="26" t="s">
        <v>235</v>
      </c>
      <c r="K48" s="23" t="s">
        <v>94</v>
      </c>
      <c r="L48" s="30" t="s">
        <v>81</v>
      </c>
      <c r="M48" s="24" t="s">
        <v>236</v>
      </c>
      <c r="N48" s="23" t="s">
        <v>237</v>
      </c>
      <c r="O48" s="23" t="s">
        <v>160</v>
      </c>
      <c r="P48" s="57" t="s">
        <v>238</v>
      </c>
      <c r="Q48" s="57"/>
      <c r="R48" s="23" t="s">
        <v>239</v>
      </c>
      <c r="S48" s="23"/>
      <c r="T48" s="23" t="s">
        <v>240</v>
      </c>
    </row>
    <row r="49" spans="2:20" ht="65.25" customHeight="1">
      <c r="B49" s="83" t="s">
        <v>231</v>
      </c>
      <c r="C49" s="5" t="s">
        <v>232</v>
      </c>
      <c r="D49" s="22">
        <v>65.099999999999994</v>
      </c>
      <c r="E49" s="22" t="s">
        <v>58</v>
      </c>
      <c r="F49" s="22" t="s">
        <v>45</v>
      </c>
      <c r="G49" s="22" t="s">
        <v>233</v>
      </c>
      <c r="H49" s="22" t="s">
        <v>78</v>
      </c>
      <c r="I49" s="23" t="s">
        <v>241</v>
      </c>
      <c r="J49" s="23" t="s">
        <v>242</v>
      </c>
      <c r="K49" s="23" t="s">
        <v>94</v>
      </c>
      <c r="L49" s="30" t="s">
        <v>81</v>
      </c>
      <c r="M49" s="24" t="s">
        <v>236</v>
      </c>
      <c r="N49" s="23" t="s">
        <v>237</v>
      </c>
      <c r="O49" s="23" t="s">
        <v>160</v>
      </c>
      <c r="P49" s="57" t="s">
        <v>238</v>
      </c>
      <c r="Q49" s="57"/>
      <c r="R49" s="23" t="s">
        <v>243</v>
      </c>
      <c r="S49" s="23"/>
      <c r="T49" s="23"/>
    </row>
  </sheetData>
  <autoFilter ref="B2:T49" xr:uid="{00000000-0001-0000-0000-000000000000}"/>
  <mergeCells count="2">
    <mergeCell ref="R1:T1"/>
    <mergeCell ref="B1:P1"/>
  </mergeCells>
  <conditionalFormatting sqref="I45 I40:J44 O46:O49 I49:O1048576 K42:Q43 I43:Q43 P46 P47:Q1048576 I23:P23 I48:N48 K44:M45 O44:Q45 Q1 I24:Q38 I39:P39 K40:P41 I2:Q22">
    <cfRule type="containsText" dxfId="105" priority="7" operator="containsText" text="intervention/control">
      <formula>NOT(ISERROR(SEARCH("intervention/control",I1)))</formula>
    </cfRule>
  </conditionalFormatting>
  <conditionalFormatting sqref="J45">
    <cfRule type="containsText" dxfId="104" priority="6" operator="containsText" text="intervention/control">
      <formula>NOT(ISERROR(SEARCH("intervention/control",J45)))</formula>
    </cfRule>
  </conditionalFormatting>
  <conditionalFormatting sqref="I46:M47">
    <cfRule type="containsText" dxfId="103" priority="3" operator="containsText" text="intervention/control">
      <formula>NOT(ISERROR(SEARCH("intervention/control",I46)))</formula>
    </cfRule>
  </conditionalFormatting>
  <conditionalFormatting sqref="Q46">
    <cfRule type="containsText" dxfId="102" priority="2" operator="containsText" text="intervention/control">
      <formula>NOT(ISERROR(SEARCH("intervention/control",Q46)))</formula>
    </cfRule>
  </conditionalFormatting>
  <conditionalFormatting sqref="N44:N47">
    <cfRule type="containsText" dxfId="101" priority="1" operator="containsText" text="intervention/control">
      <formula>NOT(ISERROR(SEARCH("intervention/control",N44)))</formula>
    </cfRule>
  </conditionalFormatting>
  <hyperlinks>
    <hyperlink ref="P8" r:id="rId1" xr:uid="{67C37B99-25A2-4FEF-BD36-79FDB8F2B4FD}"/>
    <hyperlink ref="P16" r:id="rId2" xr:uid="{9F7CC8B9-2DFE-4AEE-A389-9872A5BF352B}"/>
    <hyperlink ref="P45" r:id="rId3" xr:uid="{07F17334-B98A-4E4F-931A-9B1DC5DFB3EA}"/>
    <hyperlink ref="P48" r:id="rId4" xr:uid="{28AB876C-3F62-4F33-BEA7-BDD064A59941}"/>
    <hyperlink ref="P49" r:id="rId5" xr:uid="{41436FD2-B693-47F4-9667-37E8367D617B}"/>
    <hyperlink ref="P10" r:id="rId6" xr:uid="{9C597C31-AE07-44FC-9DA0-E9DE60F70515}"/>
    <hyperlink ref="P15" r:id="rId7" xr:uid="{0C7B4A6E-B554-47FC-9802-4BB570CA94B7}"/>
    <hyperlink ref="P11:P12" r:id="rId8" display="CALP 2022" xr:uid="{E61BB10A-7EFA-4A0B-8533-11A8B491C597}"/>
    <hyperlink ref="Q10:Q12" r:id="rId9" display="WVI 2021" xr:uid="{DAF0E4D7-5389-40E9-987D-5C8F39CD27B0}"/>
    <hyperlink ref="P21" r:id="rId10" xr:uid="{4D3A59D8-0238-4DA5-91F2-34778138EDEA}"/>
    <hyperlink ref="Q21" r:id="rId11" xr:uid="{5CAFC554-9734-4A6A-A725-35964E3105C2}"/>
    <hyperlink ref="P20" r:id="rId12" xr:uid="{D05DEA58-8B96-4DE1-A558-8FAB66FA6DBC}"/>
    <hyperlink ref="Q20" r:id="rId13" xr:uid="{A8777BDD-775B-402D-9043-D7BE0E71329C}"/>
    <hyperlink ref="P22" r:id="rId14" xr:uid="{D0ED1468-517F-49EB-B756-D984BD3458EE}"/>
    <hyperlink ref="Q22" r:id="rId15" xr:uid="{49825B10-1CE6-4861-9F43-359EC6A26E60}"/>
    <hyperlink ref="P23" r:id="rId16" xr:uid="{8B904BA3-4968-431F-8815-7B76E69CB770}"/>
    <hyperlink ref="P37" r:id="rId17" xr:uid="{1D2A6787-9EA7-4CFB-8B9B-CA8695909E09}"/>
    <hyperlink ref="P40" r:id="rId18" xr:uid="{70B8486E-6948-4ADE-B345-DD060037AE7E}"/>
    <hyperlink ref="P42" r:id="rId19" xr:uid="{47A0833F-AF3A-47EE-BDDB-A179815F8C13}"/>
    <hyperlink ref="P44" r:id="rId20" xr:uid="{34B478C1-C768-440C-9CB9-554956DA3239}"/>
    <hyperlink ref="P24" r:id="rId21" xr:uid="{1B80080E-BF82-421C-B5A5-2D02CBCB9FAE}"/>
    <hyperlink ref="P25" r:id="rId22" xr:uid="{ACC54630-E965-4681-84F5-EEA5B3BEC81D}"/>
    <hyperlink ref="P26" r:id="rId23" xr:uid="{9FA57DF9-E802-4023-8477-0B8240B3F52E}"/>
    <hyperlink ref="P46" r:id="rId24" xr:uid="{E377C66D-F5EE-48A8-AC22-5D584B018BF3}"/>
    <hyperlink ref="P47" r:id="rId25" xr:uid="{53936A64-4AB1-41A5-A6B4-90EC10AC4F66}"/>
    <hyperlink ref="P18" r:id="rId26" xr:uid="{6E8F5EAF-F1A9-4FF0-B2B3-94BDF066A122}"/>
    <hyperlink ref="P35" r:id="rId27" xr:uid="{5B135666-B752-43F6-87B1-61082D0EF1C5}"/>
    <hyperlink ref="P43" r:id="rId28" xr:uid="{0A4399F8-FA61-4DA8-B595-3CCEFBDC9056}"/>
    <hyperlink ref="P32" r:id="rId29" xr:uid="{E46480B8-3643-46B0-AB7E-2E281B451749}"/>
    <hyperlink ref="P33" r:id="rId30" xr:uid="{F444A63E-47CE-4892-9969-115B82A84AE9}"/>
    <hyperlink ref="P17" r:id="rId31" xr:uid="{541B1AB3-AA62-4053-BF97-1290AA71A962}"/>
    <hyperlink ref="P34" r:id="rId32" xr:uid="{9BB22113-1DF5-459A-857B-E938B818E530}"/>
    <hyperlink ref="P38" r:id="rId33" xr:uid="{383956A4-4199-44AD-A847-9D5CD3EBF6E5}"/>
    <hyperlink ref="P39" r:id="rId34" xr:uid="{F7F89460-0E49-424C-95B5-6639AE7BD429}"/>
  </hyperlinks>
  <pageMargins left="0.7" right="0.7" top="0.75" bottom="0.75" header="0.3" footer="0.3"/>
  <pageSetup paperSize="9" scale="37" fitToHeight="0" orientation="landscape" horizontalDpi="4294967293" r:id="rId35"/>
  <rowBreaks count="4" manualBreakCount="4">
    <brk id="18" max="19" man="1"/>
    <brk id="27" max="19" man="1"/>
    <brk id="39" max="19" man="1"/>
    <brk id="47" max="1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EB75-19DB-4CAD-B424-C4ADC8D0F0FE}">
  <sheetPr>
    <tabColor theme="5"/>
    <pageSetUpPr fitToPage="1"/>
  </sheetPr>
  <dimension ref="A1:T115"/>
  <sheetViews>
    <sheetView showGridLines="0" view="pageBreakPreview" topLeftCell="B1" zoomScale="80" zoomScaleNormal="40" zoomScaleSheetLayoutView="80" workbookViewId="0">
      <pane ySplit="2" topLeftCell="A27" activePane="bottomLeft" state="frozen"/>
      <selection pane="bottomLeft" activeCell="I9" sqref="I9"/>
      <selection activeCell="E1" sqref="E1"/>
    </sheetView>
  </sheetViews>
  <sheetFormatPr defaultColWidth="8.7109375" defaultRowHeight="14.45"/>
  <cols>
    <col min="1" max="1" width="2.5703125" customWidth="1"/>
    <col min="2" max="2" width="12.42578125" customWidth="1"/>
    <col min="3" max="3" width="8.7109375" customWidth="1"/>
    <col min="4" max="4" width="8.42578125" customWidth="1"/>
    <col min="5" max="5" width="5.28515625" customWidth="1"/>
    <col min="6" max="8" width="13.42578125" customWidth="1"/>
    <col min="9" max="9" width="36.7109375" customWidth="1"/>
    <col min="10" max="10" width="30" customWidth="1"/>
    <col min="11" max="11" width="17" customWidth="1"/>
    <col min="12" max="12" width="16.5703125" customWidth="1"/>
    <col min="13" max="13" width="13.140625" style="19" customWidth="1"/>
    <col min="14" max="14" width="20.42578125" style="19" customWidth="1"/>
    <col min="15" max="15" width="20.42578125" customWidth="1"/>
    <col min="16" max="17" width="13.85546875" customWidth="1"/>
    <col min="18" max="18" width="37" customWidth="1"/>
    <col min="19" max="19" width="20.28515625" customWidth="1"/>
    <col min="20" max="20" width="34.140625" customWidth="1"/>
  </cols>
  <sheetData>
    <row r="1" spans="1:20">
      <c r="C1" s="106" t="s">
        <v>29</v>
      </c>
      <c r="D1" s="107"/>
      <c r="E1" s="107"/>
      <c r="F1" s="107"/>
      <c r="G1" s="107"/>
      <c r="H1" s="107"/>
      <c r="I1" s="107"/>
      <c r="J1" s="107"/>
      <c r="K1" s="107"/>
      <c r="L1" s="107"/>
      <c r="M1" s="107"/>
      <c r="N1" s="107"/>
      <c r="O1" s="107"/>
      <c r="P1" s="108"/>
      <c r="Q1" s="56"/>
      <c r="R1" s="101" t="s">
        <v>30</v>
      </c>
      <c r="S1" s="102"/>
      <c r="T1" s="103"/>
    </row>
    <row r="2" spans="1:20" s="1" customFormat="1" ht="51.95" customHeight="1">
      <c r="B2" s="65" t="s">
        <v>244</v>
      </c>
      <c r="C2" s="7" t="s">
        <v>2</v>
      </c>
      <c r="D2" s="8" t="s">
        <v>4</v>
      </c>
      <c r="E2" s="8" t="s">
        <v>6</v>
      </c>
      <c r="F2" s="8" t="s">
        <v>32</v>
      </c>
      <c r="G2" s="8" t="s">
        <v>33</v>
      </c>
      <c r="H2" s="8" t="s">
        <v>34</v>
      </c>
      <c r="I2" s="6" t="s">
        <v>10</v>
      </c>
      <c r="J2" s="6" t="s">
        <v>35</v>
      </c>
      <c r="K2" s="6" t="s">
        <v>36</v>
      </c>
      <c r="L2" s="6" t="s">
        <v>37</v>
      </c>
      <c r="M2" s="6" t="s">
        <v>16</v>
      </c>
      <c r="N2" s="6" t="s">
        <v>18</v>
      </c>
      <c r="O2" s="6" t="s">
        <v>20</v>
      </c>
      <c r="P2" s="6" t="s">
        <v>38</v>
      </c>
      <c r="Q2" s="6" t="s">
        <v>39</v>
      </c>
      <c r="R2" s="6" t="s">
        <v>24</v>
      </c>
      <c r="S2" s="6" t="s">
        <v>40</v>
      </c>
      <c r="T2" s="6" t="s">
        <v>41</v>
      </c>
    </row>
    <row r="3" spans="1:20" s="1" customFormat="1" ht="57.6">
      <c r="B3" s="66" t="s">
        <v>42</v>
      </c>
      <c r="C3" s="4" t="s">
        <v>43</v>
      </c>
      <c r="D3" s="2">
        <v>1</v>
      </c>
      <c r="E3" s="2" t="s">
        <v>44</v>
      </c>
      <c r="F3" s="2" t="s">
        <v>45</v>
      </c>
      <c r="G3" s="2" t="s">
        <v>46</v>
      </c>
      <c r="H3" s="2" t="s">
        <v>47</v>
      </c>
      <c r="I3" s="3" t="s">
        <v>48</v>
      </c>
      <c r="J3" s="3" t="s">
        <v>49</v>
      </c>
      <c r="K3" s="3" t="s">
        <v>47</v>
      </c>
      <c r="L3" s="18" t="s">
        <v>50</v>
      </c>
      <c r="M3" s="18" t="s">
        <v>50</v>
      </c>
      <c r="N3" s="20" t="s">
        <v>245</v>
      </c>
      <c r="O3" s="3" t="s">
        <v>52</v>
      </c>
      <c r="P3" s="3"/>
      <c r="Q3" s="3" t="s">
        <v>54</v>
      </c>
      <c r="R3" s="3"/>
      <c r="S3" s="3"/>
    </row>
    <row r="4" spans="1:20" s="1" customFormat="1" ht="63" customHeight="1">
      <c r="B4" s="66" t="s">
        <v>42</v>
      </c>
      <c r="C4" s="4" t="s">
        <v>43</v>
      </c>
      <c r="D4" s="22">
        <v>2</v>
      </c>
      <c r="E4" s="22" t="s">
        <v>44</v>
      </c>
      <c r="F4" s="2" t="s">
        <v>45</v>
      </c>
      <c r="G4" s="2" t="s">
        <v>46</v>
      </c>
      <c r="H4" s="2" t="s">
        <v>47</v>
      </c>
      <c r="I4" s="23" t="s">
        <v>55</v>
      </c>
      <c r="J4" s="23" t="s">
        <v>56</v>
      </c>
      <c r="K4" s="27" t="s">
        <v>47</v>
      </c>
      <c r="L4" s="24" t="s">
        <v>50</v>
      </c>
      <c r="M4" s="24" t="s">
        <v>50</v>
      </c>
      <c r="N4" s="23" t="s">
        <v>57</v>
      </c>
      <c r="O4" s="23" t="s">
        <v>52</v>
      </c>
      <c r="P4" s="3"/>
      <c r="Q4" s="3" t="s">
        <v>54</v>
      </c>
      <c r="R4" s="3"/>
      <c r="S4" s="3"/>
    </row>
    <row r="5" spans="1:20" s="1" customFormat="1" ht="57.6">
      <c r="B5" s="66" t="s">
        <v>42</v>
      </c>
      <c r="C5" s="4" t="s">
        <v>43</v>
      </c>
      <c r="D5" s="22">
        <v>3</v>
      </c>
      <c r="E5" s="22" t="s">
        <v>58</v>
      </c>
      <c r="F5" s="2" t="s">
        <v>45</v>
      </c>
      <c r="G5" s="2" t="s">
        <v>59</v>
      </c>
      <c r="H5" s="2" t="s">
        <v>47</v>
      </c>
      <c r="I5" s="23" t="s">
        <v>60</v>
      </c>
      <c r="J5" s="27" t="s">
        <v>61</v>
      </c>
      <c r="K5" s="27" t="s">
        <v>47</v>
      </c>
      <c r="L5" s="24" t="s">
        <v>50</v>
      </c>
      <c r="M5" s="24" t="s">
        <v>50</v>
      </c>
      <c r="N5" s="98" t="s">
        <v>51</v>
      </c>
      <c r="O5" s="23" t="s">
        <v>52</v>
      </c>
      <c r="P5" s="3"/>
      <c r="Q5" s="3" t="s">
        <v>54</v>
      </c>
      <c r="R5" s="3"/>
      <c r="S5" s="3"/>
    </row>
    <row r="6" spans="1:20" ht="57.6">
      <c r="B6" s="66" t="s">
        <v>42</v>
      </c>
      <c r="C6" s="28" t="s">
        <v>43</v>
      </c>
      <c r="D6" s="22">
        <v>4</v>
      </c>
      <c r="E6" s="22" t="s">
        <v>58</v>
      </c>
      <c r="F6" s="2" t="s">
        <v>45</v>
      </c>
      <c r="G6" s="2" t="s">
        <v>59</v>
      </c>
      <c r="H6" s="2" t="s">
        <v>47</v>
      </c>
      <c r="I6" s="23" t="s">
        <v>62</v>
      </c>
      <c r="J6" s="23" t="s">
        <v>63</v>
      </c>
      <c r="K6" s="27" t="s">
        <v>47</v>
      </c>
      <c r="L6" s="24" t="s">
        <v>50</v>
      </c>
      <c r="M6" s="24" t="s">
        <v>50</v>
      </c>
      <c r="N6" s="98" t="s">
        <v>51</v>
      </c>
      <c r="O6" s="23" t="s">
        <v>52</v>
      </c>
      <c r="P6" s="3"/>
      <c r="Q6" s="3" t="s">
        <v>54</v>
      </c>
      <c r="R6" s="3"/>
      <c r="S6" s="3"/>
    </row>
    <row r="7" spans="1:20" s="25" customFormat="1" ht="57.6">
      <c r="B7" s="66" t="s">
        <v>42</v>
      </c>
      <c r="C7" s="28" t="s">
        <v>43</v>
      </c>
      <c r="D7" s="22">
        <v>5</v>
      </c>
      <c r="E7" s="22" t="s">
        <v>58</v>
      </c>
      <c r="F7" s="2" t="s">
        <v>45</v>
      </c>
      <c r="G7" s="2" t="s">
        <v>64</v>
      </c>
      <c r="H7" s="2" t="s">
        <v>47</v>
      </c>
      <c r="I7" s="23" t="s">
        <v>65</v>
      </c>
      <c r="J7" s="27" t="s">
        <v>66</v>
      </c>
      <c r="K7" s="27" t="s">
        <v>47</v>
      </c>
      <c r="L7" s="24" t="s">
        <v>50</v>
      </c>
      <c r="M7" s="24" t="s">
        <v>50</v>
      </c>
      <c r="N7" s="98" t="s">
        <v>51</v>
      </c>
      <c r="O7" s="23" t="s">
        <v>52</v>
      </c>
      <c r="P7" s="23"/>
      <c r="Q7" s="23" t="s">
        <v>54</v>
      </c>
      <c r="R7" s="23"/>
      <c r="S7" s="23" t="s">
        <v>67</v>
      </c>
    </row>
    <row r="8" spans="1:20" s="84" customFormat="1" ht="106.5" customHeight="1">
      <c r="A8" s="25"/>
      <c r="B8" s="66" t="s">
        <v>42</v>
      </c>
      <c r="C8" s="28" t="s">
        <v>43</v>
      </c>
      <c r="D8" s="86">
        <v>6</v>
      </c>
      <c r="E8" s="86" t="s">
        <v>58</v>
      </c>
      <c r="F8" s="87" t="s">
        <v>45</v>
      </c>
      <c r="G8" s="87" t="s">
        <v>64</v>
      </c>
      <c r="H8" s="87" t="s">
        <v>175</v>
      </c>
      <c r="I8" s="88" t="s">
        <v>246</v>
      </c>
      <c r="J8" s="88" t="s">
        <v>247</v>
      </c>
      <c r="K8" s="88" t="s">
        <v>178</v>
      </c>
      <c r="L8" s="89" t="s">
        <v>50</v>
      </c>
      <c r="M8" s="89" t="s">
        <v>50</v>
      </c>
      <c r="N8" s="88" t="s">
        <v>109</v>
      </c>
      <c r="O8" s="88" t="s">
        <v>160</v>
      </c>
      <c r="P8" s="90"/>
      <c r="Q8" s="88" t="s">
        <v>71</v>
      </c>
      <c r="R8" s="88"/>
      <c r="S8" s="88"/>
      <c r="T8" s="93"/>
    </row>
    <row r="9" spans="1:20" s="84" customFormat="1" ht="106.5" customHeight="1">
      <c r="A9" s="25"/>
      <c r="B9" s="66" t="s">
        <v>42</v>
      </c>
      <c r="C9" s="26" t="s">
        <v>72</v>
      </c>
      <c r="D9" s="22"/>
      <c r="E9" s="22"/>
      <c r="F9" s="2" t="s">
        <v>45</v>
      </c>
      <c r="G9" s="2" t="s">
        <v>233</v>
      </c>
      <c r="H9" s="2" t="s">
        <v>145</v>
      </c>
      <c r="I9" s="23" t="s">
        <v>248</v>
      </c>
      <c r="J9" s="23" t="s">
        <v>249</v>
      </c>
      <c r="K9" s="23"/>
      <c r="L9" s="24"/>
      <c r="M9" s="24"/>
      <c r="N9" s="23" t="s">
        <v>250</v>
      </c>
      <c r="O9" s="23" t="s">
        <v>83</v>
      </c>
      <c r="P9" s="57"/>
      <c r="Q9" s="23"/>
      <c r="R9" s="23" t="s">
        <v>251</v>
      </c>
      <c r="S9" s="23"/>
      <c r="T9" s="25"/>
    </row>
    <row r="10" spans="1:20" s="84" customFormat="1" ht="106.5" customHeight="1">
      <c r="A10" s="25"/>
      <c r="B10" s="66" t="s">
        <v>42</v>
      </c>
      <c r="C10" s="26" t="s">
        <v>72</v>
      </c>
      <c r="D10" s="22"/>
      <c r="E10" s="22" t="s">
        <v>44</v>
      </c>
      <c r="F10" s="2" t="s">
        <v>45</v>
      </c>
      <c r="G10" s="2" t="s">
        <v>233</v>
      </c>
      <c r="H10" s="2" t="s">
        <v>145</v>
      </c>
      <c r="I10" s="23" t="s">
        <v>252</v>
      </c>
      <c r="J10" s="23" t="s">
        <v>253</v>
      </c>
      <c r="K10" s="23" t="s">
        <v>178</v>
      </c>
      <c r="L10" s="24"/>
      <c r="M10" s="24"/>
      <c r="N10" s="23" t="s">
        <v>254</v>
      </c>
      <c r="O10" s="23" t="s">
        <v>83</v>
      </c>
      <c r="P10" s="57"/>
      <c r="Q10" s="23"/>
      <c r="R10" s="23" t="s">
        <v>251</v>
      </c>
      <c r="S10" s="23"/>
      <c r="T10" s="25"/>
    </row>
    <row r="11" spans="1:20" s="84" customFormat="1" ht="106.5" customHeight="1">
      <c r="A11" s="25"/>
      <c r="B11" s="66" t="s">
        <v>42</v>
      </c>
      <c r="C11" s="26" t="s">
        <v>72</v>
      </c>
      <c r="D11" s="22"/>
      <c r="E11" s="22" t="s">
        <v>44</v>
      </c>
      <c r="F11" s="2" t="s">
        <v>45</v>
      </c>
      <c r="G11" s="2" t="s">
        <v>233</v>
      </c>
      <c r="H11" s="2" t="s">
        <v>145</v>
      </c>
      <c r="I11" s="23" t="s">
        <v>255</v>
      </c>
      <c r="J11" s="23" t="s">
        <v>256</v>
      </c>
      <c r="K11" s="23" t="s">
        <v>178</v>
      </c>
      <c r="L11" s="24"/>
      <c r="M11" s="24"/>
      <c r="N11" s="23" t="s">
        <v>257</v>
      </c>
      <c r="O11" s="23" t="s">
        <v>83</v>
      </c>
      <c r="P11" s="57"/>
      <c r="Q11" s="23"/>
      <c r="R11" s="23" t="s">
        <v>251</v>
      </c>
      <c r="S11" s="23"/>
      <c r="T11" s="25"/>
    </row>
    <row r="12" spans="1:20" s="84" customFormat="1" ht="80.45">
      <c r="A12" s="25"/>
      <c r="B12" s="66" t="s">
        <v>42</v>
      </c>
      <c r="C12" s="28" t="s">
        <v>72</v>
      </c>
      <c r="D12" s="86">
        <v>10</v>
      </c>
      <c r="E12" s="86" t="s">
        <v>58</v>
      </c>
      <c r="F12" s="87" t="s">
        <v>45</v>
      </c>
      <c r="G12" s="87" t="s">
        <v>73</v>
      </c>
      <c r="H12" s="87" t="s">
        <v>47</v>
      </c>
      <c r="I12" s="88" t="s">
        <v>258</v>
      </c>
      <c r="J12" s="88" t="s">
        <v>75</v>
      </c>
      <c r="K12" s="88" t="s">
        <v>34</v>
      </c>
      <c r="L12" s="89" t="s">
        <v>50</v>
      </c>
      <c r="M12" s="89" t="s">
        <v>50</v>
      </c>
      <c r="N12" s="98" t="s">
        <v>51</v>
      </c>
      <c r="O12" s="88" t="s">
        <v>52</v>
      </c>
      <c r="P12" s="88"/>
      <c r="Q12" s="88"/>
      <c r="R12" s="88" t="s">
        <v>259</v>
      </c>
      <c r="S12" s="88"/>
      <c r="T12" s="88"/>
    </row>
    <row r="13" spans="1:20" ht="86.25" customHeight="1">
      <c r="B13" s="66" t="s">
        <v>42</v>
      </c>
      <c r="C13" s="9" t="s">
        <v>72</v>
      </c>
      <c r="D13" s="22">
        <v>11</v>
      </c>
      <c r="E13" s="22" t="s">
        <v>44</v>
      </c>
      <c r="F13" s="2" t="s">
        <v>45</v>
      </c>
      <c r="G13" s="2" t="s">
        <v>77</v>
      </c>
      <c r="H13" s="2" t="s">
        <v>78</v>
      </c>
      <c r="I13" s="23" t="s">
        <v>260</v>
      </c>
      <c r="J13" s="23" t="s">
        <v>261</v>
      </c>
      <c r="K13" s="23" t="s">
        <v>94</v>
      </c>
      <c r="L13" s="24" t="s">
        <v>81</v>
      </c>
      <c r="M13" s="24" t="s">
        <v>50</v>
      </c>
      <c r="N13" s="23" t="s">
        <v>262</v>
      </c>
      <c r="O13" s="23" t="s">
        <v>91</v>
      </c>
      <c r="P13" s="23"/>
      <c r="Q13" s="57"/>
      <c r="R13" s="23" t="s">
        <v>263</v>
      </c>
      <c r="S13" s="20"/>
      <c r="T13" s="23"/>
    </row>
    <row r="14" spans="1:20" ht="57.6">
      <c r="B14" s="66" t="s">
        <v>42</v>
      </c>
      <c r="C14" s="9" t="s">
        <v>72</v>
      </c>
      <c r="D14" s="22">
        <v>11.1</v>
      </c>
      <c r="E14" s="22" t="s">
        <v>58</v>
      </c>
      <c r="F14" s="2" t="s">
        <v>45</v>
      </c>
      <c r="G14" s="2" t="s">
        <v>77</v>
      </c>
      <c r="H14" s="2" t="s">
        <v>78</v>
      </c>
      <c r="I14" s="23" t="s">
        <v>264</v>
      </c>
      <c r="J14" s="23" t="s">
        <v>265</v>
      </c>
      <c r="K14" s="23" t="s">
        <v>94</v>
      </c>
      <c r="L14" s="24" t="s">
        <v>81</v>
      </c>
      <c r="M14" s="24" t="s">
        <v>50</v>
      </c>
      <c r="N14" s="23" t="s">
        <v>266</v>
      </c>
      <c r="O14" s="98" t="s">
        <v>83</v>
      </c>
      <c r="P14" s="57" t="s">
        <v>84</v>
      </c>
      <c r="Q14" s="57" t="s">
        <v>85</v>
      </c>
      <c r="R14" s="23" t="s">
        <v>267</v>
      </c>
      <c r="S14" s="20"/>
      <c r="T14" s="23"/>
    </row>
    <row r="15" spans="1:20" ht="57.6">
      <c r="B15" s="66" t="s">
        <v>42</v>
      </c>
      <c r="C15" s="9" t="s">
        <v>72</v>
      </c>
      <c r="D15" s="22">
        <v>11.2</v>
      </c>
      <c r="E15" s="22" t="s">
        <v>58</v>
      </c>
      <c r="F15" s="2" t="s">
        <v>45</v>
      </c>
      <c r="G15" s="2" t="s">
        <v>77</v>
      </c>
      <c r="H15" s="2" t="s">
        <v>78</v>
      </c>
      <c r="I15" s="23" t="s">
        <v>268</v>
      </c>
      <c r="J15" s="23" t="s">
        <v>269</v>
      </c>
      <c r="K15" s="23" t="s">
        <v>94</v>
      </c>
      <c r="L15" s="24" t="s">
        <v>81</v>
      </c>
      <c r="M15" s="24" t="s">
        <v>50</v>
      </c>
      <c r="N15" s="23" t="s">
        <v>266</v>
      </c>
      <c r="O15" s="98" t="s">
        <v>83</v>
      </c>
      <c r="P15" s="57" t="s">
        <v>84</v>
      </c>
      <c r="Q15" s="57" t="s">
        <v>85</v>
      </c>
      <c r="R15" s="23" t="s">
        <v>267</v>
      </c>
      <c r="S15" s="20"/>
      <c r="T15" s="23"/>
    </row>
    <row r="16" spans="1:20" ht="80.45">
      <c r="B16" s="66" t="s">
        <v>42</v>
      </c>
      <c r="C16" s="9" t="s">
        <v>72</v>
      </c>
      <c r="D16" s="22">
        <v>12</v>
      </c>
      <c r="E16" s="22" t="s">
        <v>44</v>
      </c>
      <c r="F16" s="2" t="s">
        <v>45</v>
      </c>
      <c r="G16" s="2" t="s">
        <v>77</v>
      </c>
      <c r="H16" s="2" t="s">
        <v>78</v>
      </c>
      <c r="I16" s="23" t="s">
        <v>270</v>
      </c>
      <c r="J16" s="23" t="s">
        <v>100</v>
      </c>
      <c r="K16" s="23" t="s">
        <v>94</v>
      </c>
      <c r="L16" s="24" t="s">
        <v>81</v>
      </c>
      <c r="M16" s="24" t="s">
        <v>50</v>
      </c>
      <c r="N16" s="23" t="s">
        <v>271</v>
      </c>
      <c r="O16" s="23" t="s">
        <v>102</v>
      </c>
      <c r="P16" s="57" t="s">
        <v>103</v>
      </c>
      <c r="Q16" s="23" t="s">
        <v>104</v>
      </c>
      <c r="R16" s="20"/>
      <c r="S16" s="20"/>
      <c r="T16" s="23" t="s">
        <v>105</v>
      </c>
    </row>
    <row r="17" spans="1:20" ht="57.6">
      <c r="B17" s="66" t="s">
        <v>42</v>
      </c>
      <c r="C17" s="9" t="s">
        <v>72</v>
      </c>
      <c r="D17" s="86">
        <v>12.1</v>
      </c>
      <c r="E17" s="86" t="s">
        <v>44</v>
      </c>
      <c r="F17" s="87" t="s">
        <v>45</v>
      </c>
      <c r="G17" s="87" t="s">
        <v>77</v>
      </c>
      <c r="H17" s="87" t="s">
        <v>78</v>
      </c>
      <c r="I17" s="88" t="s">
        <v>272</v>
      </c>
      <c r="J17" s="88" t="s">
        <v>272</v>
      </c>
      <c r="K17" s="88" t="s">
        <v>94</v>
      </c>
      <c r="L17" s="89" t="s">
        <v>81</v>
      </c>
      <c r="M17" s="89" t="s">
        <v>50</v>
      </c>
      <c r="N17" s="88" t="s">
        <v>82</v>
      </c>
      <c r="O17" s="88" t="s">
        <v>91</v>
      </c>
      <c r="P17" s="88" t="s">
        <v>53</v>
      </c>
      <c r="Q17" s="90"/>
      <c r="R17" s="91"/>
      <c r="S17" s="91"/>
      <c r="T17" s="88"/>
    </row>
    <row r="18" spans="1:20" s="85" customFormat="1" ht="57.6">
      <c r="A18"/>
      <c r="B18" s="67" t="s">
        <v>114</v>
      </c>
      <c r="C18" s="9" t="s">
        <v>72</v>
      </c>
      <c r="D18" s="86">
        <v>12.2</v>
      </c>
      <c r="E18" s="86" t="s">
        <v>44</v>
      </c>
      <c r="F18" s="87" t="s">
        <v>45</v>
      </c>
      <c r="G18" s="87" t="s">
        <v>77</v>
      </c>
      <c r="H18" s="87" t="s">
        <v>78</v>
      </c>
      <c r="I18" s="88" t="s">
        <v>273</v>
      </c>
      <c r="J18" s="88" t="s">
        <v>274</v>
      </c>
      <c r="K18" s="88" t="s">
        <v>94</v>
      </c>
      <c r="L18" s="89" t="s">
        <v>81</v>
      </c>
      <c r="M18" s="89" t="s">
        <v>50</v>
      </c>
      <c r="N18" s="88" t="s">
        <v>266</v>
      </c>
      <c r="O18" s="88" t="s">
        <v>91</v>
      </c>
      <c r="P18" s="90" t="s">
        <v>84</v>
      </c>
      <c r="Q18" s="90" t="s">
        <v>85</v>
      </c>
      <c r="R18" s="88"/>
      <c r="S18" s="91"/>
      <c r="T18" s="88"/>
    </row>
    <row r="19" spans="1:20" s="85" customFormat="1" ht="57.6">
      <c r="A19"/>
      <c r="B19" s="67" t="s">
        <v>114</v>
      </c>
      <c r="C19" s="9" t="s">
        <v>72</v>
      </c>
      <c r="D19" s="86">
        <v>12.3</v>
      </c>
      <c r="E19" s="86" t="s">
        <v>44</v>
      </c>
      <c r="F19" s="87" t="s">
        <v>45</v>
      </c>
      <c r="G19" s="87" t="s">
        <v>77</v>
      </c>
      <c r="H19" s="87" t="s">
        <v>275</v>
      </c>
      <c r="I19" s="88" t="s">
        <v>276</v>
      </c>
      <c r="J19" s="88" t="s">
        <v>277</v>
      </c>
      <c r="K19" s="88" t="s">
        <v>94</v>
      </c>
      <c r="L19" s="89" t="s">
        <v>81</v>
      </c>
      <c r="M19" s="89" t="s">
        <v>50</v>
      </c>
      <c r="N19" s="88" t="s">
        <v>266</v>
      </c>
      <c r="O19" s="88" t="s">
        <v>91</v>
      </c>
      <c r="P19" s="90" t="s">
        <v>84</v>
      </c>
      <c r="Q19" s="90" t="s">
        <v>85</v>
      </c>
      <c r="R19" s="88"/>
      <c r="S19" s="91"/>
      <c r="T19" s="88"/>
    </row>
    <row r="20" spans="1:20" ht="69">
      <c r="B20" s="67" t="s">
        <v>114</v>
      </c>
      <c r="C20" s="9" t="s">
        <v>72</v>
      </c>
      <c r="D20" s="86">
        <v>12.4</v>
      </c>
      <c r="E20" s="86" t="s">
        <v>44</v>
      </c>
      <c r="F20" s="87" t="s">
        <v>117</v>
      </c>
      <c r="G20" s="87" t="s">
        <v>77</v>
      </c>
      <c r="H20" s="87" t="s">
        <v>78</v>
      </c>
      <c r="I20" s="88" t="s">
        <v>278</v>
      </c>
      <c r="J20" s="88" t="s">
        <v>279</v>
      </c>
      <c r="K20" s="88" t="s">
        <v>94</v>
      </c>
      <c r="L20" s="89" t="s">
        <v>81</v>
      </c>
      <c r="M20" s="89" t="s">
        <v>50</v>
      </c>
      <c r="N20" s="88" t="s">
        <v>262</v>
      </c>
      <c r="O20" s="88" t="s">
        <v>91</v>
      </c>
      <c r="P20" s="88" t="s">
        <v>280</v>
      </c>
      <c r="Q20" s="100" t="s">
        <v>84</v>
      </c>
      <c r="R20" s="88" t="s">
        <v>281</v>
      </c>
      <c r="S20" s="91"/>
      <c r="T20" s="88"/>
    </row>
    <row r="21" spans="1:20" ht="86.25" customHeight="1">
      <c r="B21" s="67" t="s">
        <v>114</v>
      </c>
      <c r="C21" s="9" t="s">
        <v>72</v>
      </c>
      <c r="D21" s="86">
        <v>12.5</v>
      </c>
      <c r="E21" s="86"/>
      <c r="F21" s="87" t="s">
        <v>110</v>
      </c>
      <c r="G21" s="87" t="s">
        <v>77</v>
      </c>
      <c r="H21" s="87" t="s">
        <v>78</v>
      </c>
      <c r="I21" s="88" t="s">
        <v>282</v>
      </c>
      <c r="J21" s="88" t="s">
        <v>283</v>
      </c>
      <c r="K21" s="88" t="s">
        <v>94</v>
      </c>
      <c r="L21" s="89" t="s">
        <v>81</v>
      </c>
      <c r="M21" s="89" t="s">
        <v>50</v>
      </c>
      <c r="N21" s="88" t="s">
        <v>262</v>
      </c>
      <c r="O21" s="88" t="s">
        <v>91</v>
      </c>
      <c r="P21" s="88" t="s">
        <v>280</v>
      </c>
      <c r="Q21" s="100" t="s">
        <v>84</v>
      </c>
      <c r="R21" s="88" t="s">
        <v>281</v>
      </c>
      <c r="S21" s="91"/>
      <c r="T21" s="88"/>
    </row>
    <row r="22" spans="1:20" ht="86.25" customHeight="1">
      <c r="B22" s="67" t="s">
        <v>114</v>
      </c>
      <c r="C22" s="9" t="s">
        <v>72</v>
      </c>
      <c r="D22" s="22">
        <v>12.6</v>
      </c>
      <c r="E22" s="22"/>
      <c r="F22" s="2" t="s">
        <v>110</v>
      </c>
      <c r="G22" s="2" t="s">
        <v>77</v>
      </c>
      <c r="H22" s="2" t="s">
        <v>78</v>
      </c>
      <c r="I22" s="23" t="s">
        <v>284</v>
      </c>
      <c r="J22" s="23" t="s">
        <v>285</v>
      </c>
      <c r="K22" s="23" t="s">
        <v>94</v>
      </c>
      <c r="L22" s="24" t="s">
        <v>81</v>
      </c>
      <c r="M22" s="24" t="s">
        <v>50</v>
      </c>
      <c r="N22" s="23" t="s">
        <v>262</v>
      </c>
      <c r="O22" s="23" t="s">
        <v>91</v>
      </c>
      <c r="P22" s="23" t="s">
        <v>53</v>
      </c>
      <c r="Q22" s="57"/>
      <c r="R22" s="23"/>
      <c r="S22" s="20"/>
      <c r="T22" s="23"/>
    </row>
    <row r="23" spans="1:20" ht="86.25" customHeight="1">
      <c r="B23" s="67" t="s">
        <v>42</v>
      </c>
      <c r="C23" s="9" t="s">
        <v>72</v>
      </c>
      <c r="D23" s="22" t="s">
        <v>286</v>
      </c>
      <c r="E23" s="22"/>
      <c r="F23" s="2" t="s">
        <v>45</v>
      </c>
      <c r="G23" s="2" t="s">
        <v>287</v>
      </c>
      <c r="H23" s="2" t="s">
        <v>288</v>
      </c>
      <c r="I23" s="23" t="s">
        <v>289</v>
      </c>
      <c r="J23" s="23" t="s">
        <v>290</v>
      </c>
      <c r="K23" s="23" t="s">
        <v>94</v>
      </c>
      <c r="L23" s="24" t="s">
        <v>50</v>
      </c>
      <c r="M23" s="24" t="s">
        <v>50</v>
      </c>
      <c r="N23" s="23" t="s">
        <v>53</v>
      </c>
      <c r="O23" s="23"/>
      <c r="P23" s="23"/>
      <c r="Q23" s="57"/>
      <c r="R23" s="23"/>
      <c r="S23" s="20"/>
      <c r="T23" s="23"/>
    </row>
    <row r="24" spans="1:20" s="85" customFormat="1" ht="57.6">
      <c r="A24"/>
      <c r="B24" s="67" t="s">
        <v>42</v>
      </c>
      <c r="C24" s="9" t="s">
        <v>72</v>
      </c>
      <c r="D24" s="86" t="s">
        <v>291</v>
      </c>
      <c r="E24" s="86" t="s">
        <v>58</v>
      </c>
      <c r="F24" s="87" t="s">
        <v>45</v>
      </c>
      <c r="G24" s="87" t="s">
        <v>287</v>
      </c>
      <c r="H24" s="87" t="s">
        <v>275</v>
      </c>
      <c r="I24" s="88" t="s">
        <v>292</v>
      </c>
      <c r="J24" s="88" t="s">
        <v>293</v>
      </c>
      <c r="K24" s="88" t="s">
        <v>34</v>
      </c>
      <c r="L24" s="89" t="s">
        <v>50</v>
      </c>
      <c r="M24" s="89" t="s">
        <v>50</v>
      </c>
      <c r="N24" s="62" t="s">
        <v>294</v>
      </c>
      <c r="O24" s="88" t="s">
        <v>52</v>
      </c>
      <c r="P24" s="90" t="s">
        <v>295</v>
      </c>
      <c r="Q24" s="88" t="s">
        <v>47</v>
      </c>
      <c r="R24" s="88" t="s">
        <v>296</v>
      </c>
      <c r="S24" s="91"/>
      <c r="T24" s="88" t="s">
        <v>297</v>
      </c>
    </row>
    <row r="25" spans="1:20" ht="45.95">
      <c r="B25" s="67" t="s">
        <v>114</v>
      </c>
      <c r="C25" s="9" t="s">
        <v>72</v>
      </c>
      <c r="D25" s="86" t="s">
        <v>298</v>
      </c>
      <c r="E25" s="86" t="s">
        <v>58</v>
      </c>
      <c r="F25" s="87" t="s">
        <v>45</v>
      </c>
      <c r="G25" s="87" t="s">
        <v>287</v>
      </c>
      <c r="H25" s="87" t="s">
        <v>275</v>
      </c>
      <c r="I25" s="88" t="s">
        <v>299</v>
      </c>
      <c r="J25" s="88" t="s">
        <v>300</v>
      </c>
      <c r="K25" s="88" t="s">
        <v>34</v>
      </c>
      <c r="L25" s="89" t="s">
        <v>50</v>
      </c>
      <c r="M25" s="89" t="s">
        <v>50</v>
      </c>
      <c r="N25" s="62" t="s">
        <v>294</v>
      </c>
      <c r="O25" s="91" t="s">
        <v>120</v>
      </c>
      <c r="P25" s="88" t="s">
        <v>53</v>
      </c>
      <c r="Q25" s="88" t="s">
        <v>47</v>
      </c>
      <c r="R25" s="88" t="s">
        <v>301</v>
      </c>
      <c r="S25" s="91"/>
      <c r="T25" s="88"/>
    </row>
    <row r="26" spans="1:20" ht="45.95">
      <c r="B26" s="67" t="s">
        <v>114</v>
      </c>
      <c r="C26" s="9" t="s">
        <v>72</v>
      </c>
      <c r="D26" s="22" t="s">
        <v>302</v>
      </c>
      <c r="E26" s="22" t="s">
        <v>58</v>
      </c>
      <c r="F26" s="2" t="s">
        <v>45</v>
      </c>
      <c r="G26" s="2" t="s">
        <v>287</v>
      </c>
      <c r="H26" s="2" t="s">
        <v>275</v>
      </c>
      <c r="I26" s="31" t="s">
        <v>303</v>
      </c>
      <c r="J26" s="23" t="s">
        <v>304</v>
      </c>
      <c r="K26" s="23" t="s">
        <v>34</v>
      </c>
      <c r="L26" s="24" t="s">
        <v>50</v>
      </c>
      <c r="M26" s="24" t="s">
        <v>50</v>
      </c>
      <c r="N26" s="62" t="s">
        <v>51</v>
      </c>
      <c r="O26" s="20" t="s">
        <v>305</v>
      </c>
      <c r="P26" s="23" t="s">
        <v>53</v>
      </c>
      <c r="Q26" s="23" t="s">
        <v>47</v>
      </c>
      <c r="R26" s="23" t="s">
        <v>301</v>
      </c>
      <c r="S26" s="20"/>
      <c r="T26" s="23"/>
    </row>
    <row r="27" spans="1:20" ht="34.5">
      <c r="B27" s="66" t="s">
        <v>42</v>
      </c>
      <c r="C27" s="9" t="s">
        <v>72</v>
      </c>
      <c r="D27" s="22" t="s">
        <v>306</v>
      </c>
      <c r="E27" s="22" t="s">
        <v>44</v>
      </c>
      <c r="F27" s="2" t="s">
        <v>45</v>
      </c>
      <c r="G27" s="2" t="s">
        <v>307</v>
      </c>
      <c r="H27" s="2" t="s">
        <v>275</v>
      </c>
      <c r="I27" s="23" t="s">
        <v>308</v>
      </c>
      <c r="J27" s="23" t="s">
        <v>309</v>
      </c>
      <c r="K27" s="23" t="s">
        <v>34</v>
      </c>
      <c r="L27" s="24" t="s">
        <v>50</v>
      </c>
      <c r="M27" s="24" t="s">
        <v>50</v>
      </c>
      <c r="N27" s="20" t="s">
        <v>310</v>
      </c>
      <c r="O27" s="20" t="s">
        <v>120</v>
      </c>
      <c r="P27" s="23" t="s">
        <v>53</v>
      </c>
      <c r="Q27" s="23" t="s">
        <v>47</v>
      </c>
      <c r="R27" s="20"/>
      <c r="S27" s="20"/>
      <c r="T27" s="23"/>
    </row>
    <row r="28" spans="1:20" ht="34.5">
      <c r="B28" s="66" t="s">
        <v>42</v>
      </c>
      <c r="C28" s="9" t="s">
        <v>72</v>
      </c>
      <c r="D28" s="22" t="s">
        <v>311</v>
      </c>
      <c r="E28" s="22" t="s">
        <v>44</v>
      </c>
      <c r="F28" s="2" t="s">
        <v>45</v>
      </c>
      <c r="G28" s="2" t="s">
        <v>307</v>
      </c>
      <c r="H28" s="2" t="s">
        <v>275</v>
      </c>
      <c r="I28" s="23" t="s">
        <v>312</v>
      </c>
      <c r="J28" s="23" t="s">
        <v>313</v>
      </c>
      <c r="K28" s="23" t="s">
        <v>34</v>
      </c>
      <c r="L28" s="24" t="s">
        <v>50</v>
      </c>
      <c r="M28" s="24" t="s">
        <v>50</v>
      </c>
      <c r="N28" s="20" t="s">
        <v>310</v>
      </c>
      <c r="O28" s="20" t="s">
        <v>120</v>
      </c>
      <c r="P28" s="23" t="s">
        <v>53</v>
      </c>
      <c r="Q28" s="23" t="s">
        <v>47</v>
      </c>
      <c r="R28" s="20"/>
      <c r="S28" s="20"/>
      <c r="T28" s="23"/>
    </row>
    <row r="29" spans="1:20" ht="60" customHeight="1">
      <c r="B29" s="67" t="s">
        <v>114</v>
      </c>
      <c r="C29" s="9" t="s">
        <v>72</v>
      </c>
      <c r="D29" s="22" t="s">
        <v>314</v>
      </c>
      <c r="E29" s="22" t="s">
        <v>44</v>
      </c>
      <c r="F29" s="2" t="s">
        <v>45</v>
      </c>
      <c r="G29" s="2" t="s">
        <v>307</v>
      </c>
      <c r="H29" s="2" t="s">
        <v>275</v>
      </c>
      <c r="I29" s="23" t="s">
        <v>315</v>
      </c>
      <c r="J29" s="23" t="s">
        <v>316</v>
      </c>
      <c r="K29" s="23" t="s">
        <v>34</v>
      </c>
      <c r="L29" s="24" t="s">
        <v>50</v>
      </c>
      <c r="M29" s="24" t="s">
        <v>50</v>
      </c>
      <c r="N29" s="20" t="s">
        <v>310</v>
      </c>
      <c r="O29" s="20" t="s">
        <v>120</v>
      </c>
      <c r="P29" s="23" t="s">
        <v>53</v>
      </c>
      <c r="Q29" s="23" t="s">
        <v>47</v>
      </c>
      <c r="R29" s="20"/>
      <c r="S29" s="20"/>
      <c r="T29" s="23"/>
    </row>
    <row r="30" spans="1:20" ht="60" customHeight="1">
      <c r="B30" s="67" t="s">
        <v>114</v>
      </c>
      <c r="C30" s="9" t="s">
        <v>72</v>
      </c>
      <c r="D30" s="86" t="s">
        <v>317</v>
      </c>
      <c r="E30" s="86" t="s">
        <v>44</v>
      </c>
      <c r="F30" s="86" t="s">
        <v>45</v>
      </c>
      <c r="G30" s="86" t="s">
        <v>307</v>
      </c>
      <c r="H30" s="86" t="s">
        <v>318</v>
      </c>
      <c r="I30" s="88" t="s">
        <v>319</v>
      </c>
      <c r="J30" s="88" t="s">
        <v>320</v>
      </c>
      <c r="K30" s="88" t="s">
        <v>321</v>
      </c>
      <c r="L30" s="89" t="s">
        <v>50</v>
      </c>
      <c r="M30" s="89" t="s">
        <v>50</v>
      </c>
      <c r="N30" s="88" t="s">
        <v>310</v>
      </c>
      <c r="O30" s="88" t="s">
        <v>120</v>
      </c>
      <c r="P30" s="88"/>
      <c r="Q30" s="88"/>
      <c r="R30" s="91"/>
      <c r="S30" s="91"/>
      <c r="T30" s="88"/>
    </row>
    <row r="31" spans="1:20" ht="57.6">
      <c r="B31" s="67" t="s">
        <v>114</v>
      </c>
      <c r="C31" s="9" t="s">
        <v>72</v>
      </c>
      <c r="D31" s="86" t="s">
        <v>322</v>
      </c>
      <c r="E31" s="86" t="s">
        <v>44</v>
      </c>
      <c r="F31" s="87" t="s">
        <v>45</v>
      </c>
      <c r="G31" s="87" t="s">
        <v>307</v>
      </c>
      <c r="H31" s="86" t="s">
        <v>323</v>
      </c>
      <c r="I31" s="88" t="s">
        <v>324</v>
      </c>
      <c r="J31" s="88" t="s">
        <v>325</v>
      </c>
      <c r="K31" s="88" t="s">
        <v>34</v>
      </c>
      <c r="L31" s="89" t="s">
        <v>81</v>
      </c>
      <c r="M31" s="89" t="s">
        <v>50</v>
      </c>
      <c r="N31" s="91" t="s">
        <v>310</v>
      </c>
      <c r="O31" s="88" t="s">
        <v>326</v>
      </c>
      <c r="P31" s="88" t="s">
        <v>53</v>
      </c>
      <c r="Q31" s="88" t="s">
        <v>47</v>
      </c>
      <c r="R31" s="88" t="s">
        <v>327</v>
      </c>
      <c r="S31" s="91"/>
      <c r="T31" s="88"/>
    </row>
    <row r="32" spans="1:20" ht="45.95">
      <c r="B32" s="66" t="s">
        <v>42</v>
      </c>
      <c r="C32" s="9" t="s">
        <v>72</v>
      </c>
      <c r="D32" s="22" t="s">
        <v>328</v>
      </c>
      <c r="E32" s="22" t="s">
        <v>58</v>
      </c>
      <c r="F32" s="2" t="s">
        <v>45</v>
      </c>
      <c r="G32" s="2" t="s">
        <v>307</v>
      </c>
      <c r="H32" s="2" t="s">
        <v>275</v>
      </c>
      <c r="I32" s="23" t="s">
        <v>329</v>
      </c>
      <c r="J32" s="23" t="s">
        <v>330</v>
      </c>
      <c r="K32" s="23" t="s">
        <v>34</v>
      </c>
      <c r="L32" s="24" t="s">
        <v>50</v>
      </c>
      <c r="M32" s="24" t="s">
        <v>50</v>
      </c>
      <c r="N32" s="20" t="s">
        <v>310</v>
      </c>
      <c r="O32" s="98" t="s">
        <v>331</v>
      </c>
      <c r="P32" s="23" t="s">
        <v>53</v>
      </c>
      <c r="Q32" s="23" t="s">
        <v>47</v>
      </c>
      <c r="R32" s="20"/>
      <c r="S32" s="20"/>
      <c r="T32" s="23"/>
    </row>
    <row r="33" spans="2:20" ht="39.75" customHeight="1">
      <c r="B33" s="66" t="s">
        <v>42</v>
      </c>
      <c r="C33" s="9" t="s">
        <v>72</v>
      </c>
      <c r="D33" s="22">
        <v>14</v>
      </c>
      <c r="E33" s="22" t="s">
        <v>58</v>
      </c>
      <c r="F33" s="2" t="s">
        <v>45</v>
      </c>
      <c r="G33" s="2" t="s">
        <v>106</v>
      </c>
      <c r="H33" s="2" t="s">
        <v>47</v>
      </c>
      <c r="I33" s="23" t="s">
        <v>107</v>
      </c>
      <c r="J33" s="3" t="s">
        <v>108</v>
      </c>
      <c r="K33" s="23" t="s">
        <v>47</v>
      </c>
      <c r="L33" s="24" t="s">
        <v>50</v>
      </c>
      <c r="M33" s="24" t="s">
        <v>50</v>
      </c>
      <c r="N33" s="94" t="s">
        <v>109</v>
      </c>
      <c r="O33" s="98" t="s">
        <v>52</v>
      </c>
      <c r="P33" s="57" t="s">
        <v>70</v>
      </c>
      <c r="Q33" s="3"/>
      <c r="R33" s="20"/>
      <c r="S33" s="20"/>
      <c r="T33" s="23"/>
    </row>
    <row r="34" spans="2:20" ht="72" customHeight="1">
      <c r="B34" s="66" t="s">
        <v>42</v>
      </c>
      <c r="C34" s="9" t="s">
        <v>72</v>
      </c>
      <c r="D34" s="22">
        <v>14.1</v>
      </c>
      <c r="E34" s="22" t="s">
        <v>58</v>
      </c>
      <c r="F34" s="2" t="s">
        <v>110</v>
      </c>
      <c r="G34" s="2" t="s">
        <v>106</v>
      </c>
      <c r="H34" s="2" t="s">
        <v>47</v>
      </c>
      <c r="I34" s="98" t="s">
        <v>332</v>
      </c>
      <c r="J34" s="3"/>
      <c r="K34" s="23"/>
      <c r="L34" s="24"/>
      <c r="M34" s="24"/>
      <c r="N34" s="20"/>
      <c r="O34" s="98"/>
      <c r="P34" s="63"/>
      <c r="Q34" s="3"/>
      <c r="R34" s="20"/>
      <c r="S34" s="20"/>
      <c r="T34" s="23"/>
    </row>
    <row r="35" spans="2:20" ht="74.25" customHeight="1">
      <c r="B35" s="66" t="s">
        <v>42</v>
      </c>
      <c r="C35" s="10" t="s">
        <v>114</v>
      </c>
      <c r="D35" s="86">
        <v>20</v>
      </c>
      <c r="E35" s="86" t="s">
        <v>44</v>
      </c>
      <c r="F35" s="87" t="s">
        <v>45</v>
      </c>
      <c r="G35" s="87" t="s">
        <v>77</v>
      </c>
      <c r="H35" s="87" t="s">
        <v>78</v>
      </c>
      <c r="I35" s="88" t="s">
        <v>333</v>
      </c>
      <c r="J35" s="88" t="s">
        <v>334</v>
      </c>
      <c r="K35" s="88" t="s">
        <v>94</v>
      </c>
      <c r="L35" s="89" t="s">
        <v>81</v>
      </c>
      <c r="M35" s="89" t="s">
        <v>50</v>
      </c>
      <c r="N35" s="88" t="s">
        <v>82</v>
      </c>
      <c r="O35" s="88" t="s">
        <v>91</v>
      </c>
      <c r="P35" s="90" t="s">
        <v>84</v>
      </c>
      <c r="Q35" s="90" t="s">
        <v>85</v>
      </c>
      <c r="R35" s="88" t="s">
        <v>335</v>
      </c>
      <c r="S35" s="91"/>
      <c r="T35" s="88"/>
    </row>
    <row r="36" spans="2:20" ht="73.5" customHeight="1">
      <c r="B36" s="66" t="s">
        <v>42</v>
      </c>
      <c r="C36" s="10" t="s">
        <v>114</v>
      </c>
      <c r="D36" s="86">
        <v>20.100000000000001</v>
      </c>
      <c r="E36" s="86" t="s">
        <v>44</v>
      </c>
      <c r="F36" s="86" t="s">
        <v>117</v>
      </c>
      <c r="G36" s="86" t="s">
        <v>77</v>
      </c>
      <c r="H36" s="86" t="s">
        <v>47</v>
      </c>
      <c r="I36" s="88" t="s">
        <v>336</v>
      </c>
      <c r="J36" s="88" t="s">
        <v>119</v>
      </c>
      <c r="K36" s="88" t="s">
        <v>47</v>
      </c>
      <c r="L36" s="89" t="s">
        <v>81</v>
      </c>
      <c r="M36" s="89" t="s">
        <v>50</v>
      </c>
      <c r="N36" s="88" t="s">
        <v>82</v>
      </c>
      <c r="O36" s="88" t="s">
        <v>120</v>
      </c>
      <c r="P36" s="90" t="s">
        <v>84</v>
      </c>
      <c r="Q36" s="90" t="s">
        <v>85</v>
      </c>
      <c r="R36" s="88" t="s">
        <v>337</v>
      </c>
      <c r="S36" s="91"/>
      <c r="T36" s="88"/>
    </row>
    <row r="37" spans="2:20" ht="126.6">
      <c r="B37" s="66" t="s">
        <v>42</v>
      </c>
      <c r="C37" s="10" t="s">
        <v>114</v>
      </c>
      <c r="D37" s="86">
        <v>20.2</v>
      </c>
      <c r="E37" s="86" t="s">
        <v>44</v>
      </c>
      <c r="F37" s="86" t="s">
        <v>117</v>
      </c>
      <c r="G37" s="86" t="s">
        <v>77</v>
      </c>
      <c r="H37" s="86" t="s">
        <v>78</v>
      </c>
      <c r="I37" s="88" t="s">
        <v>338</v>
      </c>
      <c r="J37" s="88" t="s">
        <v>339</v>
      </c>
      <c r="K37" s="88" t="s">
        <v>94</v>
      </c>
      <c r="L37" s="89" t="s">
        <v>81</v>
      </c>
      <c r="M37" s="89" t="s">
        <v>50</v>
      </c>
      <c r="N37" s="88" t="s">
        <v>123</v>
      </c>
      <c r="O37" s="88" t="s">
        <v>120</v>
      </c>
      <c r="P37" s="90" t="s">
        <v>84</v>
      </c>
      <c r="Q37" s="90" t="s">
        <v>85</v>
      </c>
      <c r="R37" s="88" t="s">
        <v>124</v>
      </c>
      <c r="S37" s="91"/>
      <c r="T37" s="88"/>
    </row>
    <row r="38" spans="2:20" ht="73.5" customHeight="1">
      <c r="B38" s="66" t="s">
        <v>42</v>
      </c>
      <c r="C38" s="10" t="s">
        <v>114</v>
      </c>
      <c r="D38" s="86">
        <v>20.399999999999999</v>
      </c>
      <c r="E38" s="86" t="s">
        <v>44</v>
      </c>
      <c r="F38" s="86" t="s">
        <v>110</v>
      </c>
      <c r="G38" s="86" t="s">
        <v>77</v>
      </c>
      <c r="H38" s="86" t="s">
        <v>78</v>
      </c>
      <c r="I38" s="88" t="s">
        <v>340</v>
      </c>
      <c r="J38" s="88" t="s">
        <v>341</v>
      </c>
      <c r="K38" s="88" t="s">
        <v>94</v>
      </c>
      <c r="L38" s="89" t="s">
        <v>81</v>
      </c>
      <c r="M38" s="89" t="s">
        <v>50</v>
      </c>
      <c r="N38" s="88" t="s">
        <v>123</v>
      </c>
      <c r="O38" s="88" t="s">
        <v>120</v>
      </c>
      <c r="P38" s="90" t="s">
        <v>84</v>
      </c>
      <c r="Q38" s="90" t="s">
        <v>85</v>
      </c>
      <c r="R38" s="88"/>
      <c r="S38" s="91"/>
      <c r="T38" s="88"/>
    </row>
    <row r="39" spans="2:20" ht="92.1">
      <c r="B39" s="66" t="s">
        <v>42</v>
      </c>
      <c r="C39" s="10" t="s">
        <v>114</v>
      </c>
      <c r="D39" s="86">
        <v>20.5</v>
      </c>
      <c r="E39" s="86" t="s">
        <v>44</v>
      </c>
      <c r="F39" s="86" t="s">
        <v>110</v>
      </c>
      <c r="G39" s="86" t="s">
        <v>77</v>
      </c>
      <c r="H39" s="86" t="s">
        <v>47</v>
      </c>
      <c r="I39" s="88" t="s">
        <v>342</v>
      </c>
      <c r="J39" s="88" t="s">
        <v>128</v>
      </c>
      <c r="K39" s="88" t="s">
        <v>47</v>
      </c>
      <c r="L39" s="89" t="s">
        <v>81</v>
      </c>
      <c r="M39" s="89" t="s">
        <v>50</v>
      </c>
      <c r="N39" s="88" t="s">
        <v>123</v>
      </c>
      <c r="O39" s="88" t="s">
        <v>120</v>
      </c>
      <c r="P39" s="90" t="s">
        <v>85</v>
      </c>
      <c r="Q39" s="92"/>
      <c r="R39" s="88" t="s">
        <v>129</v>
      </c>
      <c r="S39" s="91"/>
      <c r="T39" s="88"/>
    </row>
    <row r="40" spans="2:20" ht="57.6">
      <c r="B40" s="66" t="s">
        <v>42</v>
      </c>
      <c r="C40" s="10" t="s">
        <v>114</v>
      </c>
      <c r="D40" s="86">
        <v>21</v>
      </c>
      <c r="E40" s="86" t="s">
        <v>44</v>
      </c>
      <c r="F40" s="86" t="s">
        <v>45</v>
      </c>
      <c r="G40" s="86" t="s">
        <v>77</v>
      </c>
      <c r="H40" s="86" t="s">
        <v>78</v>
      </c>
      <c r="I40" s="88" t="s">
        <v>343</v>
      </c>
      <c r="J40" s="88" t="s">
        <v>344</v>
      </c>
      <c r="K40" s="88" t="s">
        <v>94</v>
      </c>
      <c r="L40" s="89" t="s">
        <v>81</v>
      </c>
      <c r="M40" s="89" t="s">
        <v>50</v>
      </c>
      <c r="N40" s="88" t="s">
        <v>132</v>
      </c>
      <c r="O40" s="88" t="s">
        <v>120</v>
      </c>
      <c r="P40" s="90" t="s">
        <v>85</v>
      </c>
      <c r="Q40" s="90"/>
      <c r="R40" s="88"/>
      <c r="S40" s="91"/>
      <c r="T40" s="88"/>
    </row>
    <row r="41" spans="2:20" ht="57.6">
      <c r="B41" s="66" t="s">
        <v>42</v>
      </c>
      <c r="C41" s="10" t="s">
        <v>114</v>
      </c>
      <c r="D41" s="86">
        <v>21.1</v>
      </c>
      <c r="E41" s="86" t="s">
        <v>44</v>
      </c>
      <c r="F41" s="86" t="s">
        <v>45</v>
      </c>
      <c r="G41" s="86" t="s">
        <v>77</v>
      </c>
      <c r="H41" s="86" t="s">
        <v>78</v>
      </c>
      <c r="I41" s="88" t="s">
        <v>345</v>
      </c>
      <c r="J41" s="88" t="s">
        <v>346</v>
      </c>
      <c r="K41" s="88" t="s">
        <v>94</v>
      </c>
      <c r="L41" s="89" t="s">
        <v>81</v>
      </c>
      <c r="M41" s="89" t="s">
        <v>50</v>
      </c>
      <c r="N41" s="88" t="s">
        <v>132</v>
      </c>
      <c r="O41" s="88" t="s">
        <v>120</v>
      </c>
      <c r="P41" s="90" t="s">
        <v>85</v>
      </c>
      <c r="Q41" s="90"/>
      <c r="R41" s="88" t="s">
        <v>135</v>
      </c>
      <c r="S41" s="91"/>
      <c r="T41" s="88"/>
    </row>
    <row r="42" spans="2:20" ht="57.6">
      <c r="B42" s="66" t="s">
        <v>42</v>
      </c>
      <c r="C42" s="10" t="s">
        <v>114</v>
      </c>
      <c r="D42" s="86">
        <v>21.2</v>
      </c>
      <c r="E42" s="86" t="s">
        <v>44</v>
      </c>
      <c r="F42" s="86" t="s">
        <v>45</v>
      </c>
      <c r="G42" s="86" t="s">
        <v>77</v>
      </c>
      <c r="H42" s="86" t="s">
        <v>78</v>
      </c>
      <c r="I42" s="88" t="s">
        <v>347</v>
      </c>
      <c r="J42" s="88" t="s">
        <v>348</v>
      </c>
      <c r="K42" s="88" t="s">
        <v>94</v>
      </c>
      <c r="L42" s="89" t="s">
        <v>81</v>
      </c>
      <c r="M42" s="89" t="s">
        <v>50</v>
      </c>
      <c r="N42" s="88" t="s">
        <v>132</v>
      </c>
      <c r="O42" s="88" t="s">
        <v>120</v>
      </c>
      <c r="P42" s="90" t="s">
        <v>85</v>
      </c>
      <c r="Q42" s="90"/>
      <c r="R42" s="88" t="s">
        <v>138</v>
      </c>
      <c r="S42" s="91"/>
      <c r="T42" s="88"/>
    </row>
    <row r="43" spans="2:20" ht="57.6">
      <c r="B43" s="66" t="s">
        <v>42</v>
      </c>
      <c r="C43" s="10" t="s">
        <v>114</v>
      </c>
      <c r="D43" s="22">
        <v>22</v>
      </c>
      <c r="E43" s="22" t="s">
        <v>44</v>
      </c>
      <c r="F43" s="22" t="s">
        <v>45</v>
      </c>
      <c r="G43" s="22" t="s">
        <v>77</v>
      </c>
      <c r="H43" s="22" t="s">
        <v>78</v>
      </c>
      <c r="I43" s="23" t="s">
        <v>349</v>
      </c>
      <c r="J43" s="23" t="s">
        <v>350</v>
      </c>
      <c r="K43" s="23" t="s">
        <v>94</v>
      </c>
      <c r="L43" s="24" t="s">
        <v>81</v>
      </c>
      <c r="M43" s="24" t="s">
        <v>50</v>
      </c>
      <c r="N43" s="23" t="s">
        <v>132</v>
      </c>
      <c r="O43" s="23" t="s">
        <v>120</v>
      </c>
      <c r="P43" s="23" t="s">
        <v>53</v>
      </c>
      <c r="Q43" s="57"/>
      <c r="R43" s="23"/>
      <c r="S43" s="20"/>
      <c r="T43" s="23"/>
    </row>
    <row r="44" spans="2:20" ht="115.5" customHeight="1">
      <c r="B44" s="68" t="s">
        <v>155</v>
      </c>
      <c r="C44" s="10" t="s">
        <v>114</v>
      </c>
      <c r="D44" s="22">
        <v>23</v>
      </c>
      <c r="E44" s="22" t="s">
        <v>44</v>
      </c>
      <c r="F44" s="22" t="s">
        <v>45</v>
      </c>
      <c r="G44" s="22" t="s">
        <v>77</v>
      </c>
      <c r="H44" s="22" t="s">
        <v>78</v>
      </c>
      <c r="I44" s="23" t="s">
        <v>156</v>
      </c>
      <c r="J44" s="23" t="s">
        <v>351</v>
      </c>
      <c r="K44" s="23" t="s">
        <v>94</v>
      </c>
      <c r="L44" s="24" t="s">
        <v>81</v>
      </c>
      <c r="M44" s="24" t="s">
        <v>158</v>
      </c>
      <c r="N44" s="98" t="s">
        <v>352</v>
      </c>
      <c r="O44" s="23" t="s">
        <v>160</v>
      </c>
      <c r="P44" s="23" t="s">
        <v>161</v>
      </c>
      <c r="Q44" s="23"/>
      <c r="R44" s="23" t="s">
        <v>162</v>
      </c>
      <c r="S44" s="20"/>
      <c r="T44" s="23"/>
    </row>
    <row r="45" spans="2:20" ht="111" customHeight="1">
      <c r="B45" s="68" t="s">
        <v>155</v>
      </c>
      <c r="C45" s="10" t="s">
        <v>114</v>
      </c>
      <c r="D45" s="22">
        <v>23.1</v>
      </c>
      <c r="E45" s="22" t="s">
        <v>44</v>
      </c>
      <c r="F45" s="22" t="s">
        <v>45</v>
      </c>
      <c r="G45" s="22" t="s">
        <v>77</v>
      </c>
      <c r="H45" s="22" t="s">
        <v>78</v>
      </c>
      <c r="I45" s="3" t="s">
        <v>353</v>
      </c>
      <c r="J45" s="3" t="s">
        <v>354</v>
      </c>
      <c r="K45" s="23" t="s">
        <v>94</v>
      </c>
      <c r="L45" s="24" t="s">
        <v>81</v>
      </c>
      <c r="M45" s="24" t="s">
        <v>158</v>
      </c>
      <c r="N45" s="98" t="s">
        <v>352</v>
      </c>
      <c r="O45" s="23" t="s">
        <v>160</v>
      </c>
      <c r="P45" s="63" t="s">
        <v>165</v>
      </c>
      <c r="Q45" s="23"/>
      <c r="R45" s="23" t="s">
        <v>166</v>
      </c>
      <c r="S45" s="20"/>
      <c r="T45" s="23"/>
    </row>
    <row r="46" spans="2:20" ht="92.1">
      <c r="B46" s="67" t="s">
        <v>114</v>
      </c>
      <c r="C46" s="10" t="s">
        <v>114</v>
      </c>
      <c r="D46" s="86">
        <v>24</v>
      </c>
      <c r="E46" s="86" t="s">
        <v>44</v>
      </c>
      <c r="F46" s="86" t="s">
        <v>45</v>
      </c>
      <c r="G46" s="86" t="s">
        <v>77</v>
      </c>
      <c r="H46" s="86" t="s">
        <v>78</v>
      </c>
      <c r="I46" s="88" t="s">
        <v>355</v>
      </c>
      <c r="J46" s="88" t="s">
        <v>356</v>
      </c>
      <c r="K46" s="88" t="s">
        <v>94</v>
      </c>
      <c r="L46" s="89" t="s">
        <v>81</v>
      </c>
      <c r="M46" s="89" t="s">
        <v>50</v>
      </c>
      <c r="N46" s="88" t="s">
        <v>132</v>
      </c>
      <c r="O46" s="88" t="s">
        <v>120</v>
      </c>
      <c r="P46" s="88" t="s">
        <v>53</v>
      </c>
      <c r="Q46" s="88"/>
      <c r="R46" s="88" t="s">
        <v>143</v>
      </c>
      <c r="S46" s="91"/>
      <c r="T46" s="88" t="s">
        <v>144</v>
      </c>
    </row>
    <row r="47" spans="2:20" ht="66" customHeight="1">
      <c r="B47" s="67" t="s">
        <v>114</v>
      </c>
      <c r="C47" s="10" t="s">
        <v>114</v>
      </c>
      <c r="D47" s="86">
        <v>24.1</v>
      </c>
      <c r="E47" s="86" t="s">
        <v>44</v>
      </c>
      <c r="F47" s="86" t="s">
        <v>110</v>
      </c>
      <c r="G47" s="86" t="s">
        <v>77</v>
      </c>
      <c r="H47" s="86" t="s">
        <v>145</v>
      </c>
      <c r="I47" s="88" t="s">
        <v>146</v>
      </c>
      <c r="J47" s="88" t="s">
        <v>147</v>
      </c>
      <c r="K47" s="88" t="s">
        <v>148</v>
      </c>
      <c r="L47" s="89" t="s">
        <v>81</v>
      </c>
      <c r="M47" s="89" t="s">
        <v>50</v>
      </c>
      <c r="N47" s="88" t="s">
        <v>132</v>
      </c>
      <c r="O47" s="88" t="s">
        <v>120</v>
      </c>
      <c r="P47" s="88"/>
      <c r="Q47" s="88"/>
      <c r="R47" s="88" t="s">
        <v>149</v>
      </c>
      <c r="S47" s="91"/>
      <c r="T47" s="88"/>
    </row>
    <row r="48" spans="2:20" ht="92.1">
      <c r="B48" s="67" t="s">
        <v>114</v>
      </c>
      <c r="C48" s="10" t="s">
        <v>114</v>
      </c>
      <c r="D48" s="86">
        <v>25</v>
      </c>
      <c r="E48" s="86"/>
      <c r="F48" s="86" t="s">
        <v>110</v>
      </c>
      <c r="G48" s="86" t="s">
        <v>77</v>
      </c>
      <c r="H48" s="86" t="s">
        <v>78</v>
      </c>
      <c r="I48" s="88" t="s">
        <v>150</v>
      </c>
      <c r="J48" s="88" t="s">
        <v>357</v>
      </c>
      <c r="K48" s="88" t="s">
        <v>94</v>
      </c>
      <c r="L48" s="89" t="s">
        <v>81</v>
      </c>
      <c r="M48" s="89" t="s">
        <v>50</v>
      </c>
      <c r="N48" s="98" t="s">
        <v>152</v>
      </c>
      <c r="O48" s="88" t="s">
        <v>120</v>
      </c>
      <c r="P48" s="88" t="s">
        <v>53</v>
      </c>
      <c r="Q48" s="88"/>
      <c r="R48" s="88" t="s">
        <v>153</v>
      </c>
      <c r="S48" s="88" t="s">
        <v>154</v>
      </c>
      <c r="T48" s="88"/>
    </row>
    <row r="49" spans="2:20" ht="103.5" customHeight="1">
      <c r="B49" s="67" t="s">
        <v>114</v>
      </c>
      <c r="C49" s="10" t="s">
        <v>114</v>
      </c>
      <c r="D49" s="86">
        <v>25.1</v>
      </c>
      <c r="E49" s="86" t="s">
        <v>44</v>
      </c>
      <c r="F49" s="86" t="s">
        <v>45</v>
      </c>
      <c r="G49" s="86" t="s">
        <v>77</v>
      </c>
      <c r="H49" s="86" t="s">
        <v>78</v>
      </c>
      <c r="I49" s="97" t="s">
        <v>358</v>
      </c>
      <c r="J49" s="88" t="s">
        <v>359</v>
      </c>
      <c r="K49" s="88" t="s">
        <v>94</v>
      </c>
      <c r="L49" s="89" t="s">
        <v>81</v>
      </c>
      <c r="M49" s="89" t="s">
        <v>158</v>
      </c>
      <c r="N49" s="91" t="s">
        <v>132</v>
      </c>
      <c r="O49" s="88" t="s">
        <v>160</v>
      </c>
      <c r="P49" s="90" t="s">
        <v>173</v>
      </c>
      <c r="Q49" s="88"/>
      <c r="R49" s="88" t="s">
        <v>174</v>
      </c>
      <c r="S49" s="91"/>
      <c r="T49" s="88"/>
    </row>
    <row r="50" spans="2:20" ht="104.1">
      <c r="B50" s="67" t="s">
        <v>114</v>
      </c>
      <c r="C50" s="10" t="s">
        <v>114</v>
      </c>
      <c r="D50" s="86">
        <v>25.2</v>
      </c>
      <c r="E50" s="86" t="s">
        <v>44</v>
      </c>
      <c r="F50" s="86" t="s">
        <v>45</v>
      </c>
      <c r="G50" s="86" t="s">
        <v>77</v>
      </c>
      <c r="H50" s="86" t="s">
        <v>275</v>
      </c>
      <c r="I50" s="97" t="s">
        <v>360</v>
      </c>
      <c r="J50" s="88" t="s">
        <v>361</v>
      </c>
      <c r="K50" s="88" t="s">
        <v>94</v>
      </c>
      <c r="L50" s="89" t="s">
        <v>81</v>
      </c>
      <c r="M50" s="89" t="s">
        <v>158</v>
      </c>
      <c r="N50" s="91" t="s">
        <v>132</v>
      </c>
      <c r="O50" s="88" t="s">
        <v>160</v>
      </c>
      <c r="P50" s="90" t="s">
        <v>173</v>
      </c>
      <c r="Q50" s="88"/>
      <c r="R50" s="88" t="s">
        <v>362</v>
      </c>
      <c r="S50" s="91"/>
      <c r="T50" s="88"/>
    </row>
    <row r="51" spans="2:20" ht="92.1">
      <c r="B51" s="67" t="s">
        <v>42</v>
      </c>
      <c r="C51" s="10" t="s">
        <v>114</v>
      </c>
      <c r="D51" s="22">
        <v>27</v>
      </c>
      <c r="E51" s="22" t="s">
        <v>44</v>
      </c>
      <c r="F51" s="22" t="s">
        <v>117</v>
      </c>
      <c r="G51" s="22" t="s">
        <v>106</v>
      </c>
      <c r="H51" s="22" t="s">
        <v>175</v>
      </c>
      <c r="I51" s="23" t="s">
        <v>176</v>
      </c>
      <c r="J51" s="23" t="s">
        <v>177</v>
      </c>
      <c r="K51" s="23" t="s">
        <v>178</v>
      </c>
      <c r="L51" s="24" t="s">
        <v>50</v>
      </c>
      <c r="M51" s="24" t="s">
        <v>50</v>
      </c>
      <c r="N51" s="99" t="s">
        <v>363</v>
      </c>
      <c r="O51" s="99" t="s">
        <v>120</v>
      </c>
      <c r="P51" s="57"/>
      <c r="Q51" s="23"/>
      <c r="R51" s="23" t="s">
        <v>181</v>
      </c>
      <c r="S51" s="20"/>
      <c r="T51" s="23"/>
    </row>
    <row r="52" spans="2:20" ht="92.1">
      <c r="B52" s="67" t="s">
        <v>42</v>
      </c>
      <c r="C52" s="10" t="s">
        <v>114</v>
      </c>
      <c r="D52" s="22">
        <v>27.1</v>
      </c>
      <c r="E52" s="22" t="s">
        <v>44</v>
      </c>
      <c r="F52" s="22" t="s">
        <v>117</v>
      </c>
      <c r="G52" s="22" t="s">
        <v>106</v>
      </c>
      <c r="H52" s="22" t="s">
        <v>175</v>
      </c>
      <c r="I52" s="23" t="s">
        <v>182</v>
      </c>
      <c r="J52" s="23" t="s">
        <v>183</v>
      </c>
      <c r="K52" s="23" t="s">
        <v>178</v>
      </c>
      <c r="L52" s="24" t="s">
        <v>50</v>
      </c>
      <c r="M52" s="24" t="s">
        <v>50</v>
      </c>
      <c r="N52" s="99" t="s">
        <v>363</v>
      </c>
      <c r="O52" s="99" t="s">
        <v>120</v>
      </c>
      <c r="P52" s="57"/>
      <c r="Q52" s="23"/>
      <c r="R52" s="23" t="s">
        <v>181</v>
      </c>
      <c r="S52" s="20"/>
      <c r="T52" s="23"/>
    </row>
    <row r="53" spans="2:20" ht="69">
      <c r="B53" s="67" t="s">
        <v>42</v>
      </c>
      <c r="C53" s="10" t="s">
        <v>114</v>
      </c>
      <c r="D53" s="22">
        <v>27.2</v>
      </c>
      <c r="E53" s="22" t="s">
        <v>58</v>
      </c>
      <c r="F53" s="22" t="s">
        <v>117</v>
      </c>
      <c r="G53" s="22" t="s">
        <v>106</v>
      </c>
      <c r="H53" s="22" t="s">
        <v>175</v>
      </c>
      <c r="I53" s="23" t="s">
        <v>184</v>
      </c>
      <c r="J53" s="23" t="s">
        <v>185</v>
      </c>
      <c r="K53" s="23" t="s">
        <v>178</v>
      </c>
      <c r="L53" s="24" t="s">
        <v>50</v>
      </c>
      <c r="M53" s="24" t="s">
        <v>50</v>
      </c>
      <c r="N53" s="99" t="s">
        <v>363</v>
      </c>
      <c r="O53" s="99" t="s">
        <v>120</v>
      </c>
      <c r="P53" s="57"/>
      <c r="Q53" s="23"/>
      <c r="R53" s="23" t="s">
        <v>186</v>
      </c>
      <c r="S53" s="20"/>
      <c r="T53" s="23"/>
    </row>
    <row r="54" spans="2:20" ht="69">
      <c r="B54" s="67" t="s">
        <v>42</v>
      </c>
      <c r="C54" s="10" t="s">
        <v>114</v>
      </c>
      <c r="D54" s="22">
        <v>27.3</v>
      </c>
      <c r="E54" s="22" t="s">
        <v>58</v>
      </c>
      <c r="F54" s="22" t="s">
        <v>117</v>
      </c>
      <c r="G54" s="22" t="s">
        <v>106</v>
      </c>
      <c r="H54" s="22" t="s">
        <v>175</v>
      </c>
      <c r="I54" s="23" t="s">
        <v>187</v>
      </c>
      <c r="J54" s="23" t="s">
        <v>188</v>
      </c>
      <c r="K54" s="23" t="s">
        <v>178</v>
      </c>
      <c r="L54" s="24" t="s">
        <v>50</v>
      </c>
      <c r="M54" s="24" t="s">
        <v>50</v>
      </c>
      <c r="N54" s="99" t="s">
        <v>363</v>
      </c>
      <c r="O54" s="99" t="s">
        <v>120</v>
      </c>
      <c r="P54" s="57"/>
      <c r="Q54" s="23"/>
      <c r="R54" s="23" t="s">
        <v>186</v>
      </c>
      <c r="S54" s="20"/>
      <c r="T54" s="23"/>
    </row>
    <row r="55" spans="2:20" ht="130.5" customHeight="1">
      <c r="B55" s="67" t="s">
        <v>114</v>
      </c>
      <c r="C55" s="10" t="s">
        <v>114</v>
      </c>
      <c r="D55" s="22">
        <v>27.5</v>
      </c>
      <c r="E55" s="22" t="s">
        <v>58</v>
      </c>
      <c r="F55" s="22" t="s">
        <v>117</v>
      </c>
      <c r="G55" s="22" t="s">
        <v>106</v>
      </c>
      <c r="H55" s="22" t="s">
        <v>175</v>
      </c>
      <c r="I55" s="23" t="s">
        <v>364</v>
      </c>
      <c r="J55" s="23" t="s">
        <v>365</v>
      </c>
      <c r="K55" s="23" t="s">
        <v>366</v>
      </c>
      <c r="L55" s="24" t="s">
        <v>50</v>
      </c>
      <c r="M55" s="24" t="s">
        <v>236</v>
      </c>
      <c r="N55" s="98" t="s">
        <v>367</v>
      </c>
      <c r="O55" s="98" t="s">
        <v>160</v>
      </c>
      <c r="P55" s="63" t="s">
        <v>367</v>
      </c>
      <c r="Q55" s="23"/>
      <c r="R55" s="23"/>
      <c r="S55" s="23"/>
      <c r="T55" s="23"/>
    </row>
    <row r="56" spans="2:20" ht="53.25" customHeight="1">
      <c r="B56" s="68" t="s">
        <v>155</v>
      </c>
      <c r="C56" s="10" t="s">
        <v>114</v>
      </c>
      <c r="D56" s="86" t="s">
        <v>368</v>
      </c>
      <c r="E56" s="86" t="s">
        <v>44</v>
      </c>
      <c r="F56" s="86" t="s">
        <v>45</v>
      </c>
      <c r="G56" s="86" t="s">
        <v>287</v>
      </c>
      <c r="H56" s="86" t="s">
        <v>275</v>
      </c>
      <c r="I56" s="88" t="s">
        <v>369</v>
      </c>
      <c r="J56" s="88" t="s">
        <v>370</v>
      </c>
      <c r="K56" s="88" t="s">
        <v>371</v>
      </c>
      <c r="L56" s="89" t="s">
        <v>81</v>
      </c>
      <c r="M56" s="89" t="s">
        <v>50</v>
      </c>
      <c r="N56" s="98" t="s">
        <v>372</v>
      </c>
      <c r="O56" s="88" t="s">
        <v>373</v>
      </c>
      <c r="P56" s="90" t="s">
        <v>374</v>
      </c>
      <c r="Q56" s="88" t="s">
        <v>47</v>
      </c>
      <c r="R56" s="88" t="s">
        <v>375</v>
      </c>
      <c r="S56" s="88"/>
      <c r="T56" s="88"/>
    </row>
    <row r="57" spans="2:20" ht="53.25" customHeight="1">
      <c r="B57" s="68" t="s">
        <v>155</v>
      </c>
      <c r="C57" s="10" t="s">
        <v>114</v>
      </c>
      <c r="D57" s="86" t="s">
        <v>376</v>
      </c>
      <c r="E57" s="86" t="s">
        <v>44</v>
      </c>
      <c r="F57" s="86" t="s">
        <v>45</v>
      </c>
      <c r="G57" s="86" t="s">
        <v>287</v>
      </c>
      <c r="H57" s="86" t="s">
        <v>275</v>
      </c>
      <c r="I57" s="88" t="s">
        <v>377</v>
      </c>
      <c r="J57" s="88" t="s">
        <v>378</v>
      </c>
      <c r="K57" s="88" t="s">
        <v>379</v>
      </c>
      <c r="L57" s="89" t="s">
        <v>81</v>
      </c>
      <c r="M57" s="89" t="s">
        <v>50</v>
      </c>
      <c r="N57" s="98" t="s">
        <v>372</v>
      </c>
      <c r="O57" s="88" t="s">
        <v>373</v>
      </c>
      <c r="P57" s="90" t="s">
        <v>374</v>
      </c>
      <c r="Q57" s="88" t="s">
        <v>47</v>
      </c>
      <c r="R57" s="88" t="s">
        <v>380</v>
      </c>
      <c r="S57" s="88"/>
      <c r="T57" s="88"/>
    </row>
    <row r="58" spans="2:20" ht="53.25" customHeight="1">
      <c r="B58" s="68" t="s">
        <v>155</v>
      </c>
      <c r="C58" s="10" t="s">
        <v>114</v>
      </c>
      <c r="D58" s="86" t="s">
        <v>381</v>
      </c>
      <c r="E58" s="86" t="s">
        <v>44</v>
      </c>
      <c r="F58" s="86" t="s">
        <v>45</v>
      </c>
      <c r="G58" s="86" t="s">
        <v>287</v>
      </c>
      <c r="H58" s="86" t="s">
        <v>275</v>
      </c>
      <c r="I58" s="88" t="s">
        <v>382</v>
      </c>
      <c r="J58" s="88" t="s">
        <v>383</v>
      </c>
      <c r="K58" s="88" t="s">
        <v>371</v>
      </c>
      <c r="L58" s="89" t="s">
        <v>81</v>
      </c>
      <c r="M58" s="89" t="s">
        <v>50</v>
      </c>
      <c r="N58" s="98" t="s">
        <v>372</v>
      </c>
      <c r="O58" s="88" t="s">
        <v>373</v>
      </c>
      <c r="P58" s="90" t="s">
        <v>374</v>
      </c>
      <c r="Q58" s="88" t="s">
        <v>47</v>
      </c>
      <c r="R58" s="88" t="s">
        <v>384</v>
      </c>
      <c r="S58" s="88"/>
      <c r="T58" s="88"/>
    </row>
    <row r="59" spans="2:20" ht="69">
      <c r="B59" s="67" t="s">
        <v>114</v>
      </c>
      <c r="C59" s="10" t="s">
        <v>114</v>
      </c>
      <c r="D59" s="22" t="s">
        <v>385</v>
      </c>
      <c r="E59" s="22" t="s">
        <v>44</v>
      </c>
      <c r="F59" s="2" t="s">
        <v>45</v>
      </c>
      <c r="G59" s="2" t="s">
        <v>307</v>
      </c>
      <c r="H59" s="2" t="s">
        <v>220</v>
      </c>
      <c r="I59" s="23" t="s">
        <v>386</v>
      </c>
      <c r="J59" s="23" t="s">
        <v>387</v>
      </c>
      <c r="K59" s="23" t="s">
        <v>371</v>
      </c>
      <c r="L59" s="24" t="s">
        <v>81</v>
      </c>
      <c r="M59" s="24" t="s">
        <v>50</v>
      </c>
      <c r="N59" s="23" t="s">
        <v>388</v>
      </c>
      <c r="O59" s="23" t="s">
        <v>120</v>
      </c>
      <c r="P59" s="63" t="s">
        <v>389</v>
      </c>
      <c r="Q59" s="23"/>
      <c r="R59" s="23"/>
      <c r="S59" s="20"/>
      <c r="T59" s="23"/>
    </row>
    <row r="60" spans="2:20" ht="69">
      <c r="B60" s="67" t="s">
        <v>114</v>
      </c>
      <c r="C60" s="10" t="s">
        <v>114</v>
      </c>
      <c r="D60" s="22" t="s">
        <v>390</v>
      </c>
      <c r="E60" s="22" t="s">
        <v>44</v>
      </c>
      <c r="F60" s="86" t="s">
        <v>45</v>
      </c>
      <c r="G60" s="87" t="s">
        <v>307</v>
      </c>
      <c r="H60" s="86" t="s">
        <v>220</v>
      </c>
      <c r="I60" s="88" t="s">
        <v>391</v>
      </c>
      <c r="J60" s="88" t="s">
        <v>392</v>
      </c>
      <c r="K60" s="88" t="s">
        <v>371</v>
      </c>
      <c r="L60" s="89" t="s">
        <v>81</v>
      </c>
      <c r="M60" s="89" t="s">
        <v>50</v>
      </c>
      <c r="N60" s="88" t="s">
        <v>388</v>
      </c>
      <c r="O60" s="88" t="s">
        <v>120</v>
      </c>
      <c r="P60" s="88" t="s">
        <v>53</v>
      </c>
      <c r="Q60" s="88" t="s">
        <v>47</v>
      </c>
      <c r="R60" s="88"/>
      <c r="S60" s="88"/>
      <c r="T60" s="88"/>
    </row>
    <row r="61" spans="2:20" ht="69">
      <c r="B61" s="67" t="s">
        <v>114</v>
      </c>
      <c r="C61" s="10" t="s">
        <v>114</v>
      </c>
      <c r="D61" s="22" t="s">
        <v>393</v>
      </c>
      <c r="E61" s="22" t="s">
        <v>44</v>
      </c>
      <c r="F61" s="86" t="s">
        <v>45</v>
      </c>
      <c r="G61" s="87" t="s">
        <v>307</v>
      </c>
      <c r="H61" s="86" t="s">
        <v>226</v>
      </c>
      <c r="I61" s="88" t="s">
        <v>394</v>
      </c>
      <c r="J61" s="88" t="s">
        <v>395</v>
      </c>
      <c r="K61" s="88" t="s">
        <v>371</v>
      </c>
      <c r="L61" s="89" t="s">
        <v>81</v>
      </c>
      <c r="M61" s="89" t="s">
        <v>50</v>
      </c>
      <c r="N61" s="88" t="s">
        <v>388</v>
      </c>
      <c r="O61" s="88" t="s">
        <v>120</v>
      </c>
      <c r="P61" s="88" t="s">
        <v>53</v>
      </c>
      <c r="Q61" s="88" t="s">
        <v>47</v>
      </c>
      <c r="R61" s="88"/>
      <c r="S61" s="91"/>
      <c r="T61" s="88"/>
    </row>
    <row r="62" spans="2:20" ht="69">
      <c r="B62" s="67" t="s">
        <v>114</v>
      </c>
      <c r="C62" s="10" t="s">
        <v>114</v>
      </c>
      <c r="D62" s="22" t="s">
        <v>396</v>
      </c>
      <c r="E62" s="22" t="s">
        <v>44</v>
      </c>
      <c r="F62" s="22" t="s">
        <v>45</v>
      </c>
      <c r="G62" s="2" t="s">
        <v>307</v>
      </c>
      <c r="H62" s="22" t="s">
        <v>220</v>
      </c>
      <c r="I62" s="23" t="s">
        <v>397</v>
      </c>
      <c r="J62" s="23" t="s">
        <v>398</v>
      </c>
      <c r="K62" s="23" t="s">
        <v>371</v>
      </c>
      <c r="L62" s="24" t="s">
        <v>81</v>
      </c>
      <c r="M62" s="24" t="s">
        <v>50</v>
      </c>
      <c r="N62" s="23" t="s">
        <v>388</v>
      </c>
      <c r="O62" s="23" t="s">
        <v>120</v>
      </c>
      <c r="P62" s="23" t="s">
        <v>53</v>
      </c>
      <c r="Q62" s="23" t="s">
        <v>47</v>
      </c>
      <c r="R62" s="23"/>
      <c r="S62" s="20"/>
      <c r="T62" s="23"/>
    </row>
    <row r="63" spans="2:20" ht="107.25" customHeight="1">
      <c r="B63" s="68" t="s">
        <v>155</v>
      </c>
      <c r="C63" s="10" t="s">
        <v>114</v>
      </c>
      <c r="D63" s="22" t="s">
        <v>399</v>
      </c>
      <c r="E63" s="22" t="s">
        <v>58</v>
      </c>
      <c r="F63" s="86" t="s">
        <v>45</v>
      </c>
      <c r="G63" s="86" t="s">
        <v>307</v>
      </c>
      <c r="H63" s="86" t="s">
        <v>275</v>
      </c>
      <c r="I63" s="88" t="s">
        <v>400</v>
      </c>
      <c r="J63" s="88" t="s">
        <v>401</v>
      </c>
      <c r="K63" s="88" t="s">
        <v>402</v>
      </c>
      <c r="L63" s="89" t="s">
        <v>81</v>
      </c>
      <c r="M63" s="89" t="s">
        <v>50</v>
      </c>
      <c r="N63" s="88" t="s">
        <v>403</v>
      </c>
      <c r="O63" s="88" t="s">
        <v>404</v>
      </c>
      <c r="P63" s="88" t="s">
        <v>405</v>
      </c>
      <c r="Q63" s="88" t="s">
        <v>47</v>
      </c>
      <c r="R63" s="88"/>
      <c r="S63" s="91"/>
      <c r="T63" s="88"/>
    </row>
    <row r="64" spans="2:20" ht="45.95">
      <c r="B64" s="68" t="s">
        <v>155</v>
      </c>
      <c r="C64" s="10" t="s">
        <v>114</v>
      </c>
      <c r="D64" s="22" t="s">
        <v>406</v>
      </c>
      <c r="E64" s="22" t="s">
        <v>58</v>
      </c>
      <c r="F64" s="86" t="s">
        <v>45</v>
      </c>
      <c r="G64" s="86" t="s">
        <v>307</v>
      </c>
      <c r="H64" s="86" t="s">
        <v>275</v>
      </c>
      <c r="I64" s="88" t="s">
        <v>407</v>
      </c>
      <c r="J64" s="88" t="s">
        <v>408</v>
      </c>
      <c r="K64" s="88" t="s">
        <v>402</v>
      </c>
      <c r="L64" s="89" t="s">
        <v>81</v>
      </c>
      <c r="M64" s="89" t="s">
        <v>50</v>
      </c>
      <c r="N64" s="88" t="s">
        <v>409</v>
      </c>
      <c r="O64" s="88" t="s">
        <v>404</v>
      </c>
      <c r="P64" s="88" t="s">
        <v>405</v>
      </c>
      <c r="Q64" s="88" t="s">
        <v>47</v>
      </c>
      <c r="R64" s="88"/>
      <c r="S64" s="91"/>
      <c r="T64" s="88"/>
    </row>
    <row r="65" spans="2:20" ht="57.6">
      <c r="B65" s="68" t="s">
        <v>155</v>
      </c>
      <c r="C65" s="11" t="s">
        <v>195</v>
      </c>
      <c r="D65" s="22">
        <v>40</v>
      </c>
      <c r="E65" s="22" t="s">
        <v>58</v>
      </c>
      <c r="F65" s="22" t="s">
        <v>45</v>
      </c>
      <c r="G65" s="22" t="s">
        <v>196</v>
      </c>
      <c r="H65" s="22" t="s">
        <v>78</v>
      </c>
      <c r="I65" s="3" t="s">
        <v>197</v>
      </c>
      <c r="J65" s="23" t="s">
        <v>198</v>
      </c>
      <c r="K65" s="23" t="s">
        <v>94</v>
      </c>
      <c r="L65" s="18" t="s">
        <v>81</v>
      </c>
      <c r="M65" s="18" t="s">
        <v>50</v>
      </c>
      <c r="N65" s="98" t="s">
        <v>132</v>
      </c>
      <c r="O65" s="23" t="s">
        <v>120</v>
      </c>
      <c r="P65" s="57" t="s">
        <v>84</v>
      </c>
      <c r="Q65" s="71"/>
      <c r="R65" s="23" t="s">
        <v>199</v>
      </c>
      <c r="S65" s="20"/>
      <c r="T65" s="20"/>
    </row>
    <row r="66" spans="2:20" ht="80.45">
      <c r="B66" s="68" t="s">
        <v>155</v>
      </c>
      <c r="C66" s="11" t="s">
        <v>195</v>
      </c>
      <c r="D66" s="22">
        <v>40.1</v>
      </c>
      <c r="E66" s="22" t="s">
        <v>58</v>
      </c>
      <c r="F66" s="22" t="s">
        <v>45</v>
      </c>
      <c r="G66" s="22" t="s">
        <v>196</v>
      </c>
      <c r="H66" s="22" t="s">
        <v>78</v>
      </c>
      <c r="I66" s="3" t="s">
        <v>200</v>
      </c>
      <c r="J66" s="23" t="s">
        <v>201</v>
      </c>
      <c r="K66" s="23" t="s">
        <v>94</v>
      </c>
      <c r="L66" s="18" t="s">
        <v>81</v>
      </c>
      <c r="M66" s="18" t="s">
        <v>50</v>
      </c>
      <c r="N66" s="98" t="s">
        <v>410</v>
      </c>
      <c r="O66" s="23" t="s">
        <v>52</v>
      </c>
      <c r="P66" s="57"/>
      <c r="Q66" s="71"/>
      <c r="R66" s="23" t="s">
        <v>202</v>
      </c>
      <c r="S66" s="20"/>
      <c r="T66" s="23" t="s">
        <v>203</v>
      </c>
    </row>
    <row r="67" spans="2:20" ht="57.6">
      <c r="B67" s="68" t="s">
        <v>155</v>
      </c>
      <c r="C67" s="11" t="s">
        <v>195</v>
      </c>
      <c r="D67" s="22">
        <v>40.200000000000003</v>
      </c>
      <c r="E67" s="22" t="s">
        <v>58</v>
      </c>
      <c r="F67" s="22" t="s">
        <v>45</v>
      </c>
      <c r="G67" s="22" t="s">
        <v>196</v>
      </c>
      <c r="H67" s="22" t="s">
        <v>78</v>
      </c>
      <c r="I67" s="3" t="s">
        <v>411</v>
      </c>
      <c r="J67" s="23" t="s">
        <v>412</v>
      </c>
      <c r="K67" s="23" t="s">
        <v>94</v>
      </c>
      <c r="L67" s="18" t="s">
        <v>81</v>
      </c>
      <c r="M67" s="18" t="s">
        <v>50</v>
      </c>
      <c r="N67" s="23" t="s">
        <v>132</v>
      </c>
      <c r="O67" s="98" t="s">
        <v>120</v>
      </c>
      <c r="P67" s="57" t="s">
        <v>84</v>
      </c>
      <c r="Q67" s="23"/>
      <c r="R67" s="23" t="s">
        <v>199</v>
      </c>
      <c r="S67" s="20"/>
      <c r="T67" s="20"/>
    </row>
    <row r="68" spans="2:20" ht="45.95">
      <c r="B68" s="68" t="s">
        <v>155</v>
      </c>
      <c r="C68" s="11" t="s">
        <v>195</v>
      </c>
      <c r="D68" s="22">
        <v>40.299999999999997</v>
      </c>
      <c r="E68" s="22" t="s">
        <v>58</v>
      </c>
      <c r="F68" s="22" t="s">
        <v>45</v>
      </c>
      <c r="G68" s="22" t="s">
        <v>196</v>
      </c>
      <c r="H68" s="22" t="s">
        <v>275</v>
      </c>
      <c r="I68" s="3" t="s">
        <v>413</v>
      </c>
      <c r="J68" s="23" t="s">
        <v>414</v>
      </c>
      <c r="K68" s="23" t="s">
        <v>415</v>
      </c>
      <c r="L68" s="18" t="s">
        <v>81</v>
      </c>
      <c r="M68" s="18" t="s">
        <v>50</v>
      </c>
      <c r="N68" s="23" t="s">
        <v>132</v>
      </c>
      <c r="O68" s="98" t="s">
        <v>120</v>
      </c>
      <c r="P68" s="57" t="s">
        <v>84</v>
      </c>
      <c r="Q68" s="23"/>
      <c r="R68" s="23" t="s">
        <v>199</v>
      </c>
      <c r="S68" s="20"/>
      <c r="T68" s="20"/>
    </row>
    <row r="69" spans="2:20" ht="92.1">
      <c r="B69" s="68" t="s">
        <v>155</v>
      </c>
      <c r="C69" s="11" t="s">
        <v>195</v>
      </c>
      <c r="D69" s="22">
        <v>41</v>
      </c>
      <c r="E69" s="22" t="s">
        <v>44</v>
      </c>
      <c r="F69" s="22" t="s">
        <v>45</v>
      </c>
      <c r="G69" s="22" t="s">
        <v>196</v>
      </c>
      <c r="H69" s="22" t="s">
        <v>78</v>
      </c>
      <c r="I69" s="31" t="s">
        <v>204</v>
      </c>
      <c r="J69" s="23" t="s">
        <v>205</v>
      </c>
      <c r="K69" s="23" t="s">
        <v>94</v>
      </c>
      <c r="L69" s="24" t="s">
        <v>81</v>
      </c>
      <c r="M69" s="24" t="s">
        <v>158</v>
      </c>
      <c r="N69" s="98" t="s">
        <v>416</v>
      </c>
      <c r="O69" s="23" t="s">
        <v>160</v>
      </c>
      <c r="P69" s="57" t="s">
        <v>214</v>
      </c>
      <c r="Q69" s="57" t="s">
        <v>417</v>
      </c>
      <c r="R69" s="23" t="s">
        <v>418</v>
      </c>
      <c r="S69" s="20"/>
      <c r="T69" s="23" t="s">
        <v>207</v>
      </c>
    </row>
    <row r="70" spans="2:20" ht="82.5" customHeight="1">
      <c r="B70" s="68" t="s">
        <v>155</v>
      </c>
      <c r="C70" s="11" t="s">
        <v>195</v>
      </c>
      <c r="D70" s="22">
        <v>41.1</v>
      </c>
      <c r="E70" s="22" t="s">
        <v>44</v>
      </c>
      <c r="F70" s="22" t="s">
        <v>45</v>
      </c>
      <c r="G70" s="22" t="s">
        <v>196</v>
      </c>
      <c r="H70" s="22" t="s">
        <v>78</v>
      </c>
      <c r="I70" s="23" t="s">
        <v>211</v>
      </c>
      <c r="J70" s="23" t="s">
        <v>419</v>
      </c>
      <c r="K70" s="23" t="s">
        <v>94</v>
      </c>
      <c r="L70" s="24" t="s">
        <v>81</v>
      </c>
      <c r="M70" s="24" t="s">
        <v>158</v>
      </c>
      <c r="N70" s="98" t="s">
        <v>416</v>
      </c>
      <c r="O70" s="23" t="s">
        <v>160</v>
      </c>
      <c r="P70" s="57" t="s">
        <v>420</v>
      </c>
      <c r="Q70" s="23" t="s">
        <v>47</v>
      </c>
      <c r="R70" s="23"/>
      <c r="S70" s="20"/>
      <c r="T70" s="23"/>
    </row>
    <row r="71" spans="2:20" ht="80.45">
      <c r="B71" s="68" t="s">
        <v>155</v>
      </c>
      <c r="C71" s="11" t="s">
        <v>195</v>
      </c>
      <c r="D71" s="22">
        <v>42</v>
      </c>
      <c r="E71" s="22" t="s">
        <v>44</v>
      </c>
      <c r="F71" s="22" t="s">
        <v>45</v>
      </c>
      <c r="G71" s="22" t="s">
        <v>196</v>
      </c>
      <c r="H71" s="22" t="s">
        <v>78</v>
      </c>
      <c r="I71" s="23" t="s">
        <v>216</v>
      </c>
      <c r="J71" s="23" t="s">
        <v>217</v>
      </c>
      <c r="K71" s="23" t="s">
        <v>94</v>
      </c>
      <c r="L71" s="24" t="s">
        <v>81</v>
      </c>
      <c r="M71" s="24" t="s">
        <v>158</v>
      </c>
      <c r="N71" s="98" t="s">
        <v>421</v>
      </c>
      <c r="O71" s="23" t="s">
        <v>160</v>
      </c>
      <c r="P71" s="57" t="s">
        <v>420</v>
      </c>
      <c r="Q71" s="23" t="s">
        <v>47</v>
      </c>
      <c r="R71" s="23" t="s">
        <v>219</v>
      </c>
      <c r="S71" s="20"/>
      <c r="T71" s="23"/>
    </row>
    <row r="72" spans="2:20" ht="112.5" customHeight="1">
      <c r="B72" s="68" t="s">
        <v>155</v>
      </c>
      <c r="C72" s="11" t="s">
        <v>195</v>
      </c>
      <c r="D72" s="22">
        <v>42.1</v>
      </c>
      <c r="E72" s="22" t="s">
        <v>44</v>
      </c>
      <c r="F72" s="22" t="s">
        <v>45</v>
      </c>
      <c r="G72" s="22" t="s">
        <v>196</v>
      </c>
      <c r="H72" s="22" t="s">
        <v>78</v>
      </c>
      <c r="I72" s="23" t="s">
        <v>422</v>
      </c>
      <c r="J72" s="23" t="s">
        <v>423</v>
      </c>
      <c r="K72" s="23" t="s">
        <v>94</v>
      </c>
      <c r="L72" s="24" t="s">
        <v>81</v>
      </c>
      <c r="M72" s="24" t="s">
        <v>158</v>
      </c>
      <c r="N72" s="98" t="s">
        <v>421</v>
      </c>
      <c r="O72" s="23" t="s">
        <v>404</v>
      </c>
      <c r="P72" s="57" t="s">
        <v>420</v>
      </c>
      <c r="Q72" s="23" t="s">
        <v>47</v>
      </c>
      <c r="R72" s="23" t="s">
        <v>424</v>
      </c>
      <c r="S72" s="20"/>
      <c r="T72" s="23"/>
    </row>
    <row r="73" spans="2:20" ht="103.5" customHeight="1">
      <c r="B73" s="68" t="s">
        <v>155</v>
      </c>
      <c r="C73" s="11" t="s">
        <v>195</v>
      </c>
      <c r="D73" s="22">
        <v>43</v>
      </c>
      <c r="E73" s="22" t="s">
        <v>44</v>
      </c>
      <c r="F73" s="22" t="s">
        <v>45</v>
      </c>
      <c r="G73" s="22" t="s">
        <v>77</v>
      </c>
      <c r="H73" s="22" t="s">
        <v>78</v>
      </c>
      <c r="I73" s="3" t="s">
        <v>208</v>
      </c>
      <c r="J73" s="23" t="s">
        <v>209</v>
      </c>
      <c r="K73" s="23" t="s">
        <v>94</v>
      </c>
      <c r="L73" s="24" t="s">
        <v>81</v>
      </c>
      <c r="M73" s="24" t="s">
        <v>158</v>
      </c>
      <c r="N73" s="98" t="s">
        <v>421</v>
      </c>
      <c r="O73" s="23" t="s">
        <v>160</v>
      </c>
      <c r="P73" s="63" t="s">
        <v>173</v>
      </c>
      <c r="Q73" s="23"/>
      <c r="R73" s="23" t="s">
        <v>210</v>
      </c>
      <c r="S73" s="20"/>
      <c r="T73" s="23"/>
    </row>
    <row r="74" spans="2:20" ht="103.5" customHeight="1">
      <c r="B74" s="68" t="s">
        <v>155</v>
      </c>
      <c r="C74" s="11" t="s">
        <v>195</v>
      </c>
      <c r="D74" s="22">
        <v>44</v>
      </c>
      <c r="E74" s="22"/>
      <c r="F74" s="22"/>
      <c r="G74" s="22"/>
      <c r="H74" s="22" t="s">
        <v>275</v>
      </c>
      <c r="I74" s="3" t="s">
        <v>425</v>
      </c>
      <c r="J74" s="23" t="s">
        <v>426</v>
      </c>
      <c r="K74" s="23" t="s">
        <v>94</v>
      </c>
      <c r="L74" s="24" t="s">
        <v>81</v>
      </c>
      <c r="M74" s="24" t="s">
        <v>158</v>
      </c>
      <c r="N74" s="98" t="s">
        <v>421</v>
      </c>
      <c r="O74" s="23" t="s">
        <v>160</v>
      </c>
      <c r="P74" s="63" t="s">
        <v>173</v>
      </c>
      <c r="Q74" s="23"/>
      <c r="R74" s="23"/>
      <c r="S74" s="20"/>
      <c r="T74" s="23"/>
    </row>
    <row r="75" spans="2:20" ht="69">
      <c r="B75" s="68" t="s">
        <v>155</v>
      </c>
      <c r="C75" s="11" t="s">
        <v>195</v>
      </c>
      <c r="D75" s="86">
        <v>45</v>
      </c>
      <c r="E75" s="86" t="s">
        <v>44</v>
      </c>
      <c r="F75" s="86" t="s">
        <v>45</v>
      </c>
      <c r="G75" s="86" t="s">
        <v>196</v>
      </c>
      <c r="H75" s="86" t="s">
        <v>220</v>
      </c>
      <c r="I75" s="88" t="s">
        <v>221</v>
      </c>
      <c r="J75" s="88" t="s">
        <v>222</v>
      </c>
      <c r="K75" s="88" t="s">
        <v>223</v>
      </c>
      <c r="L75" s="89" t="s">
        <v>81</v>
      </c>
      <c r="M75" s="89" t="s">
        <v>158</v>
      </c>
      <c r="N75" s="91" t="s">
        <v>427</v>
      </c>
      <c r="O75" s="23" t="s">
        <v>404</v>
      </c>
      <c r="P75" s="90" t="s">
        <v>224</v>
      </c>
      <c r="Q75" s="88" t="s">
        <v>47</v>
      </c>
      <c r="R75" s="88"/>
      <c r="S75" s="91"/>
      <c r="T75" s="88" t="s">
        <v>428</v>
      </c>
    </row>
    <row r="76" spans="2:20" ht="69">
      <c r="B76" s="68" t="s">
        <v>155</v>
      </c>
      <c r="C76" s="11" t="s">
        <v>195</v>
      </c>
      <c r="D76" s="86">
        <v>45.1</v>
      </c>
      <c r="E76" s="86" t="s">
        <v>44</v>
      </c>
      <c r="F76" s="86" t="s">
        <v>45</v>
      </c>
      <c r="G76" s="86" t="s">
        <v>196</v>
      </c>
      <c r="H76" s="86" t="s">
        <v>220</v>
      </c>
      <c r="I76" s="88" t="s">
        <v>429</v>
      </c>
      <c r="J76" s="88" t="s">
        <v>430</v>
      </c>
      <c r="K76" s="88" t="s">
        <v>223</v>
      </c>
      <c r="L76" s="89" t="s">
        <v>81</v>
      </c>
      <c r="M76" s="89" t="s">
        <v>158</v>
      </c>
      <c r="N76" s="91" t="s">
        <v>427</v>
      </c>
      <c r="O76" s="23" t="s">
        <v>404</v>
      </c>
      <c r="P76" s="90" t="s">
        <v>224</v>
      </c>
      <c r="Q76" s="88" t="s">
        <v>47</v>
      </c>
      <c r="R76" s="88" t="s">
        <v>431</v>
      </c>
      <c r="S76" s="91"/>
      <c r="T76" s="88" t="s">
        <v>428</v>
      </c>
    </row>
    <row r="77" spans="2:20" ht="69">
      <c r="B77" s="68" t="s">
        <v>155</v>
      </c>
      <c r="C77" s="11" t="s">
        <v>195</v>
      </c>
      <c r="D77" s="86">
        <v>45.2</v>
      </c>
      <c r="E77" s="86" t="s">
        <v>44</v>
      </c>
      <c r="F77" s="86" t="s">
        <v>45</v>
      </c>
      <c r="G77" s="86" t="s">
        <v>196</v>
      </c>
      <c r="H77" s="86" t="s">
        <v>220</v>
      </c>
      <c r="I77" s="88" t="s">
        <v>432</v>
      </c>
      <c r="J77" s="88" t="s">
        <v>433</v>
      </c>
      <c r="K77" s="88" t="s">
        <v>223</v>
      </c>
      <c r="L77" s="89" t="s">
        <v>81</v>
      </c>
      <c r="M77" s="89" t="s">
        <v>158</v>
      </c>
      <c r="N77" s="91" t="s">
        <v>427</v>
      </c>
      <c r="O77" s="23" t="s">
        <v>404</v>
      </c>
      <c r="P77" s="90" t="s">
        <v>224</v>
      </c>
      <c r="Q77" s="88" t="s">
        <v>47</v>
      </c>
      <c r="R77" s="88" t="s">
        <v>434</v>
      </c>
      <c r="S77" s="91"/>
      <c r="T77" s="88" t="s">
        <v>428</v>
      </c>
    </row>
    <row r="78" spans="2:20" ht="69">
      <c r="B78" s="68" t="s">
        <v>155</v>
      </c>
      <c r="C78" s="11" t="s">
        <v>195</v>
      </c>
      <c r="D78" s="86">
        <v>45.3</v>
      </c>
      <c r="E78" s="86" t="s">
        <v>44</v>
      </c>
      <c r="F78" s="86" t="s">
        <v>45</v>
      </c>
      <c r="G78" s="86" t="s">
        <v>196</v>
      </c>
      <c r="H78" s="86" t="s">
        <v>220</v>
      </c>
      <c r="I78" s="88" t="s">
        <v>435</v>
      </c>
      <c r="J78" s="88" t="s">
        <v>436</v>
      </c>
      <c r="K78" s="88" t="s">
        <v>223</v>
      </c>
      <c r="L78" s="89" t="s">
        <v>81</v>
      </c>
      <c r="M78" s="89" t="s">
        <v>158</v>
      </c>
      <c r="N78" s="91" t="s">
        <v>427</v>
      </c>
      <c r="O78" s="23" t="s">
        <v>404</v>
      </c>
      <c r="P78" s="90" t="s">
        <v>224</v>
      </c>
      <c r="Q78" s="88" t="s">
        <v>47</v>
      </c>
      <c r="R78" s="88"/>
      <c r="S78" s="91"/>
      <c r="T78" s="88" t="s">
        <v>428</v>
      </c>
    </row>
    <row r="79" spans="2:20" ht="57.95">
      <c r="B79" s="68" t="s">
        <v>155</v>
      </c>
      <c r="C79" s="11" t="s">
        <v>195</v>
      </c>
      <c r="D79" s="86">
        <v>45.4</v>
      </c>
      <c r="E79" s="86" t="s">
        <v>44</v>
      </c>
      <c r="F79" s="86" t="s">
        <v>45</v>
      </c>
      <c r="G79" s="86" t="s">
        <v>196</v>
      </c>
      <c r="H79" s="86" t="s">
        <v>226</v>
      </c>
      <c r="I79" s="88" t="s">
        <v>227</v>
      </c>
      <c r="J79" s="88" t="s">
        <v>228</v>
      </c>
      <c r="K79" s="88" t="s">
        <v>223</v>
      </c>
      <c r="L79" s="89" t="s">
        <v>81</v>
      </c>
      <c r="M79" s="89" t="s">
        <v>158</v>
      </c>
      <c r="N79" s="91" t="s">
        <v>427</v>
      </c>
      <c r="O79" s="23" t="s">
        <v>404</v>
      </c>
      <c r="P79" s="90" t="s">
        <v>229</v>
      </c>
      <c r="Q79" s="88" t="s">
        <v>230</v>
      </c>
      <c r="R79" s="88" t="s">
        <v>437</v>
      </c>
      <c r="S79" s="91"/>
      <c r="T79" s="88"/>
    </row>
    <row r="80" spans="2:20" ht="57.95">
      <c r="B80" s="68" t="s">
        <v>155</v>
      </c>
      <c r="C80" s="11" t="s">
        <v>195</v>
      </c>
      <c r="D80" s="22">
        <v>45.5</v>
      </c>
      <c r="E80" s="22" t="s">
        <v>44</v>
      </c>
      <c r="F80" s="22" t="s">
        <v>45</v>
      </c>
      <c r="G80" s="22" t="s">
        <v>196</v>
      </c>
      <c r="H80" s="22" t="s">
        <v>226</v>
      </c>
      <c r="I80" s="23" t="s">
        <v>438</v>
      </c>
      <c r="J80" s="23" t="s">
        <v>439</v>
      </c>
      <c r="K80" s="23" t="s">
        <v>223</v>
      </c>
      <c r="L80" s="24" t="s">
        <v>81</v>
      </c>
      <c r="M80" s="24" t="s">
        <v>158</v>
      </c>
      <c r="N80" s="91" t="s">
        <v>427</v>
      </c>
      <c r="O80" s="23" t="s">
        <v>404</v>
      </c>
      <c r="P80" s="57" t="s">
        <v>229</v>
      </c>
      <c r="Q80" s="23" t="s">
        <v>230</v>
      </c>
      <c r="R80" s="23" t="s">
        <v>437</v>
      </c>
      <c r="S80" s="20"/>
      <c r="T80" s="23"/>
    </row>
    <row r="81" spans="2:20" ht="34.5">
      <c r="B81" s="68" t="s">
        <v>155</v>
      </c>
      <c r="C81" s="55" t="s">
        <v>195</v>
      </c>
      <c r="D81" s="22">
        <v>45.6</v>
      </c>
      <c r="E81" s="29" t="s">
        <v>58</v>
      </c>
      <c r="F81" s="29" t="s">
        <v>45</v>
      </c>
      <c r="G81" s="22" t="s">
        <v>196</v>
      </c>
      <c r="H81" s="22" t="s">
        <v>275</v>
      </c>
      <c r="I81" s="23" t="s">
        <v>440</v>
      </c>
      <c r="J81" s="23" t="s">
        <v>441</v>
      </c>
      <c r="K81" s="23" t="s">
        <v>223</v>
      </c>
      <c r="L81" s="24" t="s">
        <v>81</v>
      </c>
      <c r="M81" s="24" t="s">
        <v>158</v>
      </c>
      <c r="N81" s="91" t="s">
        <v>427</v>
      </c>
      <c r="O81" s="23" t="s">
        <v>404</v>
      </c>
      <c r="P81" s="57" t="s">
        <v>224</v>
      </c>
      <c r="Q81" s="57" t="s">
        <v>229</v>
      </c>
      <c r="R81" s="20"/>
      <c r="S81" s="20"/>
      <c r="T81" s="20"/>
    </row>
    <row r="82" spans="2:20" ht="95.25" customHeight="1">
      <c r="B82" s="68" t="s">
        <v>155</v>
      </c>
      <c r="C82" s="55" t="s">
        <v>195</v>
      </c>
      <c r="D82" s="22">
        <v>45.7</v>
      </c>
      <c r="E82" s="29" t="s">
        <v>58</v>
      </c>
      <c r="F82" s="29" t="s">
        <v>45</v>
      </c>
      <c r="G82" s="22" t="s">
        <v>196</v>
      </c>
      <c r="H82" s="22" t="s">
        <v>275</v>
      </c>
      <c r="I82" s="23" t="s">
        <v>442</v>
      </c>
      <c r="J82" s="23" t="s">
        <v>443</v>
      </c>
      <c r="K82" s="23" t="s">
        <v>223</v>
      </c>
      <c r="L82" s="24" t="s">
        <v>81</v>
      </c>
      <c r="M82" s="24" t="s">
        <v>158</v>
      </c>
      <c r="N82" s="91" t="s">
        <v>427</v>
      </c>
      <c r="O82" s="23" t="s">
        <v>404</v>
      </c>
      <c r="P82" s="57" t="s">
        <v>224</v>
      </c>
      <c r="Q82" s="57" t="s">
        <v>229</v>
      </c>
      <c r="R82" s="20"/>
      <c r="S82" s="20"/>
      <c r="T82" s="23"/>
    </row>
    <row r="83" spans="2:20" ht="93.75" customHeight="1">
      <c r="B83" s="68" t="s">
        <v>155</v>
      </c>
      <c r="C83" s="11" t="s">
        <v>195</v>
      </c>
      <c r="D83" s="22">
        <v>46</v>
      </c>
      <c r="E83" s="22" t="s">
        <v>58</v>
      </c>
      <c r="F83" s="22" t="s">
        <v>45</v>
      </c>
      <c r="G83" s="22" t="s">
        <v>196</v>
      </c>
      <c r="H83" s="22" t="s">
        <v>220</v>
      </c>
      <c r="I83" s="23" t="s">
        <v>444</v>
      </c>
      <c r="J83" s="23" t="s">
        <v>445</v>
      </c>
      <c r="K83" s="23" t="s">
        <v>402</v>
      </c>
      <c r="L83" s="24" t="s">
        <v>81</v>
      </c>
      <c r="M83" s="24" t="s">
        <v>158</v>
      </c>
      <c r="N83" s="98" t="s">
        <v>421</v>
      </c>
      <c r="O83" s="23" t="s">
        <v>404</v>
      </c>
      <c r="P83" s="57" t="s">
        <v>224</v>
      </c>
      <c r="Q83" s="23" t="s">
        <v>47</v>
      </c>
      <c r="R83" s="23"/>
      <c r="S83" s="20"/>
      <c r="T83" s="23"/>
    </row>
    <row r="84" spans="2:20" ht="93.75" customHeight="1">
      <c r="B84" s="68" t="s">
        <v>155</v>
      </c>
      <c r="C84" s="11" t="s">
        <v>195</v>
      </c>
      <c r="D84" s="22">
        <v>46.1</v>
      </c>
      <c r="E84" s="22" t="s">
        <v>58</v>
      </c>
      <c r="F84" s="22" t="s">
        <v>45</v>
      </c>
      <c r="G84" s="22" t="s">
        <v>196</v>
      </c>
      <c r="H84" s="22" t="s">
        <v>220</v>
      </c>
      <c r="I84" s="23" t="s">
        <v>446</v>
      </c>
      <c r="J84" s="23" t="s">
        <v>447</v>
      </c>
      <c r="K84" s="23"/>
      <c r="L84" s="24"/>
      <c r="M84" s="24"/>
      <c r="N84" s="98"/>
      <c r="O84" s="23" t="s">
        <v>404</v>
      </c>
      <c r="P84" s="57" t="s">
        <v>224</v>
      </c>
      <c r="Q84" s="23"/>
      <c r="R84" s="23"/>
      <c r="S84" s="20"/>
      <c r="T84" s="23"/>
    </row>
    <row r="85" spans="2:20" ht="93.75" customHeight="1">
      <c r="B85" s="68" t="s">
        <v>155</v>
      </c>
      <c r="C85" s="11" t="s">
        <v>195</v>
      </c>
      <c r="D85" s="22">
        <v>46.1</v>
      </c>
      <c r="E85" s="22" t="s">
        <v>58</v>
      </c>
      <c r="F85" s="22" t="s">
        <v>45</v>
      </c>
      <c r="G85" s="22" t="s">
        <v>196</v>
      </c>
      <c r="H85" s="22" t="s">
        <v>220</v>
      </c>
      <c r="I85" s="23" t="s">
        <v>448</v>
      </c>
      <c r="J85" s="23" t="s">
        <v>449</v>
      </c>
      <c r="K85" s="23"/>
      <c r="L85" s="24"/>
      <c r="M85" s="24"/>
      <c r="N85" s="98"/>
      <c r="O85" s="23" t="s">
        <v>404</v>
      </c>
      <c r="P85" s="57" t="s">
        <v>224</v>
      </c>
      <c r="Q85" s="23"/>
      <c r="R85" s="23"/>
      <c r="S85" s="20"/>
      <c r="T85" s="23"/>
    </row>
    <row r="86" spans="2:20" ht="93.75" customHeight="1">
      <c r="B86" s="68" t="s">
        <v>155</v>
      </c>
      <c r="C86" s="11" t="s">
        <v>195</v>
      </c>
      <c r="D86" s="22">
        <v>46.1</v>
      </c>
      <c r="E86" s="22" t="s">
        <v>58</v>
      </c>
      <c r="F86" s="22" t="s">
        <v>45</v>
      </c>
      <c r="G86" s="22" t="s">
        <v>196</v>
      </c>
      <c r="H86" s="22" t="s">
        <v>220</v>
      </c>
      <c r="I86" s="23" t="s">
        <v>450</v>
      </c>
      <c r="J86" s="23" t="s">
        <v>451</v>
      </c>
      <c r="K86" s="23"/>
      <c r="L86" s="24"/>
      <c r="M86" s="24"/>
      <c r="N86" s="98"/>
      <c r="O86" s="23" t="s">
        <v>404</v>
      </c>
      <c r="P86" s="57" t="s">
        <v>224</v>
      </c>
      <c r="Q86" s="23"/>
      <c r="R86" s="23"/>
      <c r="S86" s="20"/>
      <c r="T86" s="23"/>
    </row>
    <row r="87" spans="2:20" ht="171.75" customHeight="1">
      <c r="B87" s="68" t="s">
        <v>155</v>
      </c>
      <c r="C87" s="11" t="s">
        <v>195</v>
      </c>
      <c r="D87" s="22" t="s">
        <v>452</v>
      </c>
      <c r="E87" s="22" t="s">
        <v>58</v>
      </c>
      <c r="F87" s="22" t="s">
        <v>45</v>
      </c>
      <c r="G87" s="22" t="s">
        <v>307</v>
      </c>
      <c r="H87" s="22" t="s">
        <v>226</v>
      </c>
      <c r="I87" s="23" t="s">
        <v>453</v>
      </c>
      <c r="J87" s="23" t="s">
        <v>454</v>
      </c>
      <c r="K87" s="23" t="s">
        <v>402</v>
      </c>
      <c r="L87" s="24" t="s">
        <v>81</v>
      </c>
      <c r="M87" s="24" t="s">
        <v>236</v>
      </c>
      <c r="N87" s="98" t="s">
        <v>455</v>
      </c>
      <c r="O87" s="23" t="s">
        <v>404</v>
      </c>
      <c r="P87" s="23" t="s">
        <v>456</v>
      </c>
      <c r="Q87" s="23" t="s">
        <v>47</v>
      </c>
      <c r="R87" s="23" t="s">
        <v>457</v>
      </c>
      <c r="S87" s="20"/>
      <c r="T87" s="23"/>
    </row>
    <row r="88" spans="2:20" ht="171.75" customHeight="1">
      <c r="B88" s="68" t="s">
        <v>155</v>
      </c>
      <c r="C88" s="11" t="s">
        <v>195</v>
      </c>
      <c r="D88" s="22" t="s">
        <v>458</v>
      </c>
      <c r="E88" s="22" t="s">
        <v>58</v>
      </c>
      <c r="F88" s="22" t="s">
        <v>45</v>
      </c>
      <c r="G88" s="22" t="s">
        <v>307</v>
      </c>
      <c r="H88" s="22" t="s">
        <v>220</v>
      </c>
      <c r="I88" s="23" t="s">
        <v>459</v>
      </c>
      <c r="J88" s="23" t="s">
        <v>460</v>
      </c>
      <c r="K88" s="23" t="s">
        <v>402</v>
      </c>
      <c r="L88" s="24" t="s">
        <v>81</v>
      </c>
      <c r="M88" s="24" t="s">
        <v>236</v>
      </c>
      <c r="N88" s="98" t="s">
        <v>455</v>
      </c>
      <c r="O88" s="23" t="s">
        <v>404</v>
      </c>
      <c r="P88" s="23" t="s">
        <v>456</v>
      </c>
      <c r="Q88" s="23" t="s">
        <v>47</v>
      </c>
      <c r="R88" s="23" t="s">
        <v>457</v>
      </c>
      <c r="S88" s="20"/>
      <c r="T88" s="23"/>
    </row>
    <row r="89" spans="2:20" ht="171.75" customHeight="1">
      <c r="B89" s="68" t="s">
        <v>155</v>
      </c>
      <c r="C89" s="11" t="s">
        <v>195</v>
      </c>
      <c r="D89" s="22" t="s">
        <v>461</v>
      </c>
      <c r="E89" s="22" t="s">
        <v>58</v>
      </c>
      <c r="F89" s="22" t="s">
        <v>45</v>
      </c>
      <c r="G89" s="22" t="s">
        <v>307</v>
      </c>
      <c r="H89" s="22" t="s">
        <v>220</v>
      </c>
      <c r="I89" s="23" t="s">
        <v>462</v>
      </c>
      <c r="J89" s="23" t="s">
        <v>463</v>
      </c>
      <c r="K89" s="23" t="s">
        <v>402</v>
      </c>
      <c r="L89" s="24" t="s">
        <v>81</v>
      </c>
      <c r="M89" s="24" t="s">
        <v>236</v>
      </c>
      <c r="N89" s="98" t="s">
        <v>455</v>
      </c>
      <c r="O89" s="23" t="s">
        <v>404</v>
      </c>
      <c r="P89" s="23" t="s">
        <v>456</v>
      </c>
      <c r="Q89" s="23" t="s">
        <v>47</v>
      </c>
      <c r="R89" s="23" t="s">
        <v>457</v>
      </c>
      <c r="S89" s="20"/>
      <c r="T89" s="23"/>
    </row>
    <row r="90" spans="2:20" ht="39.75" customHeight="1">
      <c r="B90" s="68" t="s">
        <v>155</v>
      </c>
      <c r="C90" s="11" t="s">
        <v>195</v>
      </c>
      <c r="D90" s="22" t="s">
        <v>464</v>
      </c>
      <c r="E90" s="22" t="s">
        <v>58</v>
      </c>
      <c r="F90" s="22" t="s">
        <v>45</v>
      </c>
      <c r="G90" s="22" t="s">
        <v>307</v>
      </c>
      <c r="H90" s="22" t="s">
        <v>220</v>
      </c>
      <c r="I90" s="23" t="s">
        <v>465</v>
      </c>
      <c r="J90" s="23" t="s">
        <v>466</v>
      </c>
      <c r="K90" s="23" t="s">
        <v>402</v>
      </c>
      <c r="L90" s="24" t="s">
        <v>81</v>
      </c>
      <c r="M90" s="24" t="s">
        <v>236</v>
      </c>
      <c r="N90" s="98" t="s">
        <v>455</v>
      </c>
      <c r="O90" s="23" t="s">
        <v>404</v>
      </c>
      <c r="P90" s="23" t="s">
        <v>456</v>
      </c>
      <c r="Q90" s="23" t="s">
        <v>47</v>
      </c>
      <c r="R90" s="23"/>
      <c r="S90" s="20"/>
      <c r="T90" s="23"/>
    </row>
    <row r="91" spans="2:20" ht="39.75" customHeight="1">
      <c r="B91" s="68" t="s">
        <v>155</v>
      </c>
      <c r="C91" s="11" t="s">
        <v>195</v>
      </c>
      <c r="D91" s="22" t="s">
        <v>467</v>
      </c>
      <c r="E91" s="22" t="s">
        <v>58</v>
      </c>
      <c r="F91" s="22" t="s">
        <v>45</v>
      </c>
      <c r="G91" s="22" t="s">
        <v>307</v>
      </c>
      <c r="H91" s="22" t="s">
        <v>220</v>
      </c>
      <c r="I91" s="23" t="s">
        <v>468</v>
      </c>
      <c r="J91" s="23" t="s">
        <v>469</v>
      </c>
      <c r="K91" s="23" t="s">
        <v>402</v>
      </c>
      <c r="L91" s="24" t="s">
        <v>81</v>
      </c>
      <c r="M91" s="24" t="s">
        <v>236</v>
      </c>
      <c r="N91" s="98" t="s">
        <v>455</v>
      </c>
      <c r="O91" s="23" t="s">
        <v>404</v>
      </c>
      <c r="P91" s="23" t="s">
        <v>456</v>
      </c>
      <c r="Q91" s="23" t="s">
        <v>47</v>
      </c>
      <c r="R91" s="23"/>
      <c r="S91" s="20"/>
      <c r="T91" s="23"/>
    </row>
    <row r="92" spans="2:20" ht="34.5">
      <c r="B92" s="83" t="s">
        <v>231</v>
      </c>
      <c r="C92" s="5" t="s">
        <v>232</v>
      </c>
      <c r="D92" s="22">
        <v>60</v>
      </c>
      <c r="E92" s="22" t="s">
        <v>44</v>
      </c>
      <c r="F92" s="22" t="s">
        <v>45</v>
      </c>
      <c r="G92" s="22" t="s">
        <v>470</v>
      </c>
      <c r="H92" s="22" t="s">
        <v>220</v>
      </c>
      <c r="I92" s="26" t="s">
        <v>471</v>
      </c>
      <c r="J92" s="23" t="s">
        <v>472</v>
      </c>
      <c r="K92" s="23" t="s">
        <v>402</v>
      </c>
      <c r="L92" s="30" t="s">
        <v>81</v>
      </c>
      <c r="M92" s="24" t="s">
        <v>236</v>
      </c>
      <c r="N92" s="98" t="s">
        <v>455</v>
      </c>
      <c r="O92" s="23" t="s">
        <v>404</v>
      </c>
      <c r="P92" s="23" t="s">
        <v>456</v>
      </c>
      <c r="Q92" s="23" t="s">
        <v>47</v>
      </c>
      <c r="R92" s="20"/>
      <c r="S92" s="20"/>
      <c r="T92" s="23" t="s">
        <v>473</v>
      </c>
    </row>
    <row r="93" spans="2:20" ht="34.5">
      <c r="B93" s="83" t="s">
        <v>231</v>
      </c>
      <c r="C93" s="5" t="s">
        <v>232</v>
      </c>
      <c r="D93" s="22">
        <v>61</v>
      </c>
      <c r="E93" s="22" t="s">
        <v>44</v>
      </c>
      <c r="F93" s="22" t="s">
        <v>45</v>
      </c>
      <c r="G93" s="22" t="s">
        <v>470</v>
      </c>
      <c r="H93" s="22" t="s">
        <v>275</v>
      </c>
      <c r="I93" s="26" t="s">
        <v>474</v>
      </c>
      <c r="J93" s="23" t="s">
        <v>475</v>
      </c>
      <c r="K93" s="23" t="s">
        <v>402</v>
      </c>
      <c r="L93" s="30" t="s">
        <v>81</v>
      </c>
      <c r="M93" s="24" t="s">
        <v>236</v>
      </c>
      <c r="N93" s="98" t="s">
        <v>455</v>
      </c>
      <c r="O93" s="23" t="s">
        <v>404</v>
      </c>
      <c r="P93" s="23" t="s">
        <v>456</v>
      </c>
      <c r="Q93" s="23" t="s">
        <v>47</v>
      </c>
      <c r="R93" s="20"/>
      <c r="S93" s="20"/>
      <c r="T93" s="23" t="s">
        <v>473</v>
      </c>
    </row>
    <row r="94" spans="2:20" ht="161.1">
      <c r="B94" s="83" t="s">
        <v>231</v>
      </c>
      <c r="C94" s="5" t="s">
        <v>232</v>
      </c>
      <c r="D94" s="22"/>
      <c r="E94" s="22" t="s">
        <v>58</v>
      </c>
      <c r="F94" s="22" t="s">
        <v>45</v>
      </c>
      <c r="G94" s="22" t="s">
        <v>470</v>
      </c>
      <c r="H94" s="22" t="s">
        <v>275</v>
      </c>
      <c r="I94" s="23" t="s">
        <v>476</v>
      </c>
      <c r="J94" s="23" t="s">
        <v>476</v>
      </c>
      <c r="K94" s="23" t="s">
        <v>402</v>
      </c>
      <c r="L94" s="30" t="s">
        <v>81</v>
      </c>
      <c r="M94" s="24" t="s">
        <v>236</v>
      </c>
      <c r="N94" s="98" t="s">
        <v>455</v>
      </c>
      <c r="O94" s="23" t="s">
        <v>404</v>
      </c>
      <c r="P94" s="57" t="s">
        <v>477</v>
      </c>
      <c r="Q94" s="23" t="s">
        <v>47</v>
      </c>
      <c r="R94" s="23" t="s">
        <v>478</v>
      </c>
      <c r="S94" s="20"/>
      <c r="T94" s="23"/>
    </row>
    <row r="95" spans="2:20" ht="34.5">
      <c r="B95" s="83" t="s">
        <v>231</v>
      </c>
      <c r="C95" s="5" t="s">
        <v>232</v>
      </c>
      <c r="D95" s="22">
        <v>61.1</v>
      </c>
      <c r="E95" s="22" t="s">
        <v>44</v>
      </c>
      <c r="F95" s="22" t="s">
        <v>45</v>
      </c>
      <c r="G95" s="22" t="s">
        <v>470</v>
      </c>
      <c r="H95" s="22" t="s">
        <v>275</v>
      </c>
      <c r="I95" s="26" t="s">
        <v>479</v>
      </c>
      <c r="J95" s="23" t="s">
        <v>480</v>
      </c>
      <c r="K95" s="23" t="s">
        <v>402</v>
      </c>
      <c r="L95" s="30" t="s">
        <v>81</v>
      </c>
      <c r="M95" s="24" t="s">
        <v>236</v>
      </c>
      <c r="N95" s="98" t="s">
        <v>455</v>
      </c>
      <c r="O95" s="23" t="s">
        <v>404</v>
      </c>
      <c r="P95" s="23" t="s">
        <v>456</v>
      </c>
      <c r="Q95" s="23" t="s">
        <v>47</v>
      </c>
      <c r="R95" s="20"/>
      <c r="S95" s="20"/>
      <c r="T95" s="23" t="s">
        <v>473</v>
      </c>
    </row>
    <row r="96" spans="2:20" ht="34.5">
      <c r="B96" s="83" t="s">
        <v>231</v>
      </c>
      <c r="C96" s="5" t="s">
        <v>232</v>
      </c>
      <c r="D96" s="22">
        <v>61.2</v>
      </c>
      <c r="E96" s="22" t="s">
        <v>44</v>
      </c>
      <c r="F96" s="22" t="s">
        <v>45</v>
      </c>
      <c r="G96" s="22" t="s">
        <v>470</v>
      </c>
      <c r="H96" s="22" t="s">
        <v>275</v>
      </c>
      <c r="I96" s="26" t="s">
        <v>481</v>
      </c>
      <c r="J96" s="23" t="s">
        <v>482</v>
      </c>
      <c r="K96" s="23" t="s">
        <v>402</v>
      </c>
      <c r="L96" s="30" t="s">
        <v>81</v>
      </c>
      <c r="M96" s="24" t="s">
        <v>236</v>
      </c>
      <c r="N96" s="98" t="s">
        <v>455</v>
      </c>
      <c r="O96" s="23" t="s">
        <v>404</v>
      </c>
      <c r="P96" s="23" t="s">
        <v>456</v>
      </c>
      <c r="Q96" s="23" t="s">
        <v>47</v>
      </c>
      <c r="R96" s="20"/>
      <c r="S96" s="20"/>
      <c r="T96" s="23" t="s">
        <v>473</v>
      </c>
    </row>
    <row r="97" spans="2:20" ht="34.5">
      <c r="B97" s="83" t="s">
        <v>231</v>
      </c>
      <c r="C97" s="5" t="s">
        <v>232</v>
      </c>
      <c r="D97" s="22">
        <v>62</v>
      </c>
      <c r="E97" s="22" t="s">
        <v>44</v>
      </c>
      <c r="F97" s="22" t="s">
        <v>45</v>
      </c>
      <c r="G97" s="22" t="s">
        <v>470</v>
      </c>
      <c r="H97" s="22" t="s">
        <v>220</v>
      </c>
      <c r="I97" s="26" t="s">
        <v>483</v>
      </c>
      <c r="J97" s="23" t="s">
        <v>484</v>
      </c>
      <c r="K97" s="23" t="s">
        <v>402</v>
      </c>
      <c r="L97" s="30" t="s">
        <v>81</v>
      </c>
      <c r="M97" s="24" t="s">
        <v>236</v>
      </c>
      <c r="N97" s="98" t="s">
        <v>455</v>
      </c>
      <c r="O97" s="23" t="s">
        <v>404</v>
      </c>
      <c r="P97" s="23" t="s">
        <v>456</v>
      </c>
      <c r="Q97" s="23" t="s">
        <v>47</v>
      </c>
      <c r="R97" s="23" t="s">
        <v>485</v>
      </c>
      <c r="S97" s="23"/>
      <c r="T97" s="23" t="s">
        <v>473</v>
      </c>
    </row>
    <row r="98" spans="2:20" ht="114.95">
      <c r="B98" s="83" t="s">
        <v>231</v>
      </c>
      <c r="C98" s="5" t="s">
        <v>232</v>
      </c>
      <c r="D98" s="22">
        <v>62.1</v>
      </c>
      <c r="E98" s="22" t="s">
        <v>44</v>
      </c>
      <c r="F98" s="22" t="s">
        <v>45</v>
      </c>
      <c r="G98" s="22" t="s">
        <v>470</v>
      </c>
      <c r="H98" s="22" t="s">
        <v>220</v>
      </c>
      <c r="I98" s="26" t="s">
        <v>486</v>
      </c>
      <c r="J98" s="23" t="s">
        <v>487</v>
      </c>
      <c r="K98" s="23" t="s">
        <v>402</v>
      </c>
      <c r="L98" s="30" t="s">
        <v>81</v>
      </c>
      <c r="M98" s="24" t="s">
        <v>236</v>
      </c>
      <c r="N98" s="98" t="s">
        <v>488</v>
      </c>
      <c r="O98" s="23" t="s">
        <v>404</v>
      </c>
      <c r="P98" s="23" t="s">
        <v>456</v>
      </c>
      <c r="Q98" s="23" t="s">
        <v>47</v>
      </c>
      <c r="R98" s="23" t="s">
        <v>489</v>
      </c>
      <c r="S98" s="23"/>
      <c r="T98" s="23" t="s">
        <v>473</v>
      </c>
    </row>
    <row r="99" spans="2:20" ht="161.1">
      <c r="B99" s="83" t="s">
        <v>231</v>
      </c>
      <c r="C99" s="5" t="s">
        <v>232</v>
      </c>
      <c r="D99" s="22">
        <v>62.2</v>
      </c>
      <c r="E99" s="22" t="s">
        <v>58</v>
      </c>
      <c r="F99" s="22" t="s">
        <v>45</v>
      </c>
      <c r="G99" s="22" t="s">
        <v>470</v>
      </c>
      <c r="H99" s="22" t="s">
        <v>275</v>
      </c>
      <c r="I99" s="23" t="s">
        <v>490</v>
      </c>
      <c r="J99" s="23" t="s">
        <v>490</v>
      </c>
      <c r="K99" s="23" t="s">
        <v>402</v>
      </c>
      <c r="L99" s="30" t="s">
        <v>81</v>
      </c>
      <c r="M99" s="24" t="s">
        <v>236</v>
      </c>
      <c r="N99" s="98" t="s">
        <v>455</v>
      </c>
      <c r="O99" s="23" t="s">
        <v>404</v>
      </c>
      <c r="P99" s="57" t="s">
        <v>477</v>
      </c>
      <c r="Q99" s="23" t="s">
        <v>47</v>
      </c>
      <c r="R99" s="23" t="s">
        <v>478</v>
      </c>
      <c r="S99" s="23"/>
      <c r="T99" s="23"/>
    </row>
    <row r="100" spans="2:20" ht="34.5">
      <c r="B100" s="83" t="s">
        <v>231</v>
      </c>
      <c r="C100" s="5" t="s">
        <v>232</v>
      </c>
      <c r="D100" s="86">
        <v>62.3</v>
      </c>
      <c r="E100" s="86" t="s">
        <v>44</v>
      </c>
      <c r="F100" s="86" t="s">
        <v>45</v>
      </c>
      <c r="G100" s="86" t="s">
        <v>470</v>
      </c>
      <c r="H100" s="86" t="s">
        <v>220</v>
      </c>
      <c r="I100" s="96" t="s">
        <v>491</v>
      </c>
      <c r="J100" s="88" t="s">
        <v>487</v>
      </c>
      <c r="K100" s="88" t="s">
        <v>402</v>
      </c>
      <c r="L100" s="95" t="s">
        <v>81</v>
      </c>
      <c r="M100" s="89" t="s">
        <v>236</v>
      </c>
      <c r="N100" s="98" t="s">
        <v>455</v>
      </c>
      <c r="O100" s="88" t="s">
        <v>404</v>
      </c>
      <c r="P100" s="88" t="s">
        <v>456</v>
      </c>
      <c r="Q100" s="88" t="s">
        <v>47</v>
      </c>
      <c r="R100" s="88" t="s">
        <v>485</v>
      </c>
      <c r="S100" s="88"/>
      <c r="T100" s="88" t="s">
        <v>473</v>
      </c>
    </row>
    <row r="101" spans="2:20" ht="48.75" customHeight="1">
      <c r="B101" s="83" t="s">
        <v>231</v>
      </c>
      <c r="C101" s="5" t="s">
        <v>232</v>
      </c>
      <c r="D101" s="22">
        <v>62.4</v>
      </c>
      <c r="E101" s="22" t="s">
        <v>44</v>
      </c>
      <c r="F101" s="22" t="s">
        <v>45</v>
      </c>
      <c r="G101" s="22" t="s">
        <v>470</v>
      </c>
      <c r="H101" s="22" t="s">
        <v>226</v>
      </c>
      <c r="I101" s="26" t="s">
        <v>492</v>
      </c>
      <c r="J101" s="23" t="s">
        <v>493</v>
      </c>
      <c r="K101" s="23" t="s">
        <v>402</v>
      </c>
      <c r="L101" s="30" t="s">
        <v>81</v>
      </c>
      <c r="M101" s="24" t="s">
        <v>236</v>
      </c>
      <c r="N101" s="98" t="s">
        <v>455</v>
      </c>
      <c r="O101" s="23" t="s">
        <v>404</v>
      </c>
      <c r="P101" s="23" t="s">
        <v>456</v>
      </c>
      <c r="Q101" s="23" t="s">
        <v>47</v>
      </c>
      <c r="R101" s="23" t="s">
        <v>494</v>
      </c>
      <c r="S101" s="23"/>
      <c r="T101" s="23"/>
    </row>
    <row r="102" spans="2:20" ht="48.75" customHeight="1">
      <c r="B102" s="83" t="s">
        <v>231</v>
      </c>
      <c r="C102" s="5" t="s">
        <v>232</v>
      </c>
      <c r="D102" s="22">
        <v>62.5</v>
      </c>
      <c r="E102" s="22" t="s">
        <v>44</v>
      </c>
      <c r="F102" s="22" t="s">
        <v>45</v>
      </c>
      <c r="G102" s="22" t="s">
        <v>470</v>
      </c>
      <c r="H102" s="22" t="s">
        <v>226</v>
      </c>
      <c r="I102" s="23" t="s">
        <v>495</v>
      </c>
      <c r="J102" s="23" t="s">
        <v>496</v>
      </c>
      <c r="K102" s="23" t="s">
        <v>402</v>
      </c>
      <c r="L102" s="30" t="s">
        <v>81</v>
      </c>
      <c r="M102" s="24" t="s">
        <v>236</v>
      </c>
      <c r="N102" s="98" t="s">
        <v>455</v>
      </c>
      <c r="O102" s="23" t="s">
        <v>404</v>
      </c>
      <c r="P102" s="23" t="s">
        <v>456</v>
      </c>
      <c r="Q102" s="23" t="s">
        <v>47</v>
      </c>
      <c r="R102" s="23" t="s">
        <v>494</v>
      </c>
      <c r="S102" s="23"/>
      <c r="T102" s="23"/>
    </row>
    <row r="103" spans="2:20" ht="161.1">
      <c r="B103" s="83" t="s">
        <v>231</v>
      </c>
      <c r="C103" s="5" t="s">
        <v>232</v>
      </c>
      <c r="D103" s="22">
        <v>62.6</v>
      </c>
      <c r="E103" s="22" t="s">
        <v>44</v>
      </c>
      <c r="F103" s="22" t="s">
        <v>45</v>
      </c>
      <c r="G103" s="22" t="s">
        <v>470</v>
      </c>
      <c r="H103" s="22" t="s">
        <v>226</v>
      </c>
      <c r="I103" s="23" t="s">
        <v>497</v>
      </c>
      <c r="J103" s="23" t="s">
        <v>497</v>
      </c>
      <c r="K103" s="23" t="s">
        <v>402</v>
      </c>
      <c r="L103" s="30" t="s">
        <v>81</v>
      </c>
      <c r="M103" s="24" t="s">
        <v>236</v>
      </c>
      <c r="N103" s="98" t="s">
        <v>455</v>
      </c>
      <c r="O103" s="23" t="s">
        <v>404</v>
      </c>
      <c r="P103" s="57" t="s">
        <v>477</v>
      </c>
      <c r="Q103" s="23" t="s">
        <v>47</v>
      </c>
      <c r="R103" s="23" t="s">
        <v>478</v>
      </c>
      <c r="S103" s="23"/>
      <c r="T103" s="23"/>
    </row>
    <row r="104" spans="2:20" ht="48.75" customHeight="1">
      <c r="B104" s="83" t="s">
        <v>231</v>
      </c>
      <c r="C104" s="5" t="s">
        <v>232</v>
      </c>
      <c r="D104" s="86">
        <v>62.7</v>
      </c>
      <c r="E104" s="86" t="s">
        <v>44</v>
      </c>
      <c r="F104" s="86" t="s">
        <v>45</v>
      </c>
      <c r="G104" s="86" t="s">
        <v>470</v>
      </c>
      <c r="H104" s="86" t="s">
        <v>226</v>
      </c>
      <c r="I104" s="86" t="s">
        <v>498</v>
      </c>
      <c r="J104" s="88" t="s">
        <v>499</v>
      </c>
      <c r="K104" s="88" t="s">
        <v>402</v>
      </c>
      <c r="L104" s="89" t="s">
        <v>81</v>
      </c>
      <c r="M104" s="95" t="s">
        <v>236</v>
      </c>
      <c r="N104" s="98" t="s">
        <v>455</v>
      </c>
      <c r="O104" s="88" t="s">
        <v>404</v>
      </c>
      <c r="P104" s="88" t="s">
        <v>456</v>
      </c>
      <c r="Q104" s="88" t="s">
        <v>47</v>
      </c>
      <c r="R104" s="88" t="s">
        <v>456</v>
      </c>
      <c r="S104" s="88" t="s">
        <v>494</v>
      </c>
      <c r="T104" s="88"/>
    </row>
    <row r="105" spans="2:20" ht="34.5">
      <c r="B105" s="83" t="s">
        <v>231</v>
      </c>
      <c r="C105" s="5" t="s">
        <v>232</v>
      </c>
      <c r="D105" s="22">
        <v>63</v>
      </c>
      <c r="E105" s="22" t="s">
        <v>44</v>
      </c>
      <c r="F105" s="22" t="s">
        <v>45</v>
      </c>
      <c r="G105" s="22" t="s">
        <v>470</v>
      </c>
      <c r="H105" s="22" t="s">
        <v>220</v>
      </c>
      <c r="I105" s="26" t="s">
        <v>500</v>
      </c>
      <c r="J105" s="23" t="s">
        <v>501</v>
      </c>
      <c r="K105" s="23" t="s">
        <v>402</v>
      </c>
      <c r="L105" s="30" t="s">
        <v>81</v>
      </c>
      <c r="M105" s="24" t="s">
        <v>236</v>
      </c>
      <c r="N105" s="98" t="s">
        <v>455</v>
      </c>
      <c r="O105" s="23" t="s">
        <v>404</v>
      </c>
      <c r="P105" s="23" t="s">
        <v>456</v>
      </c>
      <c r="Q105" s="23" t="s">
        <v>47</v>
      </c>
      <c r="R105" s="23" t="s">
        <v>485</v>
      </c>
      <c r="S105" s="23"/>
      <c r="T105" s="23" t="s">
        <v>473</v>
      </c>
    </row>
    <row r="106" spans="2:20" ht="48.75" customHeight="1">
      <c r="B106" s="83" t="s">
        <v>231</v>
      </c>
      <c r="C106" s="5" t="s">
        <v>232</v>
      </c>
      <c r="D106" s="22">
        <v>63.1</v>
      </c>
      <c r="E106" s="22" t="s">
        <v>44</v>
      </c>
      <c r="F106" s="22" t="s">
        <v>45</v>
      </c>
      <c r="G106" s="22" t="s">
        <v>470</v>
      </c>
      <c r="H106" s="22" t="s">
        <v>220</v>
      </c>
      <c r="I106" s="26" t="s">
        <v>502</v>
      </c>
      <c r="J106" s="23" t="s">
        <v>487</v>
      </c>
      <c r="K106" s="23" t="s">
        <v>402</v>
      </c>
      <c r="L106" s="30" t="s">
        <v>81</v>
      </c>
      <c r="M106" s="24" t="s">
        <v>236</v>
      </c>
      <c r="N106" s="98" t="s">
        <v>455</v>
      </c>
      <c r="O106" s="23" t="s">
        <v>404</v>
      </c>
      <c r="P106" s="23" t="s">
        <v>456</v>
      </c>
      <c r="Q106" s="23" t="s">
        <v>47</v>
      </c>
      <c r="R106" s="23" t="s">
        <v>503</v>
      </c>
      <c r="S106" s="23"/>
      <c r="T106" s="23" t="s">
        <v>473</v>
      </c>
    </row>
    <row r="107" spans="2:20" ht="161.1">
      <c r="B107" s="83" t="s">
        <v>231</v>
      </c>
      <c r="C107" s="5" t="s">
        <v>232</v>
      </c>
      <c r="D107" s="22">
        <v>63.2</v>
      </c>
      <c r="E107" s="22" t="s">
        <v>58</v>
      </c>
      <c r="F107" s="22" t="s">
        <v>45</v>
      </c>
      <c r="G107" s="22" t="s">
        <v>470</v>
      </c>
      <c r="H107" s="22" t="s">
        <v>275</v>
      </c>
      <c r="I107" s="23" t="s">
        <v>504</v>
      </c>
      <c r="J107" s="23" t="s">
        <v>504</v>
      </c>
      <c r="K107" s="23" t="s">
        <v>402</v>
      </c>
      <c r="L107" s="30" t="s">
        <v>81</v>
      </c>
      <c r="M107" s="24" t="s">
        <v>236</v>
      </c>
      <c r="N107" s="98" t="s">
        <v>455</v>
      </c>
      <c r="O107" s="23" t="s">
        <v>404</v>
      </c>
      <c r="P107" s="57" t="s">
        <v>477</v>
      </c>
      <c r="Q107" s="23" t="s">
        <v>47</v>
      </c>
      <c r="R107" s="23" t="s">
        <v>478</v>
      </c>
      <c r="S107" s="23"/>
      <c r="T107" s="23"/>
    </row>
    <row r="108" spans="2:20" ht="48.75" customHeight="1">
      <c r="B108" s="83" t="s">
        <v>231</v>
      </c>
      <c r="C108" s="5" t="s">
        <v>232</v>
      </c>
      <c r="D108" s="22">
        <v>64</v>
      </c>
      <c r="E108" s="22" t="s">
        <v>44</v>
      </c>
      <c r="F108" s="22" t="s">
        <v>45</v>
      </c>
      <c r="G108" s="22" t="s">
        <v>470</v>
      </c>
      <c r="H108" s="22" t="s">
        <v>220</v>
      </c>
      <c r="I108" s="26" t="s">
        <v>505</v>
      </c>
      <c r="J108" s="23" t="s">
        <v>506</v>
      </c>
      <c r="K108" s="23" t="s">
        <v>402</v>
      </c>
      <c r="L108" s="30" t="s">
        <v>81</v>
      </c>
      <c r="M108" s="24" t="s">
        <v>236</v>
      </c>
      <c r="N108" s="98" t="s">
        <v>455</v>
      </c>
      <c r="O108" s="23" t="s">
        <v>404</v>
      </c>
      <c r="P108" s="23" t="s">
        <v>456</v>
      </c>
      <c r="Q108" s="23" t="s">
        <v>47</v>
      </c>
      <c r="R108" s="23" t="s">
        <v>485</v>
      </c>
      <c r="S108" s="23"/>
      <c r="T108" s="23" t="s">
        <v>473</v>
      </c>
    </row>
    <row r="109" spans="2:20" ht="34.5">
      <c r="B109" s="83" t="s">
        <v>231</v>
      </c>
      <c r="C109" s="5" t="s">
        <v>232</v>
      </c>
      <c r="D109" s="22">
        <v>64.099999999999994</v>
      </c>
      <c r="E109" s="22" t="s">
        <v>44</v>
      </c>
      <c r="F109" s="22" t="s">
        <v>45</v>
      </c>
      <c r="G109" s="22" t="s">
        <v>470</v>
      </c>
      <c r="H109" s="22" t="s">
        <v>220</v>
      </c>
      <c r="I109" s="26" t="s">
        <v>507</v>
      </c>
      <c r="J109" s="23" t="s">
        <v>508</v>
      </c>
      <c r="K109" s="23" t="s">
        <v>402</v>
      </c>
      <c r="L109" s="30" t="s">
        <v>81</v>
      </c>
      <c r="M109" s="24" t="s">
        <v>236</v>
      </c>
      <c r="N109" s="98" t="s">
        <v>455</v>
      </c>
      <c r="O109" s="23" t="s">
        <v>404</v>
      </c>
      <c r="P109" s="23" t="s">
        <v>456</v>
      </c>
      <c r="Q109" s="23" t="s">
        <v>47</v>
      </c>
      <c r="R109" s="23" t="s">
        <v>485</v>
      </c>
      <c r="S109" s="23"/>
      <c r="T109" s="23" t="s">
        <v>473</v>
      </c>
    </row>
    <row r="110" spans="2:20" ht="45.95">
      <c r="B110" s="83" t="s">
        <v>231</v>
      </c>
      <c r="C110" s="5" t="s">
        <v>232</v>
      </c>
      <c r="D110" s="22">
        <v>64.2</v>
      </c>
      <c r="E110" s="22" t="s">
        <v>44</v>
      </c>
      <c r="F110" s="22" t="s">
        <v>45</v>
      </c>
      <c r="G110" s="22" t="s">
        <v>470</v>
      </c>
      <c r="H110" s="22" t="s">
        <v>220</v>
      </c>
      <c r="I110" s="26" t="s">
        <v>509</v>
      </c>
      <c r="J110" s="23" t="s">
        <v>510</v>
      </c>
      <c r="K110" s="23" t="s">
        <v>402</v>
      </c>
      <c r="L110" s="30" t="s">
        <v>81</v>
      </c>
      <c r="M110" s="24" t="s">
        <v>236</v>
      </c>
      <c r="N110" s="98" t="s">
        <v>455</v>
      </c>
      <c r="O110" s="23" t="s">
        <v>404</v>
      </c>
      <c r="P110" s="23" t="s">
        <v>456</v>
      </c>
      <c r="Q110" s="23" t="s">
        <v>47</v>
      </c>
      <c r="R110" s="23" t="s">
        <v>511</v>
      </c>
      <c r="S110" s="23"/>
      <c r="T110" s="23" t="s">
        <v>473</v>
      </c>
    </row>
    <row r="111" spans="2:20" ht="34.5">
      <c r="B111" s="83" t="s">
        <v>231</v>
      </c>
      <c r="C111" s="5" t="s">
        <v>232</v>
      </c>
      <c r="D111" s="22">
        <v>64.3</v>
      </c>
      <c r="E111" s="22" t="s">
        <v>44</v>
      </c>
      <c r="F111" s="2" t="s">
        <v>45</v>
      </c>
      <c r="G111" s="2" t="s">
        <v>307</v>
      </c>
      <c r="H111" s="2" t="s">
        <v>220</v>
      </c>
      <c r="I111" s="23" t="s">
        <v>512</v>
      </c>
      <c r="J111" s="23" t="s">
        <v>513</v>
      </c>
      <c r="K111" s="23" t="s">
        <v>34</v>
      </c>
      <c r="L111" s="24" t="s">
        <v>81</v>
      </c>
      <c r="M111" s="24" t="s">
        <v>50</v>
      </c>
      <c r="N111" s="62" t="s">
        <v>51</v>
      </c>
      <c r="O111" s="23" t="s">
        <v>326</v>
      </c>
      <c r="P111" s="23" t="s">
        <v>53</v>
      </c>
      <c r="Q111" s="23" t="s">
        <v>47</v>
      </c>
      <c r="R111" s="20"/>
      <c r="S111" s="20"/>
      <c r="T111" s="23"/>
    </row>
    <row r="112" spans="2:20" ht="34.5">
      <c r="B112" s="83" t="s">
        <v>231</v>
      </c>
      <c r="C112" s="5" t="s">
        <v>232</v>
      </c>
      <c r="D112" s="22">
        <v>64.400000000000006</v>
      </c>
      <c r="E112" s="22" t="s">
        <v>44</v>
      </c>
      <c r="F112" s="2" t="s">
        <v>45</v>
      </c>
      <c r="G112" s="2" t="s">
        <v>307</v>
      </c>
      <c r="H112" s="2" t="s">
        <v>220</v>
      </c>
      <c r="I112" s="23" t="s">
        <v>514</v>
      </c>
      <c r="J112" s="23" t="s">
        <v>515</v>
      </c>
      <c r="K112" s="23" t="s">
        <v>34</v>
      </c>
      <c r="L112" s="24" t="s">
        <v>81</v>
      </c>
      <c r="M112" s="24" t="s">
        <v>50</v>
      </c>
      <c r="N112" s="62" t="s">
        <v>51</v>
      </c>
      <c r="O112" s="23" t="s">
        <v>326</v>
      </c>
      <c r="P112" s="23" t="s">
        <v>53</v>
      </c>
      <c r="Q112" s="23" t="s">
        <v>47</v>
      </c>
      <c r="R112" s="20"/>
      <c r="S112" s="20"/>
      <c r="T112" s="23"/>
    </row>
    <row r="113" spans="2:20" ht="34.5">
      <c r="B113" s="83" t="s">
        <v>231</v>
      </c>
      <c r="C113" s="5" t="s">
        <v>232</v>
      </c>
      <c r="D113" s="22">
        <v>64.5</v>
      </c>
      <c r="E113" s="22" t="s">
        <v>58</v>
      </c>
      <c r="F113" s="2" t="s">
        <v>45</v>
      </c>
      <c r="G113" s="2" t="s">
        <v>307</v>
      </c>
      <c r="H113" s="2" t="s">
        <v>220</v>
      </c>
      <c r="I113" s="23" t="s">
        <v>516</v>
      </c>
      <c r="J113" s="23" t="s">
        <v>517</v>
      </c>
      <c r="K113" s="23" t="s">
        <v>34</v>
      </c>
      <c r="L113" s="24" t="s">
        <v>81</v>
      </c>
      <c r="M113" s="24" t="s">
        <v>50</v>
      </c>
      <c r="N113" s="62" t="s">
        <v>51</v>
      </c>
      <c r="O113" s="23" t="s">
        <v>326</v>
      </c>
      <c r="P113" s="23" t="s">
        <v>53</v>
      </c>
      <c r="Q113" s="23" t="s">
        <v>47</v>
      </c>
      <c r="R113" s="20"/>
      <c r="S113" s="20"/>
      <c r="T113" s="23"/>
    </row>
    <row r="114" spans="2:20" ht="57.6">
      <c r="B114" s="83" t="s">
        <v>231</v>
      </c>
      <c r="C114" s="5" t="s">
        <v>232</v>
      </c>
      <c r="D114" s="22">
        <v>65</v>
      </c>
      <c r="E114" s="22" t="s">
        <v>44</v>
      </c>
      <c r="F114" s="22" t="s">
        <v>45</v>
      </c>
      <c r="G114" s="22" t="s">
        <v>233</v>
      </c>
      <c r="H114" s="22" t="s">
        <v>78</v>
      </c>
      <c r="I114" s="23" t="s">
        <v>518</v>
      </c>
      <c r="J114" s="26" t="s">
        <v>235</v>
      </c>
      <c r="K114" s="23" t="s">
        <v>94</v>
      </c>
      <c r="L114" s="30" t="s">
        <v>81</v>
      </c>
      <c r="M114" s="24" t="s">
        <v>236</v>
      </c>
      <c r="N114" s="98" t="s">
        <v>455</v>
      </c>
      <c r="O114" s="23" t="s">
        <v>404</v>
      </c>
      <c r="P114" s="57" t="s">
        <v>238</v>
      </c>
      <c r="Q114" s="23" t="s">
        <v>47</v>
      </c>
      <c r="R114" s="23" t="s">
        <v>239</v>
      </c>
      <c r="S114" s="23"/>
      <c r="T114" s="23" t="s">
        <v>240</v>
      </c>
    </row>
    <row r="115" spans="2:20" ht="65.25" customHeight="1">
      <c r="B115" s="83" t="s">
        <v>231</v>
      </c>
      <c r="C115" s="5" t="s">
        <v>232</v>
      </c>
      <c r="D115" s="22">
        <v>65.099999999999994</v>
      </c>
      <c r="E115" s="22" t="s">
        <v>44</v>
      </c>
      <c r="F115" s="22" t="s">
        <v>45</v>
      </c>
      <c r="G115" s="22" t="s">
        <v>233</v>
      </c>
      <c r="H115" s="22" t="s">
        <v>78</v>
      </c>
      <c r="I115" s="23" t="s">
        <v>241</v>
      </c>
      <c r="J115" s="23" t="s">
        <v>242</v>
      </c>
      <c r="K115" s="23" t="s">
        <v>94</v>
      </c>
      <c r="L115" s="30" t="s">
        <v>81</v>
      </c>
      <c r="M115" s="24" t="s">
        <v>236</v>
      </c>
      <c r="N115" s="98" t="s">
        <v>455</v>
      </c>
      <c r="O115" s="23" t="s">
        <v>404</v>
      </c>
      <c r="P115" s="57" t="s">
        <v>238</v>
      </c>
      <c r="Q115" s="23" t="s">
        <v>47</v>
      </c>
      <c r="R115" s="23" t="s">
        <v>243</v>
      </c>
      <c r="S115" s="23"/>
      <c r="T115" s="23"/>
    </row>
  </sheetData>
  <autoFilter ref="C2:T115" xr:uid="{00000000-0009-0000-0000-000000000000}"/>
  <mergeCells count="2">
    <mergeCell ref="C1:P1"/>
    <mergeCell ref="R1:T1"/>
  </mergeCells>
  <phoneticPr fontId="28" type="noConversion"/>
  <conditionalFormatting sqref="I24:J25 J26 N26:N28 I27:M28 S75:S86 I1:Q2 L71:P72 O24:Q28 I3:P11 Q24:Q31 I33 I75:P75 I83:P83 Q83:Q89 I87:Q1048576 I14:K15 I12:Q13 L13:Q15 J56:Q58 Q75:Q78 Q70:Q72 I59:Q64 I29:Q32 I16:Q23 I35:Q38 I40:Q54 I67:P67 Q67:Q68 I68:O72 O76:P78 I76:M82 O79:Q82 K85:O86 I84:O84 N83:O89">
    <cfRule type="containsText" dxfId="100" priority="61" operator="containsText" text="intervention/control">
      <formula>NOT(ISERROR(SEARCH("intervention/control",I1)))</formula>
    </cfRule>
  </conditionalFormatting>
  <conditionalFormatting sqref="I26 K24:M26 I16:J19">
    <cfRule type="containsText" dxfId="99" priority="59" operator="containsText" text="intervention/control">
      <formula>NOT(ISERROR(SEARCH("intervention/control",I16)))</formula>
    </cfRule>
  </conditionalFormatting>
  <conditionalFormatting sqref="P68:P72">
    <cfRule type="containsText" dxfId="98" priority="49" operator="containsText" text="intervention/control">
      <formula>NOT(ISERROR(SEARCH("intervention/control",P68)))</formula>
    </cfRule>
  </conditionalFormatting>
  <conditionalFormatting sqref="K16:K19">
    <cfRule type="containsText" dxfId="97" priority="47" operator="containsText" text="intervention/control">
      <formula>NOT(ISERROR(SEARCH("intervention/control",K16)))</formula>
    </cfRule>
  </conditionalFormatting>
  <conditionalFormatting sqref="N24">
    <cfRule type="containsText" dxfId="96" priority="45" operator="containsText" text="intervention/control">
      <formula>NOT(ISERROR(SEARCH("intervention/control",N24)))</formula>
    </cfRule>
  </conditionalFormatting>
  <conditionalFormatting sqref="L62:O64">
    <cfRule type="containsText" dxfId="95" priority="33" operator="containsText" text="intervention/control">
      <formula>NOT(ISERROR(SEARCH("intervention/control",L62)))</formula>
    </cfRule>
  </conditionalFormatting>
  <conditionalFormatting sqref="L61:O61">
    <cfRule type="containsText" dxfId="94" priority="32" operator="containsText" text="intervention/control">
      <formula>NOT(ISERROR(SEARCH("intervention/control",L61)))</formula>
    </cfRule>
  </conditionalFormatting>
  <conditionalFormatting sqref="Q69:Q72">
    <cfRule type="containsText" dxfId="93" priority="29" operator="containsText" text="intervention/control">
      <formula>NOT(ISERROR(SEARCH("intervention/control",Q69)))</formula>
    </cfRule>
  </conditionalFormatting>
  <conditionalFormatting sqref="K17:P19">
    <cfRule type="containsText" dxfId="92" priority="24" operator="containsText" text="intervention/control">
      <formula>NOT(ISERROR(SEARCH("intervention/control",K17)))</formula>
    </cfRule>
  </conditionalFormatting>
  <conditionalFormatting sqref="Q16:Q19">
    <cfRule type="containsText" dxfId="91" priority="22" operator="containsText" text="intervention/control">
      <formula>NOT(ISERROR(SEARCH("intervention/control",Q16)))</formula>
    </cfRule>
  </conditionalFormatting>
  <conditionalFormatting sqref="J33:Q33">
    <cfRule type="containsText" dxfId="90" priority="21" operator="containsText" text="intervention/control">
      <formula>NOT(ISERROR(SEARCH("intervention/control",J33)))</formula>
    </cfRule>
  </conditionalFormatting>
  <conditionalFormatting sqref="I34:Q34">
    <cfRule type="containsText" dxfId="89" priority="20" operator="containsText" text="intervention/control">
      <formula>NOT(ISERROR(SEARCH("intervention/control",I34)))</formula>
    </cfRule>
  </conditionalFormatting>
  <conditionalFormatting sqref="I39:P39 I55:M55 O55:Q55">
    <cfRule type="containsText" dxfId="88" priority="19" operator="containsText" text="intervention/control">
      <formula>NOT(ISERROR(SEARCH("intervention/control",I39)))</formula>
    </cfRule>
  </conditionalFormatting>
  <conditionalFormatting sqref="I56:I58">
    <cfRule type="containsText" dxfId="87" priority="18" operator="containsText" text="intervention/control">
      <formula>NOT(ISERROR(SEARCH("intervention/control",I56)))</formula>
    </cfRule>
  </conditionalFormatting>
  <conditionalFormatting sqref="N61">
    <cfRule type="containsText" dxfId="86" priority="17" operator="containsText" text="intervention/control">
      <formula>NOT(ISERROR(SEARCH("intervention/control",N61)))</formula>
    </cfRule>
  </conditionalFormatting>
  <conditionalFormatting sqref="I73:Q73 Q74">
    <cfRule type="containsText" dxfId="85" priority="16" operator="containsText" text="intervention/control">
      <formula>NOT(ISERROR(SEARCH("intervention/control",I73)))</formula>
    </cfRule>
  </conditionalFormatting>
  <conditionalFormatting sqref="N55">
    <cfRule type="containsText" dxfId="84" priority="13" operator="containsText" text="intervention/control">
      <formula>NOT(ISERROR(SEARCH("intervention/control",N55)))</formula>
    </cfRule>
  </conditionalFormatting>
  <conditionalFormatting sqref="I65:P65">
    <cfRule type="containsText" dxfId="83" priority="12" operator="containsText" text="intervention/control">
      <formula>NOT(ISERROR(SEARCH("intervention/control",I65)))</formula>
    </cfRule>
  </conditionalFormatting>
  <conditionalFormatting sqref="I74:P74">
    <cfRule type="containsText" dxfId="82" priority="11" operator="containsText" text="intervention/control">
      <formula>NOT(ISERROR(SEARCH("intervention/control",I74)))</formula>
    </cfRule>
  </conditionalFormatting>
  <conditionalFormatting sqref="I66:P66">
    <cfRule type="containsText" dxfId="81" priority="10" operator="containsText" text="intervention/control">
      <formula>NOT(ISERROR(SEARCH("intervention/control",I66)))</formula>
    </cfRule>
  </conditionalFormatting>
  <conditionalFormatting sqref="N25">
    <cfRule type="containsText" dxfId="80" priority="9" operator="containsText" text="intervention/control">
      <formula>NOT(ISERROR(SEARCH("intervention/control",N25)))</formula>
    </cfRule>
  </conditionalFormatting>
  <conditionalFormatting sqref="N76:N79">
    <cfRule type="containsText" dxfId="79" priority="8" operator="containsText" text="intervention/control">
      <formula>NOT(ISERROR(SEARCH("intervention/control",N76)))</formula>
    </cfRule>
  </conditionalFormatting>
  <conditionalFormatting sqref="N80">
    <cfRule type="containsText" dxfId="78" priority="7" operator="containsText" text="intervention/control">
      <formula>NOT(ISERROR(SEARCH("intervention/control",N80)))</formula>
    </cfRule>
  </conditionalFormatting>
  <conditionalFormatting sqref="N81">
    <cfRule type="containsText" dxfId="77" priority="6" operator="containsText" text="intervention/control">
      <formula>NOT(ISERROR(SEARCH("intervention/control",N81)))</formula>
    </cfRule>
  </conditionalFormatting>
  <conditionalFormatting sqref="N82">
    <cfRule type="containsText" dxfId="76" priority="5" operator="containsText" text="intervention/control">
      <formula>NOT(ISERROR(SEARCH("intervention/control",N82)))</formula>
    </cfRule>
  </conditionalFormatting>
  <conditionalFormatting sqref="J85:J86">
    <cfRule type="containsText" dxfId="75" priority="4" operator="containsText" text="intervention/control">
      <formula>NOT(ISERROR(SEARCH("intervention/control",J85)))</formula>
    </cfRule>
  </conditionalFormatting>
  <conditionalFormatting sqref="I85">
    <cfRule type="containsText" dxfId="74" priority="3" operator="containsText" text="intervention/control">
      <formula>NOT(ISERROR(SEARCH("intervention/control",I85)))</formula>
    </cfRule>
  </conditionalFormatting>
  <conditionalFormatting sqref="I86">
    <cfRule type="containsText" dxfId="73" priority="2" operator="containsText" text="intervention/control">
      <formula>NOT(ISERROR(SEARCH("intervention/control",I86)))</formula>
    </cfRule>
  </conditionalFormatting>
  <conditionalFormatting sqref="P84:P86">
    <cfRule type="containsText" dxfId="72" priority="1" operator="containsText" text="intervention/control">
      <formula>NOT(ISERROR(SEARCH("intervention/control",P84)))</formula>
    </cfRule>
  </conditionalFormatting>
  <hyperlinks>
    <hyperlink ref="P71" r:id="rId1" xr:uid="{A38D64EF-1F7F-4D09-AE84-4457DD868B2D}"/>
    <hyperlink ref="P114" r:id="rId2" xr:uid="{C0DDC179-161E-4C1E-8DE7-0D48CCA9A0CE}"/>
    <hyperlink ref="P115" r:id="rId3" xr:uid="{D84F307F-070C-43CD-B3AC-72C1B95CFA6E}"/>
    <hyperlink ref="P16" r:id="rId4" xr:uid="{BC2F52CC-99EC-47CD-AFF3-21C215FB2858}"/>
    <hyperlink ref="P14" r:id="rId5" xr:uid="{12DF678E-4037-48D8-9EC0-3E7FFDF99F34}"/>
    <hyperlink ref="P67" r:id="rId6" xr:uid="{13DCBD74-54B8-4ED6-ACCE-760CBCC724F4}"/>
    <hyperlink ref="P70" r:id="rId7" xr:uid="{0CB879F4-666D-4681-90C8-EC258E8BF1F0}"/>
    <hyperlink ref="P68" r:id="rId8" xr:uid="{C46C7282-19AB-4AFE-BD1B-AF22F5083CA0}"/>
    <hyperlink ref="P69" r:id="rId9" xr:uid="{37BFE96F-257B-41C9-B77A-59AB0560BD99}"/>
    <hyperlink ref="P72" r:id="rId10" xr:uid="{CD836131-A152-4C96-9DC1-76DD4254C2E4}"/>
    <hyperlink ref="P75" r:id="rId11" xr:uid="{E7F2721B-7303-4EA5-8502-5BAA4CDDF532}"/>
    <hyperlink ref="P83" r:id="rId12" xr:uid="{F2E66A2F-753D-4407-8011-C364B30E921A}"/>
    <hyperlink ref="P79" r:id="rId13" xr:uid="{3C42550F-A9E9-487C-8DA5-2A2E0B9EC4FB}"/>
    <hyperlink ref="P80" r:id="rId14" xr:uid="{9138A739-042C-4B07-B298-C05EA8D9BBE1}"/>
    <hyperlink ref="Q81" r:id="rId15" xr:uid="{420C7995-AA0C-4211-AFCF-88745406BD94}"/>
    <hyperlink ref="Q82" r:id="rId16" xr:uid="{BEBC967F-D1A6-491E-8791-2830E983DF02}"/>
    <hyperlink ref="P81:P82" r:id="rId17" display="WHO 2021; IYCF Guidelines" xr:uid="{F8F575B3-0233-4934-AAFB-67DCBD8B8EA7}"/>
    <hyperlink ref="Q67" r:id="rId18" display="WFP 2022" xr:uid="{3B9C4CD1-6132-44D6-AC48-A541B2326FD0}"/>
    <hyperlink ref="Q68" r:id="rId19" display="WFP 2022" xr:uid="{65563A32-3F56-457A-A92C-B6E6A943BBB3}"/>
    <hyperlink ref="P56" r:id="rId20" xr:uid="{3F7AEFA1-AE97-4D0A-98B4-8E20690BD7C2}"/>
    <hyperlink ref="P24" r:id="rId21" xr:uid="{02FD3383-D8C4-4096-ACB3-B7EA17D7BBE1}"/>
    <hyperlink ref="P57" r:id="rId22" xr:uid="{8CE34D8A-209E-4BB9-8B38-2E57E99DC055}"/>
    <hyperlink ref="P58" r:id="rId23" xr:uid="{97B6A232-4F7D-4FDA-BA3E-AC9B477FE7C8}"/>
    <hyperlink ref="P76" r:id="rId24" xr:uid="{115A7377-A8FC-4AAA-9957-A06A69A3EDDE}"/>
    <hyperlink ref="P77" r:id="rId25" xr:uid="{41537DCD-D57F-4F21-9981-9915B78E3199}"/>
    <hyperlink ref="P103" r:id="rId26" xr:uid="{1E00119B-5262-42A9-8EEA-0E0F91C9C263}"/>
    <hyperlink ref="P94" r:id="rId27" xr:uid="{CA01B179-E200-481C-9884-EDDF70619CAB}"/>
    <hyperlink ref="P99" r:id="rId28" xr:uid="{6E324547-A573-4EA9-9391-79086EF47549}"/>
    <hyperlink ref="P107" r:id="rId29" xr:uid="{C5EF7221-9B87-4EA6-B1AE-0F9EA357A852}"/>
    <hyperlink ref="Q69" r:id="rId30" xr:uid="{EF91B915-781E-4D10-B248-2AB66E10ED95}"/>
    <hyperlink ref="P19" r:id="rId31" xr:uid="{52E2F4A0-34E4-47EB-B55F-AFC851EEA55B}"/>
    <hyperlink ref="Q19" r:id="rId32" xr:uid="{C54DDECF-82F8-4042-9597-DCF8DB150B93}"/>
    <hyperlink ref="P33" r:id="rId33" xr:uid="{296987D3-06AD-4DA7-BAC0-1CF8FA98EF57}"/>
    <hyperlink ref="P37" r:id="rId34" xr:uid="{619DF158-9EB5-46F5-97EF-CF4E13E3B5D1}"/>
    <hyperlink ref="Q37" r:id="rId35" xr:uid="{BD6E28EE-2AB7-4B13-B6E7-A76D7559EAC9}"/>
    <hyperlink ref="P36" r:id="rId36" xr:uid="{FC398C4F-5AC0-4B0B-B61B-86F039E94F86}"/>
    <hyperlink ref="Q36" r:id="rId37" xr:uid="{28FA835A-DFF0-4434-AC65-849A90A5B452}"/>
    <hyperlink ref="P38" r:id="rId38" xr:uid="{D6195AC0-8A09-44AB-8205-564D35B6DC58}"/>
    <hyperlink ref="Q38" r:id="rId39" xr:uid="{994A05DF-298C-4036-8399-6DFC89A44154}"/>
    <hyperlink ref="P39" r:id="rId40" xr:uid="{1968EC83-30E5-40C0-8823-0756293ECD57}"/>
    <hyperlink ref="P40" r:id="rId41" xr:uid="{ED6F4427-2AAD-4A96-A5E8-E06A9CC04861}"/>
    <hyperlink ref="P41" r:id="rId42" xr:uid="{FF597C7F-D827-4E33-91CC-9A79FFE7E1A9}"/>
    <hyperlink ref="P42" r:id="rId43" xr:uid="{D382266A-99F4-453A-87B1-D656E7C6508B}"/>
    <hyperlink ref="P45" r:id="rId44" xr:uid="{ABD1F4B3-4AC3-4A5B-A902-1FC1B151C35C}"/>
    <hyperlink ref="P49" r:id="rId45" xr:uid="{78E5981A-E39A-4F0A-8BDB-616DA917CE72}"/>
    <hyperlink ref="P73" r:id="rId46" xr:uid="{EF393E23-15B2-42FC-9A45-E54A769624E8}"/>
    <hyperlink ref="P59" r:id="rId47" display="Cederholm et al" xr:uid="{34084A65-69ED-4503-99F8-3EF23F4CB47F}"/>
    <hyperlink ref="P55" r:id="rId48" xr:uid="{ABD246C0-8928-4567-A638-6273207CF040}"/>
    <hyperlink ref="P78" r:id="rId49" xr:uid="{46D8366B-2E90-4319-835A-B872849F9438}"/>
    <hyperlink ref="P50" r:id="rId50" xr:uid="{1E2FD215-B757-4199-89E6-B86B12D57299}"/>
    <hyperlink ref="P65" r:id="rId51" xr:uid="{CE4C0394-2E0C-4A02-A793-BB224D29F949}"/>
    <hyperlink ref="P74" r:id="rId52" xr:uid="{12D6CFB7-59DD-465A-9F89-AEF503D81FAA}"/>
    <hyperlink ref="P84:P86" r:id="rId53" display="WHO 2021; IYCF Guidelines" xr:uid="{DB92CF5D-5B85-4924-B584-DDA62AC6373F}"/>
  </hyperlinks>
  <pageMargins left="0.7" right="0.7" top="0.75" bottom="0.75" header="0.3" footer="0.3"/>
  <pageSetup paperSize="9" scale="37" fitToHeight="0" orientation="landscape" horizontalDpi="4294967293" r:id="rId54"/>
  <rowBreaks count="4" manualBreakCount="4">
    <brk id="34" max="19" man="1"/>
    <brk id="42" max="19" man="1"/>
    <brk id="92" max="19" man="1"/>
    <brk id="116" max="1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52CC9-AF48-4DB9-A0F3-F555E25A6427}">
  <sheetPr>
    <tabColor theme="5"/>
  </sheetPr>
  <dimension ref="A1:C25"/>
  <sheetViews>
    <sheetView zoomScale="160" zoomScaleNormal="160" workbookViewId="0">
      <selection activeCell="B13" sqref="B13"/>
    </sheetView>
  </sheetViews>
  <sheetFormatPr defaultColWidth="8.7109375" defaultRowHeight="14.45"/>
  <cols>
    <col min="1" max="1" width="15.28515625" customWidth="1"/>
    <col min="2" max="2" width="72.42578125" style="73" customWidth="1"/>
    <col min="3" max="3" width="35.5703125" customWidth="1"/>
  </cols>
  <sheetData>
    <row r="1" spans="1:3">
      <c r="A1" s="72" t="s">
        <v>519</v>
      </c>
    </row>
    <row r="2" spans="1:3">
      <c r="A2" s="7" t="s">
        <v>2</v>
      </c>
      <c r="B2" s="7" t="s">
        <v>520</v>
      </c>
      <c r="C2" s="6" t="s">
        <v>36</v>
      </c>
    </row>
    <row r="3" spans="1:3" ht="27.75" customHeight="1">
      <c r="A3" s="21" t="s">
        <v>72</v>
      </c>
      <c r="B3" s="74" t="s">
        <v>521</v>
      </c>
      <c r="C3" s="75"/>
    </row>
    <row r="4" spans="1:3" ht="27.75" customHeight="1">
      <c r="A4" s="21" t="s">
        <v>72</v>
      </c>
      <c r="B4" s="74" t="s">
        <v>522</v>
      </c>
      <c r="C4" s="71"/>
    </row>
    <row r="5" spans="1:3" ht="27.75" customHeight="1">
      <c r="A5" s="21" t="s">
        <v>72</v>
      </c>
      <c r="B5" s="74" t="s">
        <v>523</v>
      </c>
      <c r="C5" s="71"/>
    </row>
    <row r="6" spans="1:3" ht="27.75" customHeight="1">
      <c r="A6" s="21" t="s">
        <v>72</v>
      </c>
      <c r="B6" s="74" t="s">
        <v>524</v>
      </c>
      <c r="C6" s="71"/>
    </row>
    <row r="7" spans="1:3" ht="27.75" customHeight="1">
      <c r="A7" s="10" t="s">
        <v>114</v>
      </c>
      <c r="B7" s="76" t="s">
        <v>525</v>
      </c>
      <c r="C7" s="77"/>
    </row>
    <row r="8" spans="1:3" ht="27.75" customHeight="1">
      <c r="A8" s="10" t="s">
        <v>114</v>
      </c>
      <c r="B8" s="76" t="s">
        <v>526</v>
      </c>
      <c r="C8" s="77" t="s">
        <v>527</v>
      </c>
    </row>
    <row r="9" spans="1:3" ht="27.75" customHeight="1">
      <c r="A9" s="10" t="s">
        <v>114</v>
      </c>
      <c r="B9" s="76" t="s">
        <v>528</v>
      </c>
      <c r="C9" s="77"/>
    </row>
    <row r="10" spans="1:3" ht="27.75" customHeight="1">
      <c r="A10" s="10" t="s">
        <v>114</v>
      </c>
      <c r="B10" s="76" t="s">
        <v>529</v>
      </c>
      <c r="C10" s="77" t="s">
        <v>527</v>
      </c>
    </row>
    <row r="11" spans="1:3" ht="27.75" customHeight="1">
      <c r="A11" s="10" t="s">
        <v>114</v>
      </c>
      <c r="B11" s="76" t="s">
        <v>530</v>
      </c>
      <c r="C11" s="77"/>
    </row>
    <row r="12" spans="1:3" ht="27.75" customHeight="1">
      <c r="A12" s="10" t="s">
        <v>114</v>
      </c>
      <c r="B12" s="76" t="s">
        <v>531</v>
      </c>
      <c r="C12" s="77" t="s">
        <v>527</v>
      </c>
    </row>
    <row r="13" spans="1:3" ht="27.75" customHeight="1">
      <c r="A13" s="10" t="s">
        <v>114</v>
      </c>
      <c r="B13" s="78" t="s">
        <v>532</v>
      </c>
      <c r="C13" s="71"/>
    </row>
    <row r="14" spans="1:3" ht="27.75" customHeight="1">
      <c r="A14" s="10" t="s">
        <v>114</v>
      </c>
      <c r="B14" s="78" t="s">
        <v>533</v>
      </c>
      <c r="C14" s="71"/>
    </row>
    <row r="15" spans="1:3" ht="27.75" customHeight="1">
      <c r="A15" s="10" t="s">
        <v>114</v>
      </c>
      <c r="B15" s="79" t="s">
        <v>534</v>
      </c>
      <c r="C15" s="71"/>
    </row>
    <row r="16" spans="1:3" ht="27.75" customHeight="1">
      <c r="A16" s="10" t="s">
        <v>114</v>
      </c>
      <c r="B16" s="76" t="s">
        <v>535</v>
      </c>
      <c r="C16" s="77" t="s">
        <v>527</v>
      </c>
    </row>
    <row r="17" spans="1:3" ht="27.75" customHeight="1">
      <c r="A17" s="11" t="s">
        <v>195</v>
      </c>
      <c r="B17" s="78" t="s">
        <v>536</v>
      </c>
      <c r="C17" s="71"/>
    </row>
    <row r="18" spans="1:3" ht="27.75" customHeight="1">
      <c r="A18" s="11" t="s">
        <v>195</v>
      </c>
      <c r="B18" s="76" t="s">
        <v>537</v>
      </c>
      <c r="C18" s="77" t="s">
        <v>527</v>
      </c>
    </row>
    <row r="19" spans="1:3" ht="27.75" customHeight="1">
      <c r="A19" s="11" t="s">
        <v>195</v>
      </c>
      <c r="B19" s="76" t="s">
        <v>538</v>
      </c>
      <c r="C19" s="77" t="s">
        <v>527</v>
      </c>
    </row>
    <row r="20" spans="1:3" ht="27.75" customHeight="1">
      <c r="A20" s="11" t="s">
        <v>195</v>
      </c>
      <c r="B20" s="78" t="s">
        <v>539</v>
      </c>
      <c r="C20" s="71"/>
    </row>
    <row r="21" spans="1:3" ht="27.75" customHeight="1">
      <c r="A21" s="11" t="s">
        <v>195</v>
      </c>
      <c r="B21" s="80" t="s">
        <v>540</v>
      </c>
      <c r="C21" s="71"/>
    </row>
    <row r="22" spans="1:3" ht="27.75" customHeight="1">
      <c r="A22" s="11" t="s">
        <v>195</v>
      </c>
      <c r="B22" s="81" t="s">
        <v>541</v>
      </c>
      <c r="C22" s="71"/>
    </row>
    <row r="23" spans="1:3" ht="27.75" customHeight="1">
      <c r="A23" s="11" t="s">
        <v>195</v>
      </c>
      <c r="B23" s="82" t="s">
        <v>542</v>
      </c>
      <c r="C23" s="71"/>
    </row>
    <row r="24" spans="1:3" ht="27.75" customHeight="1">
      <c r="A24" s="11" t="s">
        <v>195</v>
      </c>
      <c r="B24" s="82" t="s">
        <v>543</v>
      </c>
      <c r="C24" s="71"/>
    </row>
    <row r="25" spans="1:3" ht="27.75" customHeight="1">
      <c r="A25" s="11" t="s">
        <v>195</v>
      </c>
      <c r="B25" s="82" t="s">
        <v>544</v>
      </c>
      <c r="C25" s="71"/>
    </row>
  </sheetData>
  <autoFilter ref="A2:C25" xr:uid="{14D52CC9-AF48-4DB9-A0F3-F555E25A6427}"/>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108E-077A-4F1F-B307-DA92D07C6CB1}">
  <sheetPr>
    <tabColor theme="5"/>
  </sheetPr>
  <dimension ref="B1:S17"/>
  <sheetViews>
    <sheetView topLeftCell="B1" zoomScaleNormal="100" workbookViewId="0">
      <selection activeCell="H13" sqref="H13"/>
    </sheetView>
  </sheetViews>
  <sheetFormatPr defaultColWidth="8.7109375" defaultRowHeight="14.45"/>
  <cols>
    <col min="1" max="1" width="3" customWidth="1"/>
    <col min="4" max="4" width="7.5703125" customWidth="1"/>
    <col min="5" max="5" width="11.85546875" customWidth="1"/>
    <col min="6" max="6" width="14" customWidth="1"/>
    <col min="7" max="7" width="11.85546875" customWidth="1"/>
    <col min="8" max="8" width="27.85546875" customWidth="1"/>
    <col min="9" max="9" width="28" customWidth="1"/>
    <col min="10" max="10" width="11.42578125" customWidth="1"/>
    <col min="11" max="11" width="13.5703125" customWidth="1"/>
    <col min="12" max="12" width="12.7109375" customWidth="1"/>
    <col min="13" max="14" width="17.28515625" customWidth="1"/>
    <col min="15" max="16" width="11.42578125" customWidth="1"/>
    <col min="17" max="17" width="26.28515625" customWidth="1"/>
    <col min="18" max="19" width="18.85546875" customWidth="1"/>
  </cols>
  <sheetData>
    <row r="1" spans="2:19">
      <c r="B1" s="106" t="s">
        <v>29</v>
      </c>
      <c r="C1" s="107"/>
      <c r="D1" s="107"/>
      <c r="E1" s="107"/>
      <c r="F1" s="107"/>
      <c r="G1" s="107"/>
      <c r="H1" s="107"/>
      <c r="I1" s="107"/>
      <c r="J1" s="107"/>
      <c r="K1" s="107"/>
      <c r="L1" s="107"/>
      <c r="M1" s="107"/>
      <c r="N1" s="107"/>
      <c r="O1" s="108"/>
      <c r="P1" s="56"/>
      <c r="Q1" s="101" t="s">
        <v>30</v>
      </c>
      <c r="R1" s="102"/>
      <c r="S1" s="103"/>
    </row>
    <row r="2" spans="2:19" s="1" customFormat="1" ht="47.25" customHeight="1">
      <c r="B2" s="64" t="s">
        <v>2</v>
      </c>
      <c r="C2" s="8" t="s">
        <v>4</v>
      </c>
      <c r="D2" s="8" t="s">
        <v>6</v>
      </c>
      <c r="E2" s="8" t="s">
        <v>32</v>
      </c>
      <c r="F2" s="8" t="s">
        <v>33</v>
      </c>
      <c r="G2" s="8" t="s">
        <v>34</v>
      </c>
      <c r="H2" s="6" t="s">
        <v>10</v>
      </c>
      <c r="I2" s="6" t="s">
        <v>35</v>
      </c>
      <c r="J2" s="6" t="s">
        <v>36</v>
      </c>
      <c r="K2" s="6" t="s">
        <v>37</v>
      </c>
      <c r="L2" s="6" t="s">
        <v>16</v>
      </c>
      <c r="M2" s="6" t="s">
        <v>18</v>
      </c>
      <c r="N2" s="6" t="s">
        <v>20</v>
      </c>
      <c r="O2" s="6" t="s">
        <v>38</v>
      </c>
      <c r="P2" s="6" t="s">
        <v>39</v>
      </c>
      <c r="Q2" s="6" t="s">
        <v>24</v>
      </c>
      <c r="R2" s="6" t="s">
        <v>40</v>
      </c>
      <c r="S2" s="6" t="s">
        <v>41</v>
      </c>
    </row>
    <row r="3" spans="2:19" ht="44.25" customHeight="1">
      <c r="B3" s="9" t="s">
        <v>72</v>
      </c>
      <c r="C3" s="3" t="s">
        <v>545</v>
      </c>
      <c r="D3" s="3" t="s">
        <v>58</v>
      </c>
      <c r="E3" s="3" t="s">
        <v>546</v>
      </c>
      <c r="F3" s="3" t="s">
        <v>547</v>
      </c>
      <c r="G3" s="3" t="s">
        <v>548</v>
      </c>
      <c r="H3" s="3" t="s">
        <v>549</v>
      </c>
      <c r="I3" s="3" t="s">
        <v>549</v>
      </c>
      <c r="J3" s="3" t="s">
        <v>47</v>
      </c>
      <c r="K3" s="3" t="s">
        <v>50</v>
      </c>
      <c r="L3" s="3" t="s">
        <v>50</v>
      </c>
      <c r="M3" s="3" t="s">
        <v>550</v>
      </c>
      <c r="N3" s="3" t="s">
        <v>551</v>
      </c>
      <c r="O3" s="3" t="s">
        <v>53</v>
      </c>
      <c r="P3" s="3"/>
      <c r="Q3" s="3"/>
      <c r="R3" s="3"/>
      <c r="S3" s="3"/>
    </row>
    <row r="4" spans="2:19" ht="44.25" customHeight="1">
      <c r="B4" s="9" t="s">
        <v>72</v>
      </c>
      <c r="C4" s="3" t="s">
        <v>552</v>
      </c>
      <c r="D4" s="3" t="s">
        <v>58</v>
      </c>
      <c r="E4" s="3" t="s">
        <v>546</v>
      </c>
      <c r="F4" s="3" t="s">
        <v>547</v>
      </c>
      <c r="G4" s="3" t="s">
        <v>548</v>
      </c>
      <c r="H4" s="3" t="s">
        <v>553</v>
      </c>
      <c r="I4" s="3" t="s">
        <v>553</v>
      </c>
      <c r="J4" s="3" t="s">
        <v>47</v>
      </c>
      <c r="K4" s="3" t="s">
        <v>50</v>
      </c>
      <c r="L4" s="3" t="s">
        <v>50</v>
      </c>
      <c r="M4" s="3" t="s">
        <v>550</v>
      </c>
      <c r="N4" s="3" t="s">
        <v>551</v>
      </c>
      <c r="O4" s="3" t="s">
        <v>53</v>
      </c>
      <c r="P4" s="3"/>
      <c r="Q4" s="3"/>
      <c r="R4" s="3"/>
      <c r="S4" s="3"/>
    </row>
    <row r="5" spans="2:19" ht="66" customHeight="1">
      <c r="B5" s="10" t="s">
        <v>114</v>
      </c>
      <c r="C5" s="3" t="s">
        <v>554</v>
      </c>
      <c r="D5" s="3" t="s">
        <v>58</v>
      </c>
      <c r="E5" s="3" t="s">
        <v>47</v>
      </c>
      <c r="F5" s="3" t="s">
        <v>547</v>
      </c>
      <c r="G5" s="3" t="s">
        <v>555</v>
      </c>
      <c r="H5" s="3" t="s">
        <v>556</v>
      </c>
      <c r="I5" s="3" t="s">
        <v>557</v>
      </c>
      <c r="J5" s="3" t="s">
        <v>47</v>
      </c>
      <c r="K5" s="3" t="s">
        <v>50</v>
      </c>
      <c r="L5" s="3" t="s">
        <v>50</v>
      </c>
      <c r="M5" s="3" t="s">
        <v>550</v>
      </c>
      <c r="N5" s="3" t="s">
        <v>551</v>
      </c>
      <c r="O5" s="3" t="s">
        <v>53</v>
      </c>
      <c r="P5" s="3"/>
      <c r="Q5" s="3"/>
      <c r="R5" s="3"/>
      <c r="S5" s="3"/>
    </row>
    <row r="6" spans="2:19" ht="66" customHeight="1">
      <c r="B6" s="10" t="s">
        <v>114</v>
      </c>
      <c r="C6" s="3" t="s">
        <v>558</v>
      </c>
      <c r="D6" s="3" t="s">
        <v>58</v>
      </c>
      <c r="E6" s="3" t="s">
        <v>47</v>
      </c>
      <c r="F6" s="3" t="s">
        <v>547</v>
      </c>
      <c r="G6" s="3" t="s">
        <v>555</v>
      </c>
      <c r="H6" s="3" t="s">
        <v>559</v>
      </c>
      <c r="I6" s="3" t="s">
        <v>560</v>
      </c>
      <c r="J6" s="3" t="s">
        <v>47</v>
      </c>
      <c r="K6" s="3" t="s">
        <v>50</v>
      </c>
      <c r="L6" s="3" t="s">
        <v>50</v>
      </c>
      <c r="M6" s="3" t="s">
        <v>550</v>
      </c>
      <c r="N6" s="3" t="s">
        <v>551</v>
      </c>
      <c r="O6" s="3" t="s">
        <v>53</v>
      </c>
      <c r="P6" s="3"/>
      <c r="Q6" s="3"/>
      <c r="R6" s="3"/>
      <c r="S6" s="3"/>
    </row>
    <row r="7" spans="2:19" ht="66" customHeight="1">
      <c r="B7" s="10" t="s">
        <v>114</v>
      </c>
      <c r="C7" s="3" t="s">
        <v>558</v>
      </c>
      <c r="D7" s="3" t="s">
        <v>58</v>
      </c>
      <c r="E7" s="3" t="s">
        <v>47</v>
      </c>
      <c r="F7" s="3" t="s">
        <v>547</v>
      </c>
      <c r="G7" s="3" t="s">
        <v>226</v>
      </c>
      <c r="H7" s="3" t="s">
        <v>561</v>
      </c>
      <c r="I7" s="3" t="s">
        <v>562</v>
      </c>
      <c r="J7" s="3" t="s">
        <v>563</v>
      </c>
      <c r="K7" s="3" t="s">
        <v>50</v>
      </c>
      <c r="L7" s="3" t="s">
        <v>50</v>
      </c>
      <c r="M7" s="3" t="s">
        <v>550</v>
      </c>
      <c r="N7" s="3" t="s">
        <v>551</v>
      </c>
      <c r="O7" s="63" t="s">
        <v>405</v>
      </c>
      <c r="P7" s="3"/>
      <c r="Q7" s="3"/>
      <c r="R7" s="3"/>
      <c r="S7" s="3"/>
    </row>
    <row r="8" spans="2:19" ht="62.25" customHeight="1">
      <c r="B8" s="11" t="s">
        <v>195</v>
      </c>
      <c r="C8" s="3" t="s">
        <v>564</v>
      </c>
      <c r="D8" s="3" t="s">
        <v>58</v>
      </c>
      <c r="E8" s="3" t="s">
        <v>47</v>
      </c>
      <c r="F8" s="3" t="s">
        <v>547</v>
      </c>
      <c r="G8" s="3" t="s">
        <v>226</v>
      </c>
      <c r="H8" s="3" t="s">
        <v>565</v>
      </c>
      <c r="I8" s="3" t="s">
        <v>566</v>
      </c>
      <c r="J8" s="3" t="s">
        <v>47</v>
      </c>
      <c r="K8" s="3" t="s">
        <v>50</v>
      </c>
      <c r="L8" s="3" t="s">
        <v>50</v>
      </c>
      <c r="M8" s="3" t="s">
        <v>567</v>
      </c>
      <c r="N8" s="3" t="s">
        <v>551</v>
      </c>
      <c r="O8" s="57" t="s">
        <v>568</v>
      </c>
      <c r="P8" s="57" t="s">
        <v>569</v>
      </c>
      <c r="Q8" s="3" t="s">
        <v>570</v>
      </c>
      <c r="R8" s="3"/>
      <c r="S8" s="3"/>
    </row>
    <row r="9" spans="2:19" ht="62.25" customHeight="1">
      <c r="B9" s="11" t="s">
        <v>195</v>
      </c>
      <c r="C9" s="3" t="s">
        <v>571</v>
      </c>
      <c r="D9" s="3" t="s">
        <v>58</v>
      </c>
      <c r="E9" s="3" t="s">
        <v>47</v>
      </c>
      <c r="F9" s="3" t="s">
        <v>547</v>
      </c>
      <c r="G9" s="3" t="s">
        <v>226</v>
      </c>
      <c r="H9" s="3" t="s">
        <v>572</v>
      </c>
      <c r="I9" s="3" t="s">
        <v>573</v>
      </c>
      <c r="J9" s="3" t="s">
        <v>47</v>
      </c>
      <c r="K9" s="3" t="s">
        <v>50</v>
      </c>
      <c r="L9" s="3" t="s">
        <v>50</v>
      </c>
      <c r="M9" s="3" t="s">
        <v>567</v>
      </c>
      <c r="N9" s="3" t="s">
        <v>551</v>
      </c>
      <c r="O9" s="57" t="s">
        <v>568</v>
      </c>
      <c r="P9" s="57" t="s">
        <v>569</v>
      </c>
      <c r="R9" s="3"/>
      <c r="S9" s="3"/>
    </row>
    <row r="10" spans="2:19" ht="69">
      <c r="B10" s="11" t="s">
        <v>195</v>
      </c>
      <c r="C10" s="3" t="s">
        <v>574</v>
      </c>
      <c r="D10" s="3" t="s">
        <v>58</v>
      </c>
      <c r="E10" s="3" t="s">
        <v>47</v>
      </c>
      <c r="F10" s="3" t="s">
        <v>547</v>
      </c>
      <c r="G10" s="3" t="s">
        <v>226</v>
      </c>
      <c r="H10" s="3" t="s">
        <v>575</v>
      </c>
      <c r="I10" s="3" t="s">
        <v>576</v>
      </c>
      <c r="J10" s="3" t="s">
        <v>577</v>
      </c>
      <c r="K10" s="3" t="s">
        <v>81</v>
      </c>
      <c r="L10" s="3" t="s">
        <v>50</v>
      </c>
      <c r="M10" s="3" t="s">
        <v>567</v>
      </c>
      <c r="N10" s="3" t="s">
        <v>551</v>
      </c>
      <c r="O10" s="57" t="s">
        <v>578</v>
      </c>
      <c r="P10" s="58"/>
      <c r="Q10" s="3"/>
      <c r="R10" s="3"/>
      <c r="S10" s="3"/>
    </row>
    <row r="11" spans="2:19" ht="69">
      <c r="B11" s="11" t="s">
        <v>195</v>
      </c>
      <c r="C11" s="3" t="s">
        <v>579</v>
      </c>
      <c r="D11" s="3" t="s">
        <v>58</v>
      </c>
      <c r="E11" s="3" t="s">
        <v>47</v>
      </c>
      <c r="F11" s="3" t="s">
        <v>547</v>
      </c>
      <c r="G11" s="3" t="s">
        <v>226</v>
      </c>
      <c r="H11" s="3" t="s">
        <v>580</v>
      </c>
      <c r="I11" s="3" t="s">
        <v>581</v>
      </c>
      <c r="J11" s="3" t="s">
        <v>577</v>
      </c>
      <c r="K11" s="3" t="s">
        <v>81</v>
      </c>
      <c r="L11" s="3" t="s">
        <v>50</v>
      </c>
      <c r="M11" s="3" t="s">
        <v>567</v>
      </c>
      <c r="N11" s="3" t="s">
        <v>551</v>
      </c>
      <c r="O11" s="57" t="s">
        <v>578</v>
      </c>
      <c r="P11" s="58"/>
      <c r="Q11" s="3"/>
      <c r="R11" s="3"/>
      <c r="S11" s="3"/>
    </row>
    <row r="12" spans="2:19" ht="69">
      <c r="B12" s="11" t="s">
        <v>195</v>
      </c>
      <c r="C12" s="3" t="s">
        <v>582</v>
      </c>
      <c r="D12" s="3" t="s">
        <v>58</v>
      </c>
      <c r="E12" s="3" t="s">
        <v>47</v>
      </c>
      <c r="F12" s="3" t="s">
        <v>547</v>
      </c>
      <c r="G12" s="3" t="s">
        <v>226</v>
      </c>
      <c r="H12" s="3" t="s">
        <v>583</v>
      </c>
      <c r="I12" s="3" t="s">
        <v>584</v>
      </c>
      <c r="J12" s="3" t="s">
        <v>577</v>
      </c>
      <c r="K12" s="3" t="s">
        <v>81</v>
      </c>
      <c r="L12" s="3" t="s">
        <v>50</v>
      </c>
      <c r="M12" s="3" t="s">
        <v>567</v>
      </c>
      <c r="N12" s="3" t="s">
        <v>551</v>
      </c>
      <c r="O12" s="57" t="s">
        <v>578</v>
      </c>
      <c r="P12" s="58"/>
      <c r="Q12" s="3"/>
      <c r="R12" s="3"/>
      <c r="S12" s="3"/>
    </row>
    <row r="13" spans="2:19" ht="69">
      <c r="B13" s="11" t="s">
        <v>195</v>
      </c>
      <c r="C13" s="3" t="s">
        <v>585</v>
      </c>
      <c r="D13" s="3" t="s">
        <v>58</v>
      </c>
      <c r="E13" s="3" t="s">
        <v>47</v>
      </c>
      <c r="F13" s="3" t="s">
        <v>547</v>
      </c>
      <c r="G13" s="3" t="s">
        <v>226</v>
      </c>
      <c r="H13" s="3" t="s">
        <v>586</v>
      </c>
      <c r="I13" s="3" t="s">
        <v>587</v>
      </c>
      <c r="J13" s="3" t="s">
        <v>577</v>
      </c>
      <c r="K13" s="3" t="s">
        <v>81</v>
      </c>
      <c r="L13" s="3" t="s">
        <v>50</v>
      </c>
      <c r="M13" s="3" t="s">
        <v>567</v>
      </c>
      <c r="N13" s="3" t="s">
        <v>551</v>
      </c>
      <c r="O13" s="57" t="s">
        <v>578</v>
      </c>
      <c r="P13" s="58"/>
      <c r="Q13" s="3"/>
      <c r="R13" s="3"/>
      <c r="S13" s="3"/>
    </row>
    <row r="14" spans="2:19" ht="69">
      <c r="B14" s="11" t="s">
        <v>195</v>
      </c>
      <c r="C14" s="3" t="s">
        <v>588</v>
      </c>
      <c r="D14" s="3" t="s">
        <v>58</v>
      </c>
      <c r="E14" s="3" t="s">
        <v>47</v>
      </c>
      <c r="F14" s="3" t="s">
        <v>547</v>
      </c>
      <c r="G14" s="3" t="s">
        <v>226</v>
      </c>
      <c r="H14" s="3" t="s">
        <v>589</v>
      </c>
      <c r="I14" s="3" t="s">
        <v>590</v>
      </c>
      <c r="J14" s="3" t="s">
        <v>577</v>
      </c>
      <c r="K14" s="3" t="s">
        <v>81</v>
      </c>
      <c r="L14" s="3" t="s">
        <v>50</v>
      </c>
      <c r="M14" s="3" t="s">
        <v>567</v>
      </c>
      <c r="N14" s="3" t="s">
        <v>551</v>
      </c>
      <c r="O14" s="57" t="s">
        <v>578</v>
      </c>
      <c r="P14" s="58"/>
      <c r="Q14" s="3"/>
      <c r="R14" s="3"/>
      <c r="S14" s="3"/>
    </row>
    <row r="15" spans="2:19" ht="69">
      <c r="B15" s="11" t="s">
        <v>195</v>
      </c>
      <c r="C15" s="3" t="s">
        <v>591</v>
      </c>
      <c r="D15" s="3" t="s">
        <v>58</v>
      </c>
      <c r="E15" s="3" t="s">
        <v>47</v>
      </c>
      <c r="F15" s="3" t="s">
        <v>547</v>
      </c>
      <c r="G15" s="3" t="s">
        <v>226</v>
      </c>
      <c r="H15" s="3" t="s">
        <v>592</v>
      </c>
      <c r="I15" s="3" t="s">
        <v>593</v>
      </c>
      <c r="J15" s="3" t="s">
        <v>577</v>
      </c>
      <c r="K15" s="3" t="s">
        <v>81</v>
      </c>
      <c r="L15" s="3" t="s">
        <v>50</v>
      </c>
      <c r="M15" s="3" t="s">
        <v>567</v>
      </c>
      <c r="N15" s="3" t="s">
        <v>551</v>
      </c>
      <c r="O15" s="57" t="s">
        <v>578</v>
      </c>
      <c r="P15" s="58"/>
      <c r="Q15" s="3"/>
      <c r="R15" s="3"/>
      <c r="S15" s="3"/>
    </row>
    <row r="16" spans="2:19" ht="69">
      <c r="B16" s="11" t="s">
        <v>195</v>
      </c>
      <c r="C16" s="3" t="s">
        <v>594</v>
      </c>
      <c r="D16" s="3" t="s">
        <v>58</v>
      </c>
      <c r="E16" s="3" t="s">
        <v>47</v>
      </c>
      <c r="F16" s="3" t="s">
        <v>547</v>
      </c>
      <c r="G16" s="3" t="s">
        <v>595</v>
      </c>
      <c r="H16" s="3" t="s">
        <v>596</v>
      </c>
      <c r="I16" s="3" t="s">
        <v>597</v>
      </c>
      <c r="J16" s="3" t="s">
        <v>598</v>
      </c>
      <c r="K16" s="3" t="s">
        <v>81</v>
      </c>
      <c r="L16" s="3" t="s">
        <v>50</v>
      </c>
      <c r="M16" s="3" t="s">
        <v>567</v>
      </c>
      <c r="N16" s="3" t="s">
        <v>551</v>
      </c>
      <c r="O16" s="57" t="s">
        <v>599</v>
      </c>
      <c r="P16" s="3"/>
      <c r="Q16" s="3"/>
      <c r="R16" s="3"/>
      <c r="S16" s="3"/>
    </row>
    <row r="17" spans="2:19" ht="69">
      <c r="B17" s="11" t="s">
        <v>195</v>
      </c>
      <c r="C17" s="3" t="s">
        <v>600</v>
      </c>
      <c r="D17" s="3" t="s">
        <v>58</v>
      </c>
      <c r="E17" s="3" t="s">
        <v>47</v>
      </c>
      <c r="F17" s="3" t="s">
        <v>547</v>
      </c>
      <c r="G17" s="3" t="s">
        <v>226</v>
      </c>
      <c r="H17" s="3" t="s">
        <v>601</v>
      </c>
      <c r="I17" s="3" t="s">
        <v>602</v>
      </c>
      <c r="J17" s="3" t="s">
        <v>598</v>
      </c>
      <c r="K17" s="3" t="s">
        <v>81</v>
      </c>
      <c r="L17" s="3" t="s">
        <v>50</v>
      </c>
      <c r="M17" s="3" t="s">
        <v>567</v>
      </c>
      <c r="N17" s="3" t="s">
        <v>551</v>
      </c>
      <c r="O17" s="57" t="s">
        <v>603</v>
      </c>
      <c r="P17" s="3"/>
      <c r="Q17" s="3"/>
      <c r="R17" s="3"/>
      <c r="S17" s="3"/>
    </row>
  </sheetData>
  <mergeCells count="2">
    <mergeCell ref="B1:O1"/>
    <mergeCell ref="Q1:S1"/>
  </mergeCells>
  <phoneticPr fontId="28" type="noConversion"/>
  <conditionalFormatting sqref="F4 G3:L4 N3:P4 R9:S9 C8:M9 C16:L16 P16:S16 C10:F11 H10:M12 D14:F14 H14:M14 G10:G15 D12:F12 C12:C15 O14:S14 O10:S12 O8:S8 O9:P9 N8:N17 N5:S7 M9:M17 C5:L7">
    <cfRule type="containsText" dxfId="71" priority="31" operator="containsText" text="intervention/control">
      <formula>NOT(ISERROR(SEARCH("intervention/control",C3)))</formula>
    </cfRule>
  </conditionalFormatting>
  <conditionalFormatting sqref="J16:L16">
    <cfRule type="containsText" dxfId="70" priority="25" operator="containsText" text="intervention/control">
      <formula>NOT(ISERROR(SEARCH("intervention/control",J16)))</formula>
    </cfRule>
  </conditionalFormatting>
  <conditionalFormatting sqref="Q3:S4 C3:F3 C4:E4 N3:N4">
    <cfRule type="containsText" dxfId="69" priority="11" operator="containsText" text="intervention/control">
      <formula>NOT(ISERROR(SEARCH("intervention/control",C3)))</formula>
    </cfRule>
  </conditionalFormatting>
  <conditionalFormatting sqref="M3:M7">
    <cfRule type="containsText" dxfId="68" priority="10" operator="containsText" text="intervention/control">
      <formula>NOT(ISERROR(SEARCH("intervention/control",M3)))</formula>
    </cfRule>
  </conditionalFormatting>
  <conditionalFormatting sqref="O17 C17:L17 Q17:S17">
    <cfRule type="containsText" dxfId="67" priority="9" operator="containsText" text="intervention/control">
      <formula>NOT(ISERROR(SEARCH("intervention/control",C17)))</formula>
    </cfRule>
  </conditionalFormatting>
  <conditionalFormatting sqref="J17:L17">
    <cfRule type="containsText" dxfId="66" priority="8" operator="containsText" text="intervention/control">
      <formula>NOT(ISERROR(SEARCH("intervention/control",J17)))</formula>
    </cfRule>
  </conditionalFormatting>
  <conditionalFormatting sqref="O16">
    <cfRule type="containsText" dxfId="65" priority="6" operator="containsText" text="intervention/control">
      <formula>NOT(ISERROR(SEARCH("intervention/control",O16)))</formula>
    </cfRule>
  </conditionalFormatting>
  <conditionalFormatting sqref="D13:F13 H13:M13 O13:S13">
    <cfRule type="containsText" dxfId="64" priority="5" operator="containsText" text="intervention/control">
      <formula>NOT(ISERROR(SEARCH("intervention/control",D13)))</formula>
    </cfRule>
  </conditionalFormatting>
  <conditionalFormatting sqref="D15:F15 H15:M15 O15:S15">
    <cfRule type="containsText" dxfId="63" priority="4" operator="containsText" text="intervention/control">
      <formula>NOT(ISERROR(SEARCH("intervention/control",D15)))</formula>
    </cfRule>
  </conditionalFormatting>
  <conditionalFormatting sqref="H20">
    <cfRule type="containsText" dxfId="62" priority="3" operator="containsText" text="intervention/control">
      <formula>NOT(ISERROR(SEARCH("intervention/control",H20)))</formula>
    </cfRule>
  </conditionalFormatting>
  <conditionalFormatting sqref="O17">
    <cfRule type="containsText" dxfId="61" priority="2" operator="containsText" text="intervention/control">
      <formula>NOT(ISERROR(SEARCH("intervention/control",O17)))</formula>
    </cfRule>
  </conditionalFormatting>
  <conditionalFormatting sqref="P17">
    <cfRule type="containsText" dxfId="60" priority="1" operator="containsText" text="intervention/control">
      <formula>NOT(ISERROR(SEARCH("intervention/control",P17)))</formula>
    </cfRule>
  </conditionalFormatting>
  <hyperlinks>
    <hyperlink ref="O10" r:id="rId1" xr:uid="{B3D2AC72-130F-4ED9-80F0-2C4AB1F3B0DB}"/>
    <hyperlink ref="O8" r:id="rId2" xr:uid="{FA1560C1-5575-4A60-A6C9-93FD3BC5B639}"/>
    <hyperlink ref="O9" r:id="rId3" xr:uid="{4BC2541A-40F0-441E-B787-5FF319163995}"/>
    <hyperlink ref="P9" r:id="rId4" xr:uid="{C7A1EBEE-0B1C-4035-B395-C42D53BF7EF9}"/>
    <hyperlink ref="P8" r:id="rId5" xr:uid="{3864EF00-DC1E-435D-97E4-3953D099C7A0}"/>
    <hyperlink ref="O16" r:id="rId6" xr:uid="{A91DCF08-A057-47E9-8534-8852BD2382D8}"/>
    <hyperlink ref="O11" r:id="rId7" xr:uid="{706713E7-DC4F-417C-BC0C-9FE27CC2B0F0}"/>
    <hyperlink ref="O12" r:id="rId8" xr:uid="{6D132400-A249-4E10-9CAD-1F0F4AACB79B}"/>
    <hyperlink ref="O13" r:id="rId9" xr:uid="{E556860F-DCBA-420B-B05D-6C51FB84CA61}"/>
    <hyperlink ref="O14" r:id="rId10" xr:uid="{B6595DAE-64BD-4799-A24F-8008B30166F2}"/>
    <hyperlink ref="O15" r:id="rId11" xr:uid="{2C4979C0-B03D-4950-860A-B9A97DC1FA02}"/>
    <hyperlink ref="O17" r:id="rId12" xr:uid="{4DFDDA52-C7E2-407C-B3B8-31562A02949D}"/>
    <hyperlink ref="O7" r:id="rId13" xr:uid="{553182D7-D1C8-4D2D-A140-6A443418530D}"/>
  </hyperlinks>
  <pageMargins left="0.7" right="0.7" top="0.75" bottom="0.75" header="0.3" footer="0.3"/>
  <pageSetup orientation="portrait"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17F0-8C5D-49B9-8C61-299D2CEFED51}">
  <sheetPr>
    <tabColor theme="5"/>
  </sheetPr>
  <dimension ref="B1:S41"/>
  <sheetViews>
    <sheetView topLeftCell="F1" zoomScaleNormal="100" workbookViewId="0">
      <selection activeCell="F1" sqref="A1:XFD1048576"/>
    </sheetView>
  </sheetViews>
  <sheetFormatPr defaultColWidth="8.7109375" defaultRowHeight="14.45"/>
  <cols>
    <col min="1" max="1" width="3" customWidth="1"/>
    <col min="4" max="4" width="7.5703125" customWidth="1"/>
    <col min="5" max="7" width="11.85546875" customWidth="1"/>
    <col min="8" max="8" width="27.85546875" customWidth="1"/>
    <col min="9" max="9" width="28" customWidth="1"/>
    <col min="10" max="10" width="11.42578125" customWidth="1"/>
    <col min="11" max="11" width="13.5703125" customWidth="1"/>
    <col min="12" max="12" width="12.7109375" customWidth="1"/>
    <col min="13" max="14" width="17.28515625" customWidth="1"/>
    <col min="15" max="16" width="11.42578125" customWidth="1"/>
    <col min="17" max="19" width="18.85546875" customWidth="1"/>
  </cols>
  <sheetData>
    <row r="1" spans="2:19">
      <c r="B1" s="106" t="s">
        <v>29</v>
      </c>
      <c r="C1" s="107"/>
      <c r="D1" s="107"/>
      <c r="E1" s="107"/>
      <c r="F1" s="107"/>
      <c r="G1" s="107"/>
      <c r="H1" s="107"/>
      <c r="I1" s="107"/>
      <c r="J1" s="107"/>
      <c r="K1" s="107"/>
      <c r="L1" s="107"/>
      <c r="M1" s="107"/>
      <c r="N1" s="107"/>
      <c r="O1" s="108"/>
      <c r="P1" s="56"/>
      <c r="Q1" s="101" t="s">
        <v>30</v>
      </c>
      <c r="R1" s="102"/>
      <c r="S1" s="103"/>
    </row>
    <row r="2" spans="2:19" s="1" customFormat="1" ht="47.25" customHeight="1">
      <c r="B2" s="7" t="s">
        <v>2</v>
      </c>
      <c r="C2" s="8" t="s">
        <v>4</v>
      </c>
      <c r="D2" s="8" t="s">
        <v>6</v>
      </c>
      <c r="E2" s="8" t="s">
        <v>32</v>
      </c>
      <c r="F2" s="8" t="s">
        <v>33</v>
      </c>
      <c r="G2" s="8" t="s">
        <v>34</v>
      </c>
      <c r="H2" s="6" t="s">
        <v>10</v>
      </c>
      <c r="I2" s="6" t="s">
        <v>35</v>
      </c>
      <c r="J2" s="6" t="s">
        <v>36</v>
      </c>
      <c r="K2" s="6" t="s">
        <v>37</v>
      </c>
      <c r="L2" s="6" t="s">
        <v>16</v>
      </c>
      <c r="M2" s="6" t="s">
        <v>18</v>
      </c>
      <c r="N2" s="6" t="s">
        <v>20</v>
      </c>
      <c r="O2" s="6" t="s">
        <v>38</v>
      </c>
      <c r="P2" s="6" t="s">
        <v>39</v>
      </c>
      <c r="Q2" s="6" t="s">
        <v>24</v>
      </c>
      <c r="R2" s="6" t="s">
        <v>40</v>
      </c>
      <c r="S2" s="6" t="s">
        <v>41</v>
      </c>
    </row>
    <row r="3" spans="2:19" ht="44.25" customHeight="1">
      <c r="B3" s="10" t="s">
        <v>114</v>
      </c>
      <c r="C3" s="3" t="s">
        <v>604</v>
      </c>
      <c r="D3" s="3" t="s">
        <v>58</v>
      </c>
      <c r="E3" s="3" t="s">
        <v>47</v>
      </c>
      <c r="F3" s="3" t="s">
        <v>605</v>
      </c>
      <c r="G3" s="3" t="s">
        <v>548</v>
      </c>
      <c r="H3" s="3" t="s">
        <v>606</v>
      </c>
      <c r="I3" s="3" t="s">
        <v>606</v>
      </c>
      <c r="J3" s="3" t="s">
        <v>47</v>
      </c>
      <c r="K3" s="3" t="s">
        <v>50</v>
      </c>
      <c r="L3" s="3" t="s">
        <v>50</v>
      </c>
      <c r="M3" s="3" t="s">
        <v>132</v>
      </c>
      <c r="N3" s="3" t="s">
        <v>551</v>
      </c>
      <c r="O3" s="3" t="s">
        <v>53</v>
      </c>
      <c r="P3" s="3"/>
      <c r="Q3" s="3"/>
      <c r="R3" s="3"/>
      <c r="S3" s="3"/>
    </row>
    <row r="4" spans="2:19" ht="84">
      <c r="B4" s="10" t="s">
        <v>114</v>
      </c>
      <c r="C4" s="3" t="s">
        <v>607</v>
      </c>
      <c r="D4" s="3" t="s">
        <v>58</v>
      </c>
      <c r="E4" s="3" t="s">
        <v>47</v>
      </c>
      <c r="F4" s="3" t="s">
        <v>605</v>
      </c>
      <c r="G4" s="3" t="s">
        <v>608</v>
      </c>
      <c r="H4" s="3" t="s">
        <v>609</v>
      </c>
      <c r="I4" s="3" t="s">
        <v>610</v>
      </c>
      <c r="J4" s="3" t="s">
        <v>47</v>
      </c>
      <c r="K4" s="3" t="s">
        <v>50</v>
      </c>
      <c r="L4" s="3" t="s">
        <v>50</v>
      </c>
      <c r="M4" s="3" t="s">
        <v>132</v>
      </c>
      <c r="N4" s="3" t="s">
        <v>551</v>
      </c>
      <c r="O4" s="58" t="s">
        <v>611</v>
      </c>
      <c r="P4" s="58"/>
      <c r="Q4" s="3"/>
      <c r="R4" s="3"/>
      <c r="S4" s="3"/>
    </row>
    <row r="5" spans="2:19" ht="35.25" customHeight="1">
      <c r="B5" s="10" t="s">
        <v>114</v>
      </c>
      <c r="C5" s="3" t="s">
        <v>612</v>
      </c>
      <c r="D5" s="3" t="s">
        <v>58</v>
      </c>
      <c r="E5" s="3" t="s">
        <v>47</v>
      </c>
      <c r="F5" s="3" t="s">
        <v>605</v>
      </c>
      <c r="G5" s="3" t="s">
        <v>548</v>
      </c>
      <c r="H5" s="3" t="s">
        <v>613</v>
      </c>
      <c r="I5" s="3" t="s">
        <v>613</v>
      </c>
      <c r="J5" s="3" t="s">
        <v>47</v>
      </c>
      <c r="K5" s="3" t="s">
        <v>50</v>
      </c>
      <c r="L5" s="3" t="s">
        <v>50</v>
      </c>
      <c r="M5" s="3" t="s">
        <v>132</v>
      </c>
      <c r="N5" s="3" t="s">
        <v>551</v>
      </c>
      <c r="O5" s="3" t="s">
        <v>53</v>
      </c>
      <c r="P5" s="58"/>
      <c r="Q5" s="3"/>
      <c r="R5" s="3"/>
      <c r="S5" s="3"/>
    </row>
    <row r="6" spans="2:19" ht="84">
      <c r="B6" s="10" t="s">
        <v>114</v>
      </c>
      <c r="C6" s="3" t="s">
        <v>614</v>
      </c>
      <c r="D6" s="3" t="s">
        <v>58</v>
      </c>
      <c r="E6" s="3" t="s">
        <v>47</v>
      </c>
      <c r="F6" s="3" t="s">
        <v>605</v>
      </c>
      <c r="G6" s="3" t="s">
        <v>608</v>
      </c>
      <c r="H6" s="3" t="s">
        <v>615</v>
      </c>
      <c r="I6" s="3" t="s">
        <v>615</v>
      </c>
      <c r="J6" s="3" t="s">
        <v>47</v>
      </c>
      <c r="K6" s="3" t="s">
        <v>50</v>
      </c>
      <c r="L6" s="3" t="s">
        <v>50</v>
      </c>
      <c r="M6" s="3" t="s">
        <v>132</v>
      </c>
      <c r="N6" s="3" t="s">
        <v>551</v>
      </c>
      <c r="O6" s="58" t="s">
        <v>611</v>
      </c>
      <c r="P6" s="58"/>
      <c r="Q6" s="3"/>
      <c r="R6" s="3"/>
      <c r="S6" s="3"/>
    </row>
    <row r="7" spans="2:19" ht="84">
      <c r="B7" s="10" t="s">
        <v>114</v>
      </c>
      <c r="C7" s="3" t="s">
        <v>616</v>
      </c>
      <c r="D7" s="3" t="s">
        <v>58</v>
      </c>
      <c r="E7" s="3" t="s">
        <v>47</v>
      </c>
      <c r="F7" s="3" t="s">
        <v>605</v>
      </c>
      <c r="G7" s="3" t="s">
        <v>78</v>
      </c>
      <c r="H7" s="3" t="s">
        <v>617</v>
      </c>
      <c r="I7" s="3" t="s">
        <v>618</v>
      </c>
      <c r="J7" s="3" t="s">
        <v>47</v>
      </c>
      <c r="K7" s="3" t="s">
        <v>50</v>
      </c>
      <c r="L7" s="3" t="s">
        <v>50</v>
      </c>
      <c r="M7" s="3" t="s">
        <v>132</v>
      </c>
      <c r="N7" s="3" t="s">
        <v>551</v>
      </c>
      <c r="O7" s="58" t="s">
        <v>611</v>
      </c>
      <c r="P7" s="58"/>
      <c r="Q7" s="3"/>
      <c r="R7" s="3"/>
      <c r="S7" s="3"/>
    </row>
    <row r="8" spans="2:19" ht="84">
      <c r="B8" s="10" t="s">
        <v>114</v>
      </c>
      <c r="C8" s="3" t="s">
        <v>619</v>
      </c>
      <c r="D8" s="3" t="s">
        <v>58</v>
      </c>
      <c r="E8" s="3" t="s">
        <v>47</v>
      </c>
      <c r="F8" s="3" t="s">
        <v>605</v>
      </c>
      <c r="G8" s="3" t="s">
        <v>78</v>
      </c>
      <c r="H8" s="3" t="s">
        <v>620</v>
      </c>
      <c r="I8" s="3" t="s">
        <v>620</v>
      </c>
      <c r="J8" s="3" t="s">
        <v>47</v>
      </c>
      <c r="K8" s="3" t="s">
        <v>50</v>
      </c>
      <c r="L8" s="3" t="s">
        <v>50</v>
      </c>
      <c r="M8" s="3" t="s">
        <v>132</v>
      </c>
      <c r="N8" s="3" t="s">
        <v>551</v>
      </c>
      <c r="O8" s="58" t="s">
        <v>611</v>
      </c>
      <c r="P8" s="58"/>
      <c r="Q8" s="3"/>
      <c r="R8" s="3"/>
      <c r="S8" s="3"/>
    </row>
    <row r="9" spans="2:19" ht="45.95">
      <c r="B9" s="10" t="s">
        <v>114</v>
      </c>
      <c r="C9" s="3" t="s">
        <v>621</v>
      </c>
      <c r="D9" s="3" t="s">
        <v>58</v>
      </c>
      <c r="E9" s="3" t="s">
        <v>47</v>
      </c>
      <c r="F9" s="3" t="s">
        <v>605</v>
      </c>
      <c r="G9" s="3" t="s">
        <v>78</v>
      </c>
      <c r="H9" s="3" t="s">
        <v>622</v>
      </c>
      <c r="I9" s="3" t="s">
        <v>623</v>
      </c>
      <c r="J9" s="3" t="s">
        <v>47</v>
      </c>
      <c r="K9" s="3" t="s">
        <v>50</v>
      </c>
      <c r="L9" s="3" t="s">
        <v>50</v>
      </c>
      <c r="M9" s="3" t="s">
        <v>132</v>
      </c>
      <c r="N9" s="3" t="s">
        <v>551</v>
      </c>
      <c r="O9" s="3" t="s">
        <v>53</v>
      </c>
      <c r="P9" s="3"/>
      <c r="Q9" s="3"/>
      <c r="R9" s="3"/>
      <c r="S9" s="3"/>
    </row>
    <row r="10" spans="2:19" ht="34.5">
      <c r="B10" s="11" t="s">
        <v>195</v>
      </c>
      <c r="C10" s="3" t="s">
        <v>624</v>
      </c>
      <c r="D10" s="3" t="s">
        <v>58</v>
      </c>
      <c r="E10" s="3" t="s">
        <v>47</v>
      </c>
      <c r="F10" s="3" t="s">
        <v>605</v>
      </c>
      <c r="G10" s="3" t="s">
        <v>78</v>
      </c>
      <c r="H10" s="3" t="s">
        <v>625</v>
      </c>
      <c r="I10" s="3" t="s">
        <v>626</v>
      </c>
      <c r="J10" s="3"/>
      <c r="K10" s="3"/>
      <c r="L10" s="3"/>
      <c r="M10" s="3" t="s">
        <v>132</v>
      </c>
      <c r="N10" s="3" t="s">
        <v>627</v>
      </c>
      <c r="O10" s="3" t="s">
        <v>53</v>
      </c>
      <c r="P10" s="3"/>
      <c r="Q10" s="3"/>
      <c r="R10" s="3"/>
      <c r="S10" s="3"/>
    </row>
    <row r="11" spans="2:19" ht="57.6">
      <c r="B11" s="11" t="s">
        <v>195</v>
      </c>
      <c r="C11" s="3" t="s">
        <v>628</v>
      </c>
      <c r="D11" s="3" t="s">
        <v>58</v>
      </c>
      <c r="E11" s="3" t="s">
        <v>47</v>
      </c>
      <c r="F11" s="3" t="s">
        <v>605</v>
      </c>
      <c r="G11" s="3" t="s">
        <v>78</v>
      </c>
      <c r="H11" s="3" t="s">
        <v>629</v>
      </c>
      <c r="I11" s="3" t="s">
        <v>630</v>
      </c>
      <c r="J11" s="3" t="s">
        <v>631</v>
      </c>
      <c r="K11" s="3" t="s">
        <v>81</v>
      </c>
      <c r="L11" s="3" t="s">
        <v>50</v>
      </c>
      <c r="M11" s="3" t="s">
        <v>132</v>
      </c>
      <c r="N11" s="3" t="s">
        <v>627</v>
      </c>
      <c r="O11" s="58" t="s">
        <v>632</v>
      </c>
      <c r="P11" s="58"/>
      <c r="Q11" s="3"/>
      <c r="R11" s="3"/>
      <c r="S11" s="3"/>
    </row>
    <row r="12" spans="2:19" ht="57.6">
      <c r="B12" s="11" t="s">
        <v>195</v>
      </c>
      <c r="C12" s="3" t="s">
        <v>633</v>
      </c>
      <c r="D12" s="3" t="s">
        <v>58</v>
      </c>
      <c r="E12" s="3" t="s">
        <v>47</v>
      </c>
      <c r="F12" s="3" t="s">
        <v>605</v>
      </c>
      <c r="G12" s="3" t="s">
        <v>78</v>
      </c>
      <c r="H12" s="3" t="s">
        <v>634</v>
      </c>
      <c r="I12" s="3" t="s">
        <v>635</v>
      </c>
      <c r="J12" s="3" t="s">
        <v>631</v>
      </c>
      <c r="K12" s="3" t="s">
        <v>81</v>
      </c>
      <c r="L12" s="3" t="s">
        <v>50</v>
      </c>
      <c r="M12" s="3" t="s">
        <v>132</v>
      </c>
      <c r="N12" s="3" t="s">
        <v>627</v>
      </c>
      <c r="O12" s="58" t="s">
        <v>632</v>
      </c>
      <c r="P12" s="58" t="s">
        <v>636</v>
      </c>
      <c r="Q12" s="3" t="s">
        <v>637</v>
      </c>
      <c r="R12" s="3"/>
      <c r="S12" s="3"/>
    </row>
    <row r="13" spans="2:19" ht="103.5">
      <c r="B13" s="11" t="s">
        <v>195</v>
      </c>
      <c r="C13" s="3" t="s">
        <v>638</v>
      </c>
      <c r="D13" s="3" t="s">
        <v>58</v>
      </c>
      <c r="E13" s="3" t="s">
        <v>47</v>
      </c>
      <c r="F13" s="3" t="s">
        <v>605</v>
      </c>
      <c r="G13" s="3" t="s">
        <v>78</v>
      </c>
      <c r="H13" s="3" t="s">
        <v>639</v>
      </c>
      <c r="I13" s="3" t="s">
        <v>640</v>
      </c>
      <c r="J13" s="3" t="s">
        <v>631</v>
      </c>
      <c r="K13" s="3" t="s">
        <v>81</v>
      </c>
      <c r="L13" s="3" t="s">
        <v>50</v>
      </c>
      <c r="M13" s="3" t="s">
        <v>132</v>
      </c>
      <c r="N13" s="3" t="s">
        <v>627</v>
      </c>
      <c r="O13" s="58" t="s">
        <v>632</v>
      </c>
      <c r="P13" s="58" t="s">
        <v>636</v>
      </c>
      <c r="Q13" s="3" t="s">
        <v>641</v>
      </c>
      <c r="R13" s="3"/>
      <c r="S13" s="3"/>
    </row>
    <row r="14" spans="2:19" ht="92.1">
      <c r="B14" s="11" t="s">
        <v>195</v>
      </c>
      <c r="C14" s="3" t="s">
        <v>642</v>
      </c>
      <c r="D14" s="3" t="s">
        <v>58</v>
      </c>
      <c r="E14" s="3" t="s">
        <v>47</v>
      </c>
      <c r="F14" s="3" t="s">
        <v>605</v>
      </c>
      <c r="G14" s="3" t="s">
        <v>78</v>
      </c>
      <c r="H14" s="3" t="s">
        <v>643</v>
      </c>
      <c r="I14" s="3" t="s">
        <v>644</v>
      </c>
      <c r="J14" s="3" t="s">
        <v>631</v>
      </c>
      <c r="K14" s="3" t="s">
        <v>81</v>
      </c>
      <c r="L14" s="3" t="s">
        <v>50</v>
      </c>
      <c r="M14" s="3" t="s">
        <v>132</v>
      </c>
      <c r="N14" s="3" t="s">
        <v>627</v>
      </c>
      <c r="O14" s="58" t="s">
        <v>636</v>
      </c>
      <c r="P14" s="58"/>
      <c r="Q14" s="3" t="s">
        <v>645</v>
      </c>
      <c r="R14" s="3"/>
      <c r="S14" s="3" t="s">
        <v>646</v>
      </c>
    </row>
    <row r="15" spans="2:19" ht="57.6">
      <c r="B15" s="11" t="s">
        <v>195</v>
      </c>
      <c r="C15" s="62" t="s">
        <v>647</v>
      </c>
      <c r="D15" s="3" t="s">
        <v>58</v>
      </c>
      <c r="E15" s="3" t="s">
        <v>47</v>
      </c>
      <c r="F15" s="3" t="s">
        <v>605</v>
      </c>
      <c r="G15" s="3" t="s">
        <v>78</v>
      </c>
      <c r="H15" s="3" t="s">
        <v>648</v>
      </c>
      <c r="I15" s="3" t="s">
        <v>649</v>
      </c>
      <c r="J15" s="3" t="s">
        <v>631</v>
      </c>
      <c r="K15" s="3" t="s">
        <v>81</v>
      </c>
      <c r="L15" s="3" t="s">
        <v>50</v>
      </c>
      <c r="M15" s="3" t="s">
        <v>132</v>
      </c>
      <c r="N15" s="3" t="s">
        <v>627</v>
      </c>
      <c r="O15" s="58" t="s">
        <v>636</v>
      </c>
      <c r="P15" s="58"/>
      <c r="Q15" s="58"/>
      <c r="R15" s="71"/>
      <c r="S15" s="71"/>
    </row>
    <row r="16" spans="2:19" ht="57.6">
      <c r="B16" s="11" t="s">
        <v>195</v>
      </c>
      <c r="C16" s="62" t="s">
        <v>650</v>
      </c>
      <c r="D16" s="3" t="s">
        <v>58</v>
      </c>
      <c r="E16" s="3" t="s">
        <v>47</v>
      </c>
      <c r="F16" s="3" t="s">
        <v>605</v>
      </c>
      <c r="G16" s="3" t="s">
        <v>78</v>
      </c>
      <c r="H16" s="3" t="s">
        <v>651</v>
      </c>
      <c r="I16" s="3" t="s">
        <v>652</v>
      </c>
      <c r="J16" s="3" t="s">
        <v>631</v>
      </c>
      <c r="K16" s="3" t="s">
        <v>81</v>
      </c>
      <c r="L16" s="3" t="s">
        <v>50</v>
      </c>
      <c r="M16" s="3" t="s">
        <v>132</v>
      </c>
      <c r="N16" s="3" t="s">
        <v>627</v>
      </c>
      <c r="O16" s="58" t="s">
        <v>636</v>
      </c>
      <c r="P16" s="58"/>
      <c r="Q16" s="58"/>
      <c r="R16" s="71"/>
      <c r="S16" s="71"/>
    </row>
    <row r="17" spans="2:19" ht="69">
      <c r="B17" s="11" t="s">
        <v>195</v>
      </c>
      <c r="C17" s="3" t="s">
        <v>653</v>
      </c>
      <c r="D17" s="3" t="s">
        <v>58</v>
      </c>
      <c r="E17" s="3" t="s">
        <v>47</v>
      </c>
      <c r="F17" s="3" t="s">
        <v>605</v>
      </c>
      <c r="G17" s="3" t="s">
        <v>595</v>
      </c>
      <c r="H17" s="3" t="s">
        <v>654</v>
      </c>
      <c r="I17" s="3" t="s">
        <v>655</v>
      </c>
      <c r="J17" s="3" t="s">
        <v>598</v>
      </c>
      <c r="K17" s="3" t="s">
        <v>81</v>
      </c>
      <c r="L17" s="3" t="s">
        <v>50</v>
      </c>
      <c r="M17" s="3" t="s">
        <v>132</v>
      </c>
      <c r="N17" s="3" t="s">
        <v>627</v>
      </c>
      <c r="O17" s="3" t="s">
        <v>656</v>
      </c>
      <c r="P17" s="3"/>
      <c r="Q17" s="3" t="s">
        <v>657</v>
      </c>
      <c r="R17" s="3"/>
      <c r="S17" s="3"/>
    </row>
    <row r="18" spans="2:19" ht="69">
      <c r="B18" s="11" t="s">
        <v>195</v>
      </c>
      <c r="C18" s="3" t="s">
        <v>658</v>
      </c>
      <c r="D18" s="3" t="s">
        <v>58</v>
      </c>
      <c r="E18" s="3" t="s">
        <v>47</v>
      </c>
      <c r="F18" s="3" t="s">
        <v>605</v>
      </c>
      <c r="G18" s="3" t="s">
        <v>595</v>
      </c>
      <c r="H18" s="3" t="s">
        <v>659</v>
      </c>
      <c r="I18" s="3" t="s">
        <v>660</v>
      </c>
      <c r="J18" s="3" t="s">
        <v>598</v>
      </c>
      <c r="K18" s="3" t="s">
        <v>81</v>
      </c>
      <c r="L18" s="3" t="s">
        <v>50</v>
      </c>
      <c r="M18" s="3" t="s">
        <v>132</v>
      </c>
      <c r="N18" s="3" t="s">
        <v>627</v>
      </c>
      <c r="O18" s="58" t="s">
        <v>636</v>
      </c>
      <c r="P18" s="3"/>
      <c r="Q18" s="3"/>
      <c r="R18" s="3"/>
      <c r="S18" s="3"/>
    </row>
    <row r="19" spans="2:19" ht="51" customHeight="1">
      <c r="B19" s="11" t="s">
        <v>195</v>
      </c>
      <c r="C19" s="3" t="s">
        <v>661</v>
      </c>
      <c r="D19" s="3" t="s">
        <v>58</v>
      </c>
      <c r="E19" s="3" t="s">
        <v>47</v>
      </c>
      <c r="F19" s="3" t="s">
        <v>605</v>
      </c>
      <c r="G19" s="3" t="s">
        <v>595</v>
      </c>
      <c r="H19" s="3" t="s">
        <v>662</v>
      </c>
      <c r="I19" s="3" t="s">
        <v>663</v>
      </c>
      <c r="J19" s="3" t="s">
        <v>598</v>
      </c>
      <c r="K19" s="3" t="s">
        <v>81</v>
      </c>
      <c r="L19" s="3" t="s">
        <v>50</v>
      </c>
      <c r="M19" s="3" t="s">
        <v>132</v>
      </c>
      <c r="N19" s="3" t="s">
        <v>627</v>
      </c>
      <c r="O19" s="58" t="s">
        <v>636</v>
      </c>
      <c r="P19" s="3"/>
      <c r="Q19" s="3"/>
      <c r="R19" s="3"/>
      <c r="S19" s="3"/>
    </row>
    <row r="20" spans="2:19" ht="103.5">
      <c r="B20" s="11" t="s">
        <v>195</v>
      </c>
      <c r="C20" s="3" t="s">
        <v>664</v>
      </c>
      <c r="D20" s="3" t="s">
        <v>58</v>
      </c>
      <c r="E20" s="3" t="s">
        <v>47</v>
      </c>
      <c r="F20" s="3" t="s">
        <v>605</v>
      </c>
      <c r="G20" s="3" t="s">
        <v>595</v>
      </c>
      <c r="H20" s="3" t="s">
        <v>665</v>
      </c>
      <c r="I20" s="3" t="s">
        <v>666</v>
      </c>
      <c r="J20" s="3" t="s">
        <v>598</v>
      </c>
      <c r="K20" s="3" t="s">
        <v>81</v>
      </c>
      <c r="L20" s="3" t="s">
        <v>50</v>
      </c>
      <c r="M20" s="3" t="s">
        <v>132</v>
      </c>
      <c r="N20" s="3" t="s">
        <v>627</v>
      </c>
      <c r="O20" s="3" t="s">
        <v>656</v>
      </c>
      <c r="P20" s="3"/>
      <c r="Q20" s="3" t="s">
        <v>667</v>
      </c>
      <c r="R20" s="3"/>
      <c r="S20" s="3"/>
    </row>
    <row r="22" spans="2:19">
      <c r="H22" s="69"/>
    </row>
    <row r="23" spans="2:19">
      <c r="H23" s="69"/>
    </row>
    <row r="24" spans="2:19">
      <c r="H24" s="69"/>
    </row>
    <row r="25" spans="2:19">
      <c r="H25" s="50"/>
    </row>
    <row r="27" spans="2:19">
      <c r="H27" s="69"/>
    </row>
    <row r="28" spans="2:19">
      <c r="H28" s="69"/>
    </row>
    <row r="29" spans="2:19">
      <c r="H29" s="50"/>
    </row>
    <row r="31" spans="2:19">
      <c r="H31" s="69"/>
    </row>
    <row r="32" spans="2:19">
      <c r="H32" s="69"/>
    </row>
    <row r="33" spans="8:8">
      <c r="H33" s="50"/>
    </row>
    <row r="34" spans="8:8">
      <c r="H34" s="69"/>
    </row>
    <row r="35" spans="8:8">
      <c r="H35" s="50"/>
    </row>
    <row r="36" spans="8:8">
      <c r="H36" s="70"/>
    </row>
    <row r="37" spans="8:8">
      <c r="H37" s="69"/>
    </row>
    <row r="38" spans="8:8">
      <c r="H38" s="70"/>
    </row>
    <row r="39" spans="8:8">
      <c r="H39" s="69"/>
    </row>
    <row r="40" spans="8:8">
      <c r="H40" s="69"/>
    </row>
    <row r="41" spans="8:8">
      <c r="H41" s="69"/>
    </row>
  </sheetData>
  <mergeCells count="2">
    <mergeCell ref="B1:O1"/>
    <mergeCell ref="Q1:S1"/>
  </mergeCells>
  <phoneticPr fontId="28" type="noConversion"/>
  <conditionalFormatting sqref="G4:I4 G6:I9 Q3:S8 G7:L10 M4:M10 Q11:S18 M3:O3 C3:F13 G11:M13 N3:N15 C14:N14 C15:O15 D18:Q18 C18:G20 C17:Q17 C16:N16 O9:S16">
    <cfRule type="containsText" dxfId="59" priority="70" operator="containsText" text="intervention/control">
      <formula>NOT(ISERROR(SEARCH("intervention/control",C3)))</formula>
    </cfRule>
  </conditionalFormatting>
  <conditionalFormatting sqref="J11:M11 O11:P11">
    <cfRule type="containsText" dxfId="58" priority="67" operator="containsText" text="intervention/control">
      <formula>NOT(ISERROR(SEARCH("intervention/control",J11)))</formula>
    </cfRule>
  </conditionalFormatting>
  <conditionalFormatting sqref="O11:P12">
    <cfRule type="containsText" dxfId="57" priority="65" operator="containsText" text="intervention/control">
      <formula>NOT(ISERROR(SEARCH("intervention/control",O11)))</formula>
    </cfRule>
  </conditionalFormatting>
  <conditionalFormatting sqref="P15:Q16 O13:P16">
    <cfRule type="containsText" dxfId="56" priority="64" operator="containsText" text="intervention/control">
      <formula>NOT(ISERROR(SEARCH("intervention/control",O13)))</formula>
    </cfRule>
  </conditionalFormatting>
  <conditionalFormatting sqref="J12:M12">
    <cfRule type="containsText" dxfId="55" priority="61" operator="containsText" text="intervention/control">
      <formula>NOT(ISERROR(SEARCH("intervention/control",J12)))</formula>
    </cfRule>
  </conditionalFormatting>
  <conditionalFormatting sqref="J13:M16">
    <cfRule type="containsText" dxfId="54" priority="60" operator="containsText" text="intervention/control">
      <formula>NOT(ISERROR(SEARCH("intervention/control",J13)))</formula>
    </cfRule>
  </conditionalFormatting>
  <conditionalFormatting sqref="J17:M17">
    <cfRule type="containsText" dxfId="53" priority="59" operator="containsText" text="intervention/control">
      <formula>NOT(ISERROR(SEARCH("intervention/control",J17)))</formula>
    </cfRule>
  </conditionalFormatting>
  <conditionalFormatting sqref="J18:M18">
    <cfRule type="containsText" dxfId="52" priority="58" operator="containsText" text="intervention/control">
      <formula>NOT(ISERROR(SEARCH("intervention/control",J18)))</formula>
    </cfRule>
  </conditionalFormatting>
  <conditionalFormatting sqref="G3:L3 P3">
    <cfRule type="containsText" dxfId="51" priority="53" operator="containsText" text="intervention/control">
      <formula>NOT(ISERROR(SEARCH("intervention/control",G3)))</formula>
    </cfRule>
  </conditionalFormatting>
  <conditionalFormatting sqref="J6:L9">
    <cfRule type="containsText" dxfId="50" priority="47" operator="containsText" text="intervention/control">
      <formula>NOT(ISERROR(SEARCH("intervention/control",J6)))</formula>
    </cfRule>
  </conditionalFormatting>
  <conditionalFormatting sqref="O6:P8 P5">
    <cfRule type="containsText" dxfId="49" priority="46" operator="containsText" text="intervention/control">
      <formula>NOT(ISERROR(SEARCH("intervention/control",O5)))</formula>
    </cfRule>
  </conditionalFormatting>
  <conditionalFormatting sqref="O6:P8 P5">
    <cfRule type="containsText" dxfId="48" priority="45" operator="containsText" text="intervention/control">
      <formula>NOT(ISERROR(SEARCH("intervention/control",O5)))</formula>
    </cfRule>
  </conditionalFormatting>
  <conditionalFormatting sqref="J4:L4">
    <cfRule type="containsText" dxfId="47" priority="43" operator="containsText" text="intervention/control">
      <formula>NOT(ISERROR(SEARCH("intervention/control",J4)))</formula>
    </cfRule>
  </conditionalFormatting>
  <conditionalFormatting sqref="O4:P4">
    <cfRule type="containsText" dxfId="46" priority="42" operator="containsText" text="intervention/control">
      <formula>NOT(ISERROR(SEARCH("intervention/control",O4)))</formula>
    </cfRule>
  </conditionalFormatting>
  <conditionalFormatting sqref="O4:P4">
    <cfRule type="containsText" dxfId="45" priority="41" operator="containsText" text="intervention/control">
      <formula>NOT(ISERROR(SEARCH("intervention/control",O4)))</formula>
    </cfRule>
  </conditionalFormatting>
  <conditionalFormatting sqref="O7:P8">
    <cfRule type="containsText" dxfId="44" priority="37" operator="containsText" text="intervention/control">
      <formula>NOT(ISERROR(SEARCH("intervention/control",O7)))</formula>
    </cfRule>
  </conditionalFormatting>
  <conditionalFormatting sqref="O7:P8">
    <cfRule type="containsText" dxfId="43" priority="36" operator="containsText" text="intervention/control">
      <formula>NOT(ISERROR(SEARCH("intervention/control",O7)))</formula>
    </cfRule>
  </conditionalFormatting>
  <conditionalFormatting sqref="G5:L5">
    <cfRule type="containsText" dxfId="42" priority="28" operator="containsText" text="intervention/control">
      <formula>NOT(ISERROR(SEARCH("intervention/control",G5)))</formula>
    </cfRule>
  </conditionalFormatting>
  <conditionalFormatting sqref="M3:M10">
    <cfRule type="containsText" dxfId="41" priority="27" operator="containsText" text="intervention/control">
      <formula>NOT(ISERROR(SEARCH("intervention/control",M3)))</formula>
    </cfRule>
  </conditionalFormatting>
  <conditionalFormatting sqref="O5">
    <cfRule type="containsText" dxfId="40" priority="25" operator="containsText" text="intervention/control">
      <formula>NOT(ISERROR(SEARCH("intervention/control",O5)))</formula>
    </cfRule>
  </conditionalFormatting>
  <conditionalFormatting sqref="G15:G16">
    <cfRule type="containsText" dxfId="39" priority="24" operator="containsText" text="intervention/control">
      <formula>NOT(ISERROR(SEARCH("intervention/control",G15)))</formula>
    </cfRule>
  </conditionalFormatting>
  <conditionalFormatting sqref="H15:I15">
    <cfRule type="containsText" dxfId="38" priority="21" operator="containsText" text="intervention/control">
      <formula>NOT(ISERROR(SEARCH("intervention/control",H15)))</formula>
    </cfRule>
  </conditionalFormatting>
  <conditionalFormatting sqref="J15:M15 O15:O16">
    <cfRule type="containsText" dxfId="37" priority="20" operator="containsText" text="intervention/control">
      <formula>NOT(ISERROR(SEARCH("intervention/control",J15)))</formula>
    </cfRule>
  </conditionalFormatting>
  <conditionalFormatting sqref="O15:O16">
    <cfRule type="containsText" dxfId="36" priority="19" operator="containsText" text="intervention/control">
      <formula>NOT(ISERROR(SEARCH("intervention/control",O15)))</formula>
    </cfRule>
  </conditionalFormatting>
  <conditionalFormatting sqref="P13:P16 P15:Q16">
    <cfRule type="containsText" dxfId="35" priority="18" operator="containsText" text="intervention/control">
      <formula>NOT(ISERROR(SEARCH("intervention/control",P13)))</formula>
    </cfRule>
  </conditionalFormatting>
  <conditionalFormatting sqref="P13:P16 P15:Q16">
    <cfRule type="containsText" dxfId="34" priority="17" operator="containsText" text="intervention/control">
      <formula>NOT(ISERROR(SEARCH("intervention/control",P13)))</formula>
    </cfRule>
  </conditionalFormatting>
  <conditionalFormatting sqref="P12">
    <cfRule type="containsText" dxfId="33" priority="16" operator="containsText" text="intervention/control">
      <formula>NOT(ISERROR(SEARCH("intervention/control",P12)))</formula>
    </cfRule>
  </conditionalFormatting>
  <conditionalFormatting sqref="P12">
    <cfRule type="containsText" dxfId="32" priority="15" operator="containsText" text="intervention/control">
      <formula>NOT(ISERROR(SEARCH("intervention/control",P12)))</formula>
    </cfRule>
  </conditionalFormatting>
  <conditionalFormatting sqref="O14:O16">
    <cfRule type="containsText" dxfId="31" priority="14" operator="containsText" text="intervention/control">
      <formula>NOT(ISERROR(SEARCH("intervention/control",O14)))</formula>
    </cfRule>
  </conditionalFormatting>
  <conditionalFormatting sqref="O14:O16">
    <cfRule type="containsText" dxfId="30" priority="13" operator="containsText" text="intervention/control">
      <formula>NOT(ISERROR(SEARCH("intervention/control",O14)))</formula>
    </cfRule>
  </conditionalFormatting>
  <conditionalFormatting sqref="O18:O19">
    <cfRule type="containsText" dxfId="29" priority="12" operator="containsText" text="intervention/control">
      <formula>NOT(ISERROR(SEARCH("intervention/control",O18)))</formula>
    </cfRule>
  </conditionalFormatting>
  <conditionalFormatting sqref="O18:O19">
    <cfRule type="containsText" dxfId="28" priority="11" operator="containsText" text="intervention/control">
      <formula>NOT(ISERROR(SEARCH("intervention/control",O18)))</formula>
    </cfRule>
  </conditionalFormatting>
  <conditionalFormatting sqref="O18:O19">
    <cfRule type="containsText" dxfId="27" priority="10" operator="containsText" text="intervention/control">
      <formula>NOT(ISERROR(SEARCH("intervention/control",O18)))</formula>
    </cfRule>
  </conditionalFormatting>
  <conditionalFormatting sqref="H19:H20">
    <cfRule type="containsText" dxfId="26" priority="9" operator="containsText" text="intervention/control">
      <formula>NOT(ISERROR(SEARCH("intervention/control",H19)))</formula>
    </cfRule>
  </conditionalFormatting>
  <conditionalFormatting sqref="I19:S19 I20:N20 P20:S20">
    <cfRule type="containsText" dxfId="25" priority="8" operator="containsText" text="intervention/control">
      <formula>NOT(ISERROR(SEARCH("intervention/control",I19)))</formula>
    </cfRule>
  </conditionalFormatting>
  <conditionalFormatting sqref="J19:M20">
    <cfRule type="containsText" dxfId="24" priority="7" operator="containsText" text="intervention/control">
      <formula>NOT(ISERROR(SEARCH("intervention/control",J19)))</formula>
    </cfRule>
  </conditionalFormatting>
  <conditionalFormatting sqref="O20">
    <cfRule type="containsText" dxfId="23" priority="6" operator="containsText" text="intervention/control">
      <formula>NOT(ISERROR(SEARCH("intervention/control",O20)))</formula>
    </cfRule>
  </conditionalFormatting>
  <conditionalFormatting sqref="J16">
    <cfRule type="containsText" dxfId="22" priority="5" operator="containsText" text="intervention/control">
      <formula>NOT(ISERROR(SEARCH("intervention/control",J16)))</formula>
    </cfRule>
  </conditionalFormatting>
  <conditionalFormatting sqref="K17:M17">
    <cfRule type="containsText" dxfId="21" priority="4" operator="containsText" text="intervention/control">
      <formula>NOT(ISERROR(SEARCH("intervention/control",K17)))</formula>
    </cfRule>
  </conditionalFormatting>
  <conditionalFormatting sqref="K17:M17">
    <cfRule type="containsText" dxfId="20" priority="3" operator="containsText" text="intervention/control">
      <formula>NOT(ISERROR(SEARCH("intervention/control",K17)))</formula>
    </cfRule>
  </conditionalFormatting>
  <conditionalFormatting sqref="K16:M16">
    <cfRule type="containsText" dxfId="19" priority="2" operator="containsText" text="intervention/control">
      <formula>NOT(ISERROR(SEARCH("intervention/control",K16)))</formula>
    </cfRule>
  </conditionalFormatting>
  <conditionalFormatting sqref="I16">
    <cfRule type="containsText" dxfId="18" priority="1" operator="containsText" text="intervention/control">
      <formula>NOT(ISERROR(SEARCH("intervention/control",I16)))</formula>
    </cfRule>
  </conditionalFormatting>
  <hyperlinks>
    <hyperlink ref="O11" r:id="rId1" xr:uid="{6FB1E841-A947-4AD0-A8FE-391E8D74423C}"/>
    <hyperlink ref="O12" r:id="rId2" xr:uid="{AD26C19D-2482-48EE-896E-653D56ED2B7F}"/>
    <hyperlink ref="O13" r:id="rId3" xr:uid="{9CF3EC14-C39F-487A-BACC-5E65E78ED4AB}"/>
    <hyperlink ref="O6" r:id="rId4" xr:uid="{675FCE7E-4DFD-4DF4-A90D-10498FAB6368}"/>
    <hyperlink ref="O4" r:id="rId5" xr:uid="{8E02C285-B056-4D96-8C59-0CD85D4E378B}"/>
    <hyperlink ref="O7" r:id="rId6" xr:uid="{9AAD8A4A-66C7-40B6-82E1-331A5A950A3B}"/>
    <hyperlink ref="O8" r:id="rId7" xr:uid="{1DE46F93-DFDD-4833-A90C-EAEF3EFB3BF4}"/>
    <hyperlink ref="O15" r:id="rId8" xr:uid="{5CBBBD24-5205-428A-ACC7-E1370175C0C2}"/>
    <hyperlink ref="P13" r:id="rId9" xr:uid="{144CD99B-FE9F-4B74-97F6-9F93EADE484F}"/>
    <hyperlink ref="P12" r:id="rId10" xr:uid="{3BF58D29-9543-448C-9872-F1517F28A9F0}"/>
    <hyperlink ref="O14" r:id="rId11" xr:uid="{1980EE58-D70A-4439-9587-BA6711A1D440}"/>
    <hyperlink ref="O18" r:id="rId12" xr:uid="{C3DA0188-41EE-4799-B5A4-4640C72827F4}"/>
    <hyperlink ref="O19" r:id="rId13" xr:uid="{51239BBD-74AE-430B-8279-5A3E61FC5061}"/>
    <hyperlink ref="O16" r:id="rId14" xr:uid="{305C04DE-A214-4E1A-A81D-47F49E71F64B}"/>
  </hyperlinks>
  <pageMargins left="0.7" right="0.7" top="0.75" bottom="0.75" header="0.3" footer="0.3"/>
  <pageSetup orientation="portrait"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AB90-7A0A-45B9-A3E9-6B8E17419D3A}">
  <sheetPr>
    <tabColor theme="5"/>
  </sheetPr>
  <dimension ref="B1:S37"/>
  <sheetViews>
    <sheetView topLeftCell="A7" zoomScale="80" zoomScaleNormal="80" workbookViewId="0">
      <selection activeCell="I8" sqref="I8"/>
    </sheetView>
  </sheetViews>
  <sheetFormatPr defaultColWidth="8.7109375" defaultRowHeight="14.45"/>
  <cols>
    <col min="1" max="1" width="3" customWidth="1"/>
    <col min="4" max="4" width="7.5703125" customWidth="1"/>
    <col min="5" max="5" width="11.85546875" customWidth="1"/>
    <col min="6" max="6" width="14" customWidth="1"/>
    <col min="7" max="7" width="11.85546875" customWidth="1"/>
    <col min="8" max="8" width="27.85546875" customWidth="1"/>
    <col min="9" max="9" width="28" customWidth="1"/>
    <col min="10" max="10" width="11.42578125" customWidth="1"/>
    <col min="11" max="11" width="13.5703125" customWidth="1"/>
    <col min="12" max="12" width="12.7109375" customWidth="1"/>
    <col min="13" max="14" width="17.28515625" customWidth="1"/>
    <col min="15" max="15" width="13.85546875" customWidth="1"/>
    <col min="16" max="16" width="11.42578125" customWidth="1"/>
    <col min="17" max="19" width="18.85546875" customWidth="1"/>
  </cols>
  <sheetData>
    <row r="1" spans="2:19">
      <c r="B1" s="106" t="s">
        <v>29</v>
      </c>
      <c r="C1" s="107"/>
      <c r="D1" s="107"/>
      <c r="E1" s="107"/>
      <c r="F1" s="107"/>
      <c r="G1" s="107"/>
      <c r="H1" s="107"/>
      <c r="I1" s="107"/>
      <c r="J1" s="107"/>
      <c r="K1" s="107"/>
      <c r="L1" s="107"/>
      <c r="M1" s="107"/>
      <c r="N1" s="107"/>
      <c r="O1" s="108"/>
      <c r="P1" s="56"/>
      <c r="Q1" s="101" t="s">
        <v>30</v>
      </c>
      <c r="R1" s="102"/>
      <c r="S1" s="103"/>
    </row>
    <row r="2" spans="2:19" s="1" customFormat="1" ht="47.25" customHeight="1">
      <c r="B2" s="7" t="s">
        <v>2</v>
      </c>
      <c r="C2" s="8" t="s">
        <v>4</v>
      </c>
      <c r="D2" s="8" t="s">
        <v>6</v>
      </c>
      <c r="E2" s="8" t="s">
        <v>32</v>
      </c>
      <c r="F2" s="8" t="s">
        <v>33</v>
      </c>
      <c r="G2" s="8" t="s">
        <v>34</v>
      </c>
      <c r="H2" s="6" t="s">
        <v>10</v>
      </c>
      <c r="I2" s="6" t="s">
        <v>35</v>
      </c>
      <c r="J2" s="6" t="s">
        <v>36</v>
      </c>
      <c r="K2" s="6" t="s">
        <v>37</v>
      </c>
      <c r="L2" s="6" t="s">
        <v>16</v>
      </c>
      <c r="M2" s="6" t="s">
        <v>18</v>
      </c>
      <c r="N2" s="6" t="s">
        <v>20</v>
      </c>
      <c r="O2" s="6" t="s">
        <v>38</v>
      </c>
      <c r="P2" s="6" t="s">
        <v>39</v>
      </c>
      <c r="Q2" s="6" t="s">
        <v>24</v>
      </c>
      <c r="R2" s="6" t="s">
        <v>40</v>
      </c>
      <c r="S2" s="6" t="s">
        <v>41</v>
      </c>
    </row>
    <row r="3" spans="2:19" ht="92.1">
      <c r="B3" s="9" t="s">
        <v>72</v>
      </c>
      <c r="C3" s="3" t="s">
        <v>286</v>
      </c>
      <c r="D3" s="3" t="s">
        <v>58</v>
      </c>
      <c r="E3" s="3" t="s">
        <v>546</v>
      </c>
      <c r="F3" s="3" t="s">
        <v>668</v>
      </c>
      <c r="G3" s="3" t="s">
        <v>548</v>
      </c>
      <c r="H3" s="3" t="s">
        <v>669</v>
      </c>
      <c r="I3" s="3" t="s">
        <v>670</v>
      </c>
      <c r="J3" s="3" t="s">
        <v>47</v>
      </c>
      <c r="K3" s="3" t="s">
        <v>50</v>
      </c>
      <c r="L3" s="3" t="s">
        <v>50</v>
      </c>
      <c r="M3" s="3" t="s">
        <v>51</v>
      </c>
      <c r="N3" s="3" t="s">
        <v>551</v>
      </c>
      <c r="O3" s="3" t="s">
        <v>53</v>
      </c>
      <c r="P3" s="3"/>
      <c r="Q3" s="3" t="s">
        <v>671</v>
      </c>
      <c r="R3" s="3"/>
      <c r="S3" s="3"/>
    </row>
    <row r="4" spans="2:19" ht="92.1">
      <c r="B4" s="9" t="s">
        <v>72</v>
      </c>
      <c r="C4" s="3" t="s">
        <v>672</v>
      </c>
      <c r="D4" s="3" t="s">
        <v>58</v>
      </c>
      <c r="E4" s="3" t="s">
        <v>546</v>
      </c>
      <c r="F4" s="3" t="s">
        <v>668</v>
      </c>
      <c r="G4" s="3" t="s">
        <v>548</v>
      </c>
      <c r="H4" s="3" t="s">
        <v>673</v>
      </c>
      <c r="I4" s="3" t="s">
        <v>674</v>
      </c>
      <c r="J4" s="3" t="s">
        <v>47</v>
      </c>
      <c r="K4" s="3" t="s">
        <v>50</v>
      </c>
      <c r="L4" s="3" t="s">
        <v>50</v>
      </c>
      <c r="M4" s="3" t="s">
        <v>51</v>
      </c>
      <c r="N4" s="3" t="s">
        <v>551</v>
      </c>
      <c r="O4" s="3" t="s">
        <v>53</v>
      </c>
      <c r="P4" s="3"/>
      <c r="Q4" s="3" t="s">
        <v>671</v>
      </c>
      <c r="R4" s="3"/>
      <c r="S4" s="3"/>
    </row>
    <row r="5" spans="2:19" ht="59.25" customHeight="1">
      <c r="B5" s="9" t="s">
        <v>72</v>
      </c>
      <c r="C5" s="3" t="s">
        <v>291</v>
      </c>
      <c r="D5" s="3" t="s">
        <v>58</v>
      </c>
      <c r="E5" s="3" t="s">
        <v>546</v>
      </c>
      <c r="F5" s="3" t="s">
        <v>668</v>
      </c>
      <c r="G5" s="3" t="s">
        <v>548</v>
      </c>
      <c r="H5" s="3" t="s">
        <v>675</v>
      </c>
      <c r="I5" s="3" t="s">
        <v>676</v>
      </c>
      <c r="J5" s="3" t="s">
        <v>47</v>
      </c>
      <c r="K5" s="3" t="s">
        <v>50</v>
      </c>
      <c r="L5" s="3" t="s">
        <v>50</v>
      </c>
      <c r="M5" s="3" t="s">
        <v>51</v>
      </c>
      <c r="N5" s="3" t="s">
        <v>551</v>
      </c>
      <c r="O5" s="3" t="s">
        <v>53</v>
      </c>
      <c r="P5" s="3"/>
      <c r="Q5" s="3"/>
      <c r="R5" s="3"/>
      <c r="S5" s="3"/>
    </row>
    <row r="6" spans="2:19" ht="66" customHeight="1">
      <c r="B6" s="10" t="s">
        <v>114</v>
      </c>
      <c r="C6" s="3" t="s">
        <v>368</v>
      </c>
      <c r="D6" s="3" t="s">
        <v>58</v>
      </c>
      <c r="E6" s="3" t="s">
        <v>47</v>
      </c>
      <c r="F6" s="3" t="s">
        <v>668</v>
      </c>
      <c r="G6" s="3" t="s">
        <v>677</v>
      </c>
      <c r="H6" s="3" t="s">
        <v>678</v>
      </c>
      <c r="I6" s="3" t="s">
        <v>557</v>
      </c>
      <c r="J6" s="3" t="s">
        <v>47</v>
      </c>
      <c r="K6" s="3" t="s">
        <v>50</v>
      </c>
      <c r="L6" s="3" t="s">
        <v>50</v>
      </c>
      <c r="M6" s="3" t="s">
        <v>51</v>
      </c>
      <c r="N6" s="3" t="s">
        <v>551</v>
      </c>
      <c r="O6" s="3" t="s">
        <v>53</v>
      </c>
      <c r="P6" s="3"/>
      <c r="Q6" s="3"/>
      <c r="R6" s="3"/>
      <c r="S6" s="3"/>
    </row>
    <row r="7" spans="2:19" ht="66" customHeight="1">
      <c r="B7" s="10" t="s">
        <v>114</v>
      </c>
      <c r="C7" s="3" t="s">
        <v>376</v>
      </c>
      <c r="D7" s="3" t="s">
        <v>58</v>
      </c>
      <c r="E7" s="3" t="s">
        <v>47</v>
      </c>
      <c r="F7" s="3" t="s">
        <v>668</v>
      </c>
      <c r="G7" s="3" t="s">
        <v>677</v>
      </c>
      <c r="H7" s="3" t="s">
        <v>679</v>
      </c>
      <c r="I7" s="3" t="s">
        <v>679</v>
      </c>
      <c r="J7" s="3" t="s">
        <v>47</v>
      </c>
      <c r="K7" s="3" t="s">
        <v>50</v>
      </c>
      <c r="L7" s="3" t="s">
        <v>50</v>
      </c>
      <c r="M7" s="3" t="s">
        <v>51</v>
      </c>
      <c r="N7" s="3" t="s">
        <v>551</v>
      </c>
      <c r="O7" s="3" t="s">
        <v>53</v>
      </c>
      <c r="P7" s="3"/>
      <c r="Q7" s="3"/>
      <c r="R7" s="3"/>
      <c r="S7" s="3"/>
    </row>
    <row r="8" spans="2:19" ht="66" customHeight="1">
      <c r="B8" s="10" t="s">
        <v>114</v>
      </c>
      <c r="C8" s="3" t="s">
        <v>381</v>
      </c>
      <c r="D8" s="3" t="s">
        <v>58</v>
      </c>
      <c r="E8" s="3" t="s">
        <v>47</v>
      </c>
      <c r="F8" s="3" t="s">
        <v>668</v>
      </c>
      <c r="G8" s="3" t="s">
        <v>78</v>
      </c>
      <c r="H8" s="3" t="s">
        <v>680</v>
      </c>
      <c r="I8" s="3" t="s">
        <v>681</v>
      </c>
      <c r="J8" s="3" t="s">
        <v>47</v>
      </c>
      <c r="K8" s="3" t="s">
        <v>50</v>
      </c>
      <c r="L8" s="3" t="s">
        <v>50</v>
      </c>
      <c r="M8" s="3" t="s">
        <v>51</v>
      </c>
      <c r="N8" s="3" t="s">
        <v>551</v>
      </c>
      <c r="O8" s="3" t="s">
        <v>53</v>
      </c>
      <c r="P8" s="3"/>
      <c r="Q8" s="3"/>
      <c r="R8" s="3"/>
      <c r="S8" s="3"/>
    </row>
    <row r="9" spans="2:19" ht="66" customHeight="1">
      <c r="B9" s="10" t="s">
        <v>114</v>
      </c>
      <c r="C9" s="3" t="s">
        <v>682</v>
      </c>
      <c r="D9" s="3" t="s">
        <v>58</v>
      </c>
      <c r="E9" s="3" t="s">
        <v>47</v>
      </c>
      <c r="F9" s="3" t="s">
        <v>668</v>
      </c>
      <c r="G9" s="3" t="s">
        <v>677</v>
      </c>
      <c r="H9" s="3" t="s">
        <v>683</v>
      </c>
      <c r="I9" s="3" t="s">
        <v>560</v>
      </c>
      <c r="J9" s="3" t="s">
        <v>47</v>
      </c>
      <c r="K9" s="3" t="s">
        <v>50</v>
      </c>
      <c r="L9" s="3" t="s">
        <v>50</v>
      </c>
      <c r="M9" s="3" t="s">
        <v>51</v>
      </c>
      <c r="N9" s="3" t="s">
        <v>551</v>
      </c>
      <c r="O9" s="3" t="s">
        <v>53</v>
      </c>
      <c r="P9" s="3"/>
      <c r="Q9" s="3"/>
      <c r="R9" s="3"/>
      <c r="S9" s="3"/>
    </row>
    <row r="10" spans="2:19" ht="62.25" customHeight="1">
      <c r="B10" s="11" t="s">
        <v>195</v>
      </c>
      <c r="C10" s="3" t="s">
        <v>684</v>
      </c>
      <c r="D10" s="3" t="s">
        <v>58</v>
      </c>
      <c r="E10" s="3" t="s">
        <v>47</v>
      </c>
      <c r="F10" s="3" t="s">
        <v>668</v>
      </c>
      <c r="G10" s="3" t="s">
        <v>685</v>
      </c>
      <c r="H10" s="3" t="s">
        <v>686</v>
      </c>
      <c r="I10" s="3" t="s">
        <v>687</v>
      </c>
      <c r="J10" s="3" t="s">
        <v>47</v>
      </c>
      <c r="K10" s="3" t="s">
        <v>50</v>
      </c>
      <c r="L10" s="3" t="s">
        <v>50</v>
      </c>
      <c r="M10" s="3" t="s">
        <v>113</v>
      </c>
      <c r="N10" s="3" t="s">
        <v>551</v>
      </c>
      <c r="O10" s="57" t="s">
        <v>688</v>
      </c>
      <c r="P10" s="57"/>
      <c r="Q10" s="3"/>
      <c r="R10" s="3"/>
      <c r="S10" s="3"/>
    </row>
    <row r="11" spans="2:19" ht="62.25" customHeight="1">
      <c r="B11" s="11" t="s">
        <v>195</v>
      </c>
      <c r="C11" s="3" t="s">
        <v>689</v>
      </c>
      <c r="D11" s="3" t="s">
        <v>58</v>
      </c>
      <c r="E11" s="3" t="s">
        <v>47</v>
      </c>
      <c r="F11" s="3" t="s">
        <v>668</v>
      </c>
      <c r="G11" s="3" t="s">
        <v>220</v>
      </c>
      <c r="H11" s="3" t="s">
        <v>690</v>
      </c>
      <c r="I11" s="3" t="s">
        <v>691</v>
      </c>
      <c r="J11" s="3" t="s">
        <v>47</v>
      </c>
      <c r="K11" s="3" t="s">
        <v>50</v>
      </c>
      <c r="L11" s="3" t="s">
        <v>50</v>
      </c>
      <c r="M11" s="3" t="s">
        <v>113</v>
      </c>
      <c r="N11" s="3" t="s">
        <v>551</v>
      </c>
      <c r="O11" s="57" t="s">
        <v>688</v>
      </c>
      <c r="P11" s="57"/>
      <c r="R11" s="3"/>
      <c r="S11" s="3"/>
    </row>
    <row r="12" spans="2:19" ht="89.25" customHeight="1">
      <c r="B12" s="11" t="s">
        <v>195</v>
      </c>
      <c r="C12" s="3" t="s">
        <v>692</v>
      </c>
      <c r="D12" s="3" t="s">
        <v>58</v>
      </c>
      <c r="E12" s="3" t="s">
        <v>47</v>
      </c>
      <c r="F12" s="3" t="s">
        <v>668</v>
      </c>
      <c r="G12" s="3" t="s">
        <v>693</v>
      </c>
      <c r="H12" s="3" t="s">
        <v>694</v>
      </c>
      <c r="I12" s="3" t="s">
        <v>695</v>
      </c>
      <c r="J12" s="3" t="s">
        <v>47</v>
      </c>
      <c r="K12" s="3" t="s">
        <v>50</v>
      </c>
      <c r="L12" s="3" t="s">
        <v>50</v>
      </c>
      <c r="M12" s="3" t="s">
        <v>113</v>
      </c>
      <c r="N12" s="3" t="s">
        <v>551</v>
      </c>
      <c r="O12" s="57" t="s">
        <v>688</v>
      </c>
      <c r="P12" s="58"/>
      <c r="Q12" s="3" t="s">
        <v>696</v>
      </c>
      <c r="R12" s="3"/>
      <c r="S12" s="3"/>
    </row>
    <row r="13" spans="2:19" ht="57.6">
      <c r="B13" s="11" t="s">
        <v>195</v>
      </c>
      <c r="C13" s="3" t="s">
        <v>697</v>
      </c>
      <c r="D13" s="3" t="s">
        <v>58</v>
      </c>
      <c r="E13" s="3" t="s">
        <v>47</v>
      </c>
      <c r="F13" s="3" t="s">
        <v>668</v>
      </c>
      <c r="G13" s="3" t="s">
        <v>698</v>
      </c>
      <c r="H13" s="3" t="s">
        <v>699</v>
      </c>
      <c r="I13" s="3" t="s">
        <v>700</v>
      </c>
      <c r="J13" s="3" t="s">
        <v>47</v>
      </c>
      <c r="K13" s="3" t="s">
        <v>50</v>
      </c>
      <c r="L13" s="3" t="s">
        <v>50</v>
      </c>
      <c r="M13" s="3" t="s">
        <v>113</v>
      </c>
      <c r="N13" s="3" t="s">
        <v>551</v>
      </c>
      <c r="O13" s="57" t="s">
        <v>701</v>
      </c>
      <c r="P13" s="58"/>
      <c r="Q13" s="3" t="s">
        <v>702</v>
      </c>
      <c r="R13" s="3"/>
      <c r="S13" s="3"/>
    </row>
    <row r="14" spans="2:19" ht="57.6">
      <c r="B14" s="11" t="s">
        <v>195</v>
      </c>
      <c r="C14" s="3" t="s">
        <v>703</v>
      </c>
      <c r="D14" s="3" t="s">
        <v>58</v>
      </c>
      <c r="E14" s="3" t="s">
        <v>47</v>
      </c>
      <c r="F14" s="3" t="s">
        <v>668</v>
      </c>
      <c r="G14" s="3" t="s">
        <v>323</v>
      </c>
      <c r="H14" s="3" t="s">
        <v>704</v>
      </c>
      <c r="I14" s="3" t="s">
        <v>705</v>
      </c>
      <c r="J14" s="3" t="s">
        <v>47</v>
      </c>
      <c r="K14" s="3" t="s">
        <v>50</v>
      </c>
      <c r="L14" s="3" t="s">
        <v>50</v>
      </c>
      <c r="M14" s="3" t="s">
        <v>113</v>
      </c>
      <c r="N14" s="3" t="s">
        <v>706</v>
      </c>
      <c r="O14" s="57" t="s">
        <v>707</v>
      </c>
      <c r="P14" s="57" t="s">
        <v>708</v>
      </c>
      <c r="Q14" s="3"/>
      <c r="R14" s="3"/>
      <c r="S14" s="3"/>
    </row>
    <row r="15" spans="2:19" ht="63.75" customHeight="1">
      <c r="B15" s="11" t="s">
        <v>195</v>
      </c>
      <c r="C15" s="3" t="s">
        <v>709</v>
      </c>
      <c r="D15" s="3" t="s">
        <v>58</v>
      </c>
      <c r="E15" s="3" t="s">
        <v>47</v>
      </c>
      <c r="F15" s="3" t="s">
        <v>668</v>
      </c>
      <c r="G15" s="3" t="s">
        <v>226</v>
      </c>
      <c r="H15" s="3" t="s">
        <v>710</v>
      </c>
      <c r="I15" s="3" t="s">
        <v>711</v>
      </c>
      <c r="J15" s="3" t="s">
        <v>47</v>
      </c>
      <c r="K15" s="3" t="s">
        <v>50</v>
      </c>
      <c r="L15" s="3" t="s">
        <v>50</v>
      </c>
      <c r="M15" s="3" t="s">
        <v>113</v>
      </c>
      <c r="N15" s="3" t="s">
        <v>706</v>
      </c>
      <c r="O15" s="57" t="s">
        <v>707</v>
      </c>
      <c r="P15" s="58"/>
      <c r="Q15" s="3"/>
      <c r="R15" s="3"/>
      <c r="S15" s="3"/>
    </row>
    <row r="16" spans="2:19" ht="69">
      <c r="B16" s="11" t="s">
        <v>195</v>
      </c>
      <c r="C16" s="3" t="s">
        <v>712</v>
      </c>
      <c r="D16" s="3" t="s">
        <v>58</v>
      </c>
      <c r="E16" s="3" t="s">
        <v>47</v>
      </c>
      <c r="F16" s="3" t="s">
        <v>668</v>
      </c>
      <c r="G16" s="3" t="s">
        <v>323</v>
      </c>
      <c r="H16" s="3" t="s">
        <v>713</v>
      </c>
      <c r="I16" s="3" t="s">
        <v>714</v>
      </c>
      <c r="J16" s="3" t="s">
        <v>577</v>
      </c>
      <c r="K16" s="3" t="s">
        <v>81</v>
      </c>
      <c r="L16" s="3" t="s">
        <v>50</v>
      </c>
      <c r="M16" s="3" t="s">
        <v>627</v>
      </c>
      <c r="N16" s="3" t="s">
        <v>551</v>
      </c>
      <c r="O16" s="57"/>
      <c r="P16" s="58"/>
      <c r="Q16" s="3"/>
      <c r="R16" s="3"/>
      <c r="S16" s="3"/>
    </row>
    <row r="17" spans="2:19" ht="80.45">
      <c r="B17" s="11" t="s">
        <v>195</v>
      </c>
      <c r="C17" s="3" t="s">
        <v>715</v>
      </c>
      <c r="D17" s="3" t="s">
        <v>58</v>
      </c>
      <c r="E17" s="3" t="s">
        <v>47</v>
      </c>
      <c r="F17" s="3" t="s">
        <v>668</v>
      </c>
      <c r="G17" s="3" t="s">
        <v>226</v>
      </c>
      <c r="H17" s="3" t="s">
        <v>716</v>
      </c>
      <c r="I17" s="3" t="s">
        <v>717</v>
      </c>
      <c r="J17" s="3" t="s">
        <v>577</v>
      </c>
      <c r="K17" s="3" t="s">
        <v>81</v>
      </c>
      <c r="L17" s="3" t="s">
        <v>50</v>
      </c>
      <c r="M17" s="3" t="s">
        <v>627</v>
      </c>
      <c r="N17" s="3" t="s">
        <v>551</v>
      </c>
      <c r="O17" s="57" t="s">
        <v>718</v>
      </c>
      <c r="P17" s="58"/>
      <c r="Q17" s="3"/>
      <c r="R17" s="3"/>
      <c r="S17" s="3"/>
    </row>
    <row r="18" spans="2:19" ht="69">
      <c r="B18" s="11" t="s">
        <v>195</v>
      </c>
      <c r="C18" s="3" t="s">
        <v>719</v>
      </c>
      <c r="D18" s="3" t="s">
        <v>58</v>
      </c>
      <c r="E18" s="3" t="s">
        <v>47</v>
      </c>
      <c r="F18" s="3" t="s">
        <v>668</v>
      </c>
      <c r="G18" s="3" t="s">
        <v>226</v>
      </c>
      <c r="H18" s="3" t="s">
        <v>720</v>
      </c>
      <c r="I18" s="3" t="s">
        <v>721</v>
      </c>
      <c r="J18" s="3" t="s">
        <v>577</v>
      </c>
      <c r="K18" s="3" t="s">
        <v>81</v>
      </c>
      <c r="L18" s="3" t="s">
        <v>50</v>
      </c>
      <c r="M18" s="3" t="s">
        <v>627</v>
      </c>
      <c r="N18" s="3" t="s">
        <v>551</v>
      </c>
      <c r="O18" s="57" t="s">
        <v>718</v>
      </c>
      <c r="P18" s="58"/>
      <c r="Q18" s="3"/>
      <c r="R18" s="3"/>
      <c r="S18" s="3"/>
    </row>
    <row r="19" spans="2:19" ht="29.1">
      <c r="B19" s="11" t="s">
        <v>195</v>
      </c>
      <c r="C19" s="3" t="s">
        <v>722</v>
      </c>
      <c r="D19" s="3" t="s">
        <v>58</v>
      </c>
      <c r="E19" s="3" t="s">
        <v>47</v>
      </c>
      <c r="F19" s="3" t="s">
        <v>668</v>
      </c>
      <c r="G19" s="3" t="s">
        <v>677</v>
      </c>
      <c r="H19" s="3" t="s">
        <v>723</v>
      </c>
      <c r="I19" s="3" t="s">
        <v>724</v>
      </c>
      <c r="J19" s="3" t="s">
        <v>47</v>
      </c>
      <c r="K19" s="3" t="s">
        <v>50</v>
      </c>
      <c r="L19" s="3" t="s">
        <v>50</v>
      </c>
      <c r="M19" s="3" t="s">
        <v>627</v>
      </c>
      <c r="N19" s="3" t="s">
        <v>551</v>
      </c>
      <c r="O19" s="57" t="s">
        <v>725</v>
      </c>
      <c r="P19" s="58"/>
      <c r="Q19" s="3"/>
      <c r="R19" s="3"/>
      <c r="S19" s="3"/>
    </row>
    <row r="20" spans="2:19" ht="34.5">
      <c r="B20" s="11" t="s">
        <v>195</v>
      </c>
      <c r="C20" s="3" t="s">
        <v>726</v>
      </c>
      <c r="D20" s="3" t="s">
        <v>58</v>
      </c>
      <c r="E20" s="3" t="s">
        <v>47</v>
      </c>
      <c r="F20" s="3" t="s">
        <v>668</v>
      </c>
      <c r="G20" s="3" t="s">
        <v>677</v>
      </c>
      <c r="H20" s="3" t="s">
        <v>727</v>
      </c>
      <c r="I20" s="3" t="s">
        <v>727</v>
      </c>
      <c r="J20" s="3" t="s">
        <v>47</v>
      </c>
      <c r="K20" s="3" t="s">
        <v>50</v>
      </c>
      <c r="L20" s="3" t="s">
        <v>50</v>
      </c>
      <c r="M20" s="3" t="s">
        <v>627</v>
      </c>
      <c r="N20" s="3" t="s">
        <v>551</v>
      </c>
      <c r="O20" s="57" t="s">
        <v>725</v>
      </c>
      <c r="P20" s="58"/>
      <c r="Q20" s="3"/>
      <c r="R20" s="3"/>
      <c r="S20" s="3"/>
    </row>
    <row r="21" spans="2:19" ht="69">
      <c r="B21" s="11" t="s">
        <v>195</v>
      </c>
      <c r="C21" s="3" t="s">
        <v>728</v>
      </c>
      <c r="D21" s="3" t="s">
        <v>58</v>
      </c>
      <c r="E21" s="3" t="s">
        <v>47</v>
      </c>
      <c r="F21" s="3" t="s">
        <v>668</v>
      </c>
      <c r="G21" s="3" t="s">
        <v>78</v>
      </c>
      <c r="H21" s="3" t="s">
        <v>729</v>
      </c>
      <c r="I21" s="3" t="s">
        <v>730</v>
      </c>
      <c r="J21" s="3" t="s">
        <v>577</v>
      </c>
      <c r="K21" s="3" t="s">
        <v>81</v>
      </c>
      <c r="L21" s="3" t="s">
        <v>50</v>
      </c>
      <c r="M21" s="3" t="s">
        <v>627</v>
      </c>
      <c r="N21" s="3" t="s">
        <v>551</v>
      </c>
      <c r="O21" s="57" t="s">
        <v>731</v>
      </c>
      <c r="P21" s="58"/>
      <c r="Q21" s="3"/>
      <c r="R21" s="3"/>
      <c r="S21" s="3"/>
    </row>
    <row r="22" spans="2:19" ht="69">
      <c r="B22" s="11" t="s">
        <v>195</v>
      </c>
      <c r="C22" s="3" t="s">
        <v>732</v>
      </c>
      <c r="D22" s="3" t="s">
        <v>58</v>
      </c>
      <c r="E22" s="3" t="s">
        <v>47</v>
      </c>
      <c r="F22" s="3" t="s">
        <v>668</v>
      </c>
      <c r="G22" s="59" t="s">
        <v>220</v>
      </c>
      <c r="H22" s="3" t="s">
        <v>733</v>
      </c>
      <c r="I22" s="3" t="s">
        <v>734</v>
      </c>
      <c r="J22" s="3" t="s">
        <v>577</v>
      </c>
      <c r="K22" s="3" t="s">
        <v>81</v>
      </c>
      <c r="L22" s="3" t="s">
        <v>50</v>
      </c>
      <c r="M22" s="3" t="s">
        <v>627</v>
      </c>
      <c r="N22" s="3" t="s">
        <v>551</v>
      </c>
      <c r="O22" s="57" t="s">
        <v>731</v>
      </c>
      <c r="P22" s="58"/>
      <c r="Q22" s="3"/>
      <c r="R22" s="3"/>
      <c r="S22" s="3"/>
    </row>
    <row r="23" spans="2:19" ht="69">
      <c r="B23" s="11" t="s">
        <v>195</v>
      </c>
      <c r="C23" s="3" t="s">
        <v>735</v>
      </c>
      <c r="D23" s="3" t="s">
        <v>58</v>
      </c>
      <c r="E23" s="3" t="s">
        <v>47</v>
      </c>
      <c r="F23" s="3" t="s">
        <v>668</v>
      </c>
      <c r="G23" s="3" t="s">
        <v>226</v>
      </c>
      <c r="H23" s="59" t="s">
        <v>736</v>
      </c>
      <c r="I23" s="59" t="s">
        <v>737</v>
      </c>
      <c r="J23" s="3" t="s">
        <v>577</v>
      </c>
      <c r="K23" s="3" t="s">
        <v>81</v>
      </c>
      <c r="L23" s="3" t="s">
        <v>50</v>
      </c>
      <c r="M23" s="3" t="s">
        <v>627</v>
      </c>
      <c r="N23" s="3" t="s">
        <v>551</v>
      </c>
      <c r="O23" s="57" t="s">
        <v>731</v>
      </c>
      <c r="P23" s="58"/>
      <c r="Q23" s="3"/>
      <c r="R23" s="3"/>
      <c r="S23" s="3"/>
    </row>
    <row r="24" spans="2:19" ht="69">
      <c r="B24" s="11" t="s">
        <v>195</v>
      </c>
      <c r="C24" s="3" t="s">
        <v>738</v>
      </c>
      <c r="D24" s="3" t="s">
        <v>58</v>
      </c>
      <c r="E24" s="3" t="s">
        <v>47</v>
      </c>
      <c r="F24" s="3" t="s">
        <v>668</v>
      </c>
      <c r="G24" s="3" t="s">
        <v>220</v>
      </c>
      <c r="H24" s="3" t="s">
        <v>739</v>
      </c>
      <c r="I24" s="3" t="s">
        <v>740</v>
      </c>
      <c r="J24" s="3" t="s">
        <v>577</v>
      </c>
      <c r="K24" s="3" t="s">
        <v>81</v>
      </c>
      <c r="L24" s="3" t="s">
        <v>50</v>
      </c>
      <c r="M24" s="3" t="s">
        <v>627</v>
      </c>
      <c r="N24" s="3" t="s">
        <v>551</v>
      </c>
      <c r="O24" s="57" t="s">
        <v>731</v>
      </c>
      <c r="P24" s="58"/>
      <c r="Q24" s="3"/>
      <c r="R24" s="3"/>
      <c r="S24" s="3"/>
    </row>
    <row r="25" spans="2:19" ht="69">
      <c r="B25" s="11" t="s">
        <v>195</v>
      </c>
      <c r="C25" s="3" t="s">
        <v>741</v>
      </c>
      <c r="D25" s="3" t="s">
        <v>58</v>
      </c>
      <c r="E25" s="3" t="s">
        <v>47</v>
      </c>
      <c r="F25" s="3" t="s">
        <v>668</v>
      </c>
      <c r="G25" s="3" t="s">
        <v>220</v>
      </c>
      <c r="H25" s="59" t="s">
        <v>742</v>
      </c>
      <c r="I25" s="59" t="s">
        <v>743</v>
      </c>
      <c r="J25" s="3" t="s">
        <v>577</v>
      </c>
      <c r="K25" s="3" t="s">
        <v>81</v>
      </c>
      <c r="L25" s="3" t="s">
        <v>50</v>
      </c>
      <c r="M25" s="3" t="s">
        <v>627</v>
      </c>
      <c r="N25" s="3" t="s">
        <v>551</v>
      </c>
      <c r="O25" s="57" t="s">
        <v>731</v>
      </c>
      <c r="P25" s="58"/>
      <c r="Q25" s="3" t="s">
        <v>744</v>
      </c>
      <c r="R25" s="3"/>
      <c r="S25" s="3"/>
    </row>
    <row r="26" spans="2:19" ht="69">
      <c r="B26" s="11" t="s">
        <v>195</v>
      </c>
      <c r="C26" s="3" t="s">
        <v>745</v>
      </c>
      <c r="D26" s="3" t="s">
        <v>58</v>
      </c>
      <c r="E26" s="3" t="s">
        <v>47</v>
      </c>
      <c r="F26" s="3" t="s">
        <v>668</v>
      </c>
      <c r="G26" s="3" t="s">
        <v>226</v>
      </c>
      <c r="H26" s="3" t="s">
        <v>746</v>
      </c>
      <c r="I26" s="3" t="s">
        <v>747</v>
      </c>
      <c r="J26" s="3" t="s">
        <v>577</v>
      </c>
      <c r="K26" s="3" t="s">
        <v>81</v>
      </c>
      <c r="L26" s="3" t="s">
        <v>50</v>
      </c>
      <c r="M26" s="3" t="s">
        <v>627</v>
      </c>
      <c r="N26" s="3" t="s">
        <v>551</v>
      </c>
      <c r="O26" s="57" t="s">
        <v>748</v>
      </c>
      <c r="P26" s="58"/>
      <c r="Q26" s="3"/>
      <c r="R26" s="3"/>
      <c r="S26" s="3"/>
    </row>
    <row r="27" spans="2:19" ht="69">
      <c r="B27" s="11" t="s">
        <v>195</v>
      </c>
      <c r="C27" s="3" t="s">
        <v>749</v>
      </c>
      <c r="D27" s="3" t="s">
        <v>58</v>
      </c>
      <c r="E27" s="3" t="s">
        <v>47</v>
      </c>
      <c r="F27" s="3" t="s">
        <v>668</v>
      </c>
      <c r="G27" s="3" t="s">
        <v>226</v>
      </c>
      <c r="H27" s="3" t="s">
        <v>750</v>
      </c>
      <c r="I27" s="3" t="s">
        <v>751</v>
      </c>
      <c r="J27" s="3" t="s">
        <v>577</v>
      </c>
      <c r="K27" s="3" t="s">
        <v>81</v>
      </c>
      <c r="L27" s="3" t="s">
        <v>50</v>
      </c>
      <c r="M27" s="3" t="s">
        <v>627</v>
      </c>
      <c r="N27" s="3" t="s">
        <v>551</v>
      </c>
      <c r="O27" s="57" t="s">
        <v>752</v>
      </c>
      <c r="P27" s="58"/>
      <c r="Q27" s="3"/>
      <c r="R27" s="3"/>
      <c r="S27" s="3"/>
    </row>
    <row r="28" spans="2:19" ht="69">
      <c r="B28" s="11" t="s">
        <v>195</v>
      </c>
      <c r="C28" s="3" t="s">
        <v>753</v>
      </c>
      <c r="D28" s="3" t="s">
        <v>58</v>
      </c>
      <c r="E28" s="3" t="s">
        <v>47</v>
      </c>
      <c r="F28" s="3" t="s">
        <v>668</v>
      </c>
      <c r="G28" s="3" t="s">
        <v>226</v>
      </c>
      <c r="H28" s="3" t="s">
        <v>754</v>
      </c>
      <c r="I28" s="3" t="s">
        <v>755</v>
      </c>
      <c r="J28" s="3" t="s">
        <v>577</v>
      </c>
      <c r="K28" s="3" t="s">
        <v>81</v>
      </c>
      <c r="L28" s="3" t="s">
        <v>50</v>
      </c>
      <c r="M28" s="3" t="s">
        <v>627</v>
      </c>
      <c r="N28" s="3" t="s">
        <v>551</v>
      </c>
      <c r="O28" s="57" t="s">
        <v>752</v>
      </c>
      <c r="P28" s="58"/>
      <c r="Q28" s="3"/>
      <c r="R28" s="3"/>
      <c r="S28" s="3"/>
    </row>
    <row r="29" spans="2:19" ht="69">
      <c r="B29" s="11" t="s">
        <v>195</v>
      </c>
      <c r="C29" s="3" t="s">
        <v>756</v>
      </c>
      <c r="D29" s="3" t="s">
        <v>58</v>
      </c>
      <c r="E29" s="3" t="s">
        <v>47</v>
      </c>
      <c r="F29" s="3" t="s">
        <v>668</v>
      </c>
      <c r="G29" s="3" t="s">
        <v>226</v>
      </c>
      <c r="H29" s="59" t="s">
        <v>757</v>
      </c>
      <c r="I29" s="3" t="s">
        <v>758</v>
      </c>
      <c r="J29" s="3" t="s">
        <v>577</v>
      </c>
      <c r="K29" s="3" t="s">
        <v>81</v>
      </c>
      <c r="L29" s="3" t="s">
        <v>50</v>
      </c>
      <c r="M29" s="3" t="s">
        <v>627</v>
      </c>
      <c r="N29" s="3" t="s">
        <v>551</v>
      </c>
      <c r="O29" s="57" t="s">
        <v>603</v>
      </c>
      <c r="P29" s="58"/>
      <c r="Q29" s="3"/>
      <c r="R29" s="3"/>
      <c r="S29" s="3"/>
    </row>
    <row r="30" spans="2:19" ht="69">
      <c r="B30" s="11" t="s">
        <v>195</v>
      </c>
      <c r="C30" s="3" t="s">
        <v>759</v>
      </c>
      <c r="D30" s="3" t="s">
        <v>58</v>
      </c>
      <c r="E30" s="3" t="s">
        <v>47</v>
      </c>
      <c r="F30" s="3" t="s">
        <v>668</v>
      </c>
      <c r="G30" s="3" t="s">
        <v>226</v>
      </c>
      <c r="H30" s="3" t="s">
        <v>760</v>
      </c>
      <c r="I30" s="3" t="s">
        <v>761</v>
      </c>
      <c r="J30" s="3" t="s">
        <v>598</v>
      </c>
      <c r="K30" s="3" t="s">
        <v>81</v>
      </c>
      <c r="L30" s="3" t="s">
        <v>50</v>
      </c>
      <c r="M30" s="3" t="s">
        <v>627</v>
      </c>
      <c r="N30" s="3" t="s">
        <v>551</v>
      </c>
      <c r="O30" s="57" t="s">
        <v>603</v>
      </c>
      <c r="P30" s="3"/>
      <c r="Q30" s="3"/>
      <c r="R30" s="3"/>
      <c r="S30" s="3"/>
    </row>
    <row r="31" spans="2:19" ht="69">
      <c r="B31" s="11" t="s">
        <v>195</v>
      </c>
      <c r="C31" s="3" t="s">
        <v>762</v>
      </c>
      <c r="D31" s="3" t="s">
        <v>58</v>
      </c>
      <c r="E31" s="3" t="s">
        <v>47</v>
      </c>
      <c r="F31" s="3" t="s">
        <v>668</v>
      </c>
      <c r="G31" s="3" t="s">
        <v>226</v>
      </c>
      <c r="H31" s="3" t="s">
        <v>763</v>
      </c>
      <c r="I31" s="3" t="s">
        <v>764</v>
      </c>
      <c r="J31" s="3" t="s">
        <v>598</v>
      </c>
      <c r="K31" s="3" t="s">
        <v>81</v>
      </c>
      <c r="L31" s="3" t="s">
        <v>50</v>
      </c>
      <c r="M31" s="3" t="s">
        <v>627</v>
      </c>
      <c r="N31" s="3" t="s">
        <v>551</v>
      </c>
      <c r="O31" s="57" t="s">
        <v>765</v>
      </c>
      <c r="P31" s="3"/>
      <c r="Q31" s="3"/>
      <c r="R31" s="3"/>
      <c r="S31" s="3"/>
    </row>
    <row r="32" spans="2:19" ht="69">
      <c r="B32" s="11" t="s">
        <v>195</v>
      </c>
      <c r="C32" s="3" t="s">
        <v>766</v>
      </c>
      <c r="D32" s="3" t="s">
        <v>58</v>
      </c>
      <c r="E32" s="3" t="s">
        <v>47</v>
      </c>
      <c r="F32" s="3" t="s">
        <v>668</v>
      </c>
      <c r="G32" s="3" t="s">
        <v>220</v>
      </c>
      <c r="H32" s="3" t="s">
        <v>767</v>
      </c>
      <c r="I32" s="3" t="s">
        <v>768</v>
      </c>
      <c r="J32" s="3" t="s">
        <v>598</v>
      </c>
      <c r="K32" s="3" t="s">
        <v>81</v>
      </c>
      <c r="L32" s="3" t="s">
        <v>50</v>
      </c>
      <c r="M32" s="3" t="s">
        <v>627</v>
      </c>
      <c r="N32" s="3" t="s">
        <v>551</v>
      </c>
      <c r="O32" s="57" t="s">
        <v>765</v>
      </c>
      <c r="P32" s="3"/>
      <c r="Q32" s="3"/>
      <c r="R32" s="3"/>
      <c r="S32" s="3"/>
    </row>
    <row r="33" spans="2:19">
      <c r="B33" s="60"/>
      <c r="C33" s="60"/>
      <c r="D33" s="60"/>
      <c r="E33" s="60"/>
      <c r="F33" s="60"/>
      <c r="G33" s="60"/>
      <c r="H33" s="60"/>
      <c r="I33" s="60"/>
      <c r="J33" s="60"/>
      <c r="K33" s="60"/>
      <c r="L33" s="60"/>
      <c r="M33" s="60"/>
      <c r="N33" s="60"/>
      <c r="O33" s="61"/>
      <c r="P33" s="60"/>
      <c r="Q33" s="60"/>
      <c r="R33" s="60"/>
      <c r="S33" s="60"/>
    </row>
    <row r="34" spans="2:19">
      <c r="B34" s="60"/>
      <c r="C34" s="60"/>
      <c r="D34" s="60"/>
      <c r="E34" s="60"/>
      <c r="F34" s="60"/>
      <c r="G34" s="60"/>
      <c r="H34" s="60"/>
      <c r="I34" s="60"/>
      <c r="J34" s="60"/>
      <c r="K34" s="60"/>
      <c r="L34" s="60"/>
      <c r="M34" s="60"/>
      <c r="N34" s="60"/>
      <c r="O34" s="61"/>
      <c r="P34" s="60"/>
      <c r="Q34" s="60"/>
      <c r="R34" s="60"/>
      <c r="S34" s="60"/>
    </row>
    <row r="37" spans="2:19">
      <c r="H37" s="3"/>
    </row>
  </sheetData>
  <mergeCells count="2">
    <mergeCell ref="B1:O1"/>
    <mergeCell ref="Q1:S1"/>
  </mergeCells>
  <phoneticPr fontId="28" type="noConversion"/>
  <conditionalFormatting sqref="R11:S11 D30:E30 D28:E28 H29 P28:S30 J28:M29 J30:L30 G30:H30 M30:M34 O26:S26 C27:C32 P21:S25 H21:M26 N21:N34 P11 G11:H13 G10:L10 P10:S10 H16:S16 P17:S18 H17:N18 C7:E8 G9:S9 D19:S20 F7:G7 H7:S8 C3:S6 I11:L12 M10:N12 P12:S15 H14:H15 C9:F15 O10:O15 I13:N15 G14:G29 F16:F34 C16:E26">
    <cfRule type="containsText" dxfId="17" priority="33" operator="containsText" text="intervention/control">
      <formula>NOT(ISERROR(SEARCH("intervention/control",C3)))</formula>
    </cfRule>
  </conditionalFormatting>
  <conditionalFormatting sqref="J30:L30">
    <cfRule type="containsText" dxfId="16" priority="32" operator="containsText" text="intervention/control">
      <formula>NOT(ISERROR(SEARCH("intervention/control",J30)))</formula>
    </cfRule>
  </conditionalFormatting>
  <conditionalFormatting sqref="D31:E31 P31:S31 G31:L31">
    <cfRule type="containsText" dxfId="15" priority="29" operator="containsText" text="intervention/control">
      <formula>NOT(ISERROR(SEARCH("intervention/control",D31)))</formula>
    </cfRule>
  </conditionalFormatting>
  <conditionalFormatting sqref="J31:L31">
    <cfRule type="containsText" dxfId="14" priority="28" operator="containsText" text="intervention/control">
      <formula>NOT(ISERROR(SEARCH("intervention/control",J31)))</formula>
    </cfRule>
  </conditionalFormatting>
  <conditionalFormatting sqref="D27:E27 H27:M27 O27:S27">
    <cfRule type="containsText" dxfId="13" priority="25" operator="containsText" text="intervention/control">
      <formula>NOT(ISERROR(SEARCH("intervention/control",D27)))</formula>
    </cfRule>
  </conditionalFormatting>
  <conditionalFormatting sqref="D29:E29">
    <cfRule type="containsText" dxfId="12" priority="24" operator="containsText" text="intervention/control">
      <formula>NOT(ISERROR(SEARCH("intervention/control",D29)))</formula>
    </cfRule>
  </conditionalFormatting>
  <conditionalFormatting sqref="H28">
    <cfRule type="containsText" dxfId="11" priority="20" operator="containsText" text="intervention/control">
      <formula>NOT(ISERROR(SEARCH("intervention/control",H28)))</formula>
    </cfRule>
  </conditionalFormatting>
  <conditionalFormatting sqref="I28:I30">
    <cfRule type="containsText" dxfId="10" priority="19" operator="containsText" text="intervention/control">
      <formula>NOT(ISERROR(SEARCH("intervention/control",I28)))</formula>
    </cfRule>
  </conditionalFormatting>
  <conditionalFormatting sqref="O28:O34">
    <cfRule type="containsText" dxfId="9" priority="17" operator="containsText" text="intervention/control">
      <formula>NOT(ISERROR(SEARCH("intervention/control",O28)))</formula>
    </cfRule>
  </conditionalFormatting>
  <conditionalFormatting sqref="H37">
    <cfRule type="containsText" dxfId="8" priority="16" operator="containsText" text="intervention/control">
      <formula>NOT(ISERROR(SEARCH("intervention/control",H37)))</formula>
    </cfRule>
  </conditionalFormatting>
  <conditionalFormatting sqref="P32:S34 H32:I34">
    <cfRule type="containsText" dxfId="7" priority="13" operator="containsText" text="intervention/control">
      <formula>NOT(ISERROR(SEARCH("intervention/control",H32)))</formula>
    </cfRule>
  </conditionalFormatting>
  <conditionalFormatting sqref="J32:L34">
    <cfRule type="containsText" dxfId="6" priority="11" operator="containsText" text="intervention/control">
      <formula>NOT(ISERROR(SEARCH("intervention/control",J32)))</formula>
    </cfRule>
  </conditionalFormatting>
  <conditionalFormatting sqref="J32:L34">
    <cfRule type="containsText" dxfId="5" priority="10" operator="containsText" text="intervention/control">
      <formula>NOT(ISERROR(SEARCH("intervention/control",J32)))</formula>
    </cfRule>
  </conditionalFormatting>
  <conditionalFormatting sqref="C33:E34 G32:G34 D32:E32">
    <cfRule type="containsText" dxfId="4" priority="9" operator="containsText" text="intervention/control">
      <formula>NOT(ISERROR(SEARCH("intervention/control",C32)))</formula>
    </cfRule>
  </conditionalFormatting>
  <conditionalFormatting sqref="B33:B34">
    <cfRule type="containsText" dxfId="3" priority="7" operator="containsText" text="intervention/control">
      <formula>NOT(ISERROR(SEARCH("intervention/control",B33)))</formula>
    </cfRule>
  </conditionalFormatting>
  <conditionalFormatting sqref="O21:O25">
    <cfRule type="containsText" dxfId="2" priority="6" operator="containsText" text="intervention/control">
      <formula>NOT(ISERROR(SEARCH("intervention/control",O21)))</formula>
    </cfRule>
  </conditionalFormatting>
  <conditionalFormatting sqref="O17:O18">
    <cfRule type="containsText" dxfId="1" priority="4" operator="containsText" text="intervention/control">
      <formula>NOT(ISERROR(SEARCH("intervention/control",O17)))</formula>
    </cfRule>
  </conditionalFormatting>
  <conditionalFormatting sqref="F8:G8">
    <cfRule type="containsText" dxfId="0" priority="2" operator="containsText" text="intervention/control">
      <formula>NOT(ISERROR(SEARCH("intervention/control",F8)))</formula>
    </cfRule>
  </conditionalFormatting>
  <hyperlinks>
    <hyperlink ref="O27" r:id="rId1" xr:uid="{781AE642-A1EA-41D6-B029-CA19759778B0}"/>
    <hyperlink ref="O26" r:id="rId2" xr:uid="{2EF4D42A-9694-4089-91BE-616BA35C8A04}"/>
    <hyperlink ref="O28" r:id="rId3" xr:uid="{39A1521F-53A0-4E2B-ACBF-F67ED538745F}"/>
    <hyperlink ref="O29" r:id="rId4" xr:uid="{AAFB81E3-F485-4D54-AD65-D634B2DC1AFC}"/>
    <hyperlink ref="O30" r:id="rId5" xr:uid="{B6670259-3361-4FD6-8767-FF40288E8BA4}"/>
    <hyperlink ref="O31" r:id="rId6" xr:uid="{11E04649-3B51-4D86-A316-89807E7B3573}"/>
    <hyperlink ref="O32" r:id="rId7" xr:uid="{E9CB86A3-3FF7-4696-8D1C-B41AB29307C6}"/>
    <hyperlink ref="O22:O25" r:id="rId8" display="UNICEF Data Warehouse Malaria" xr:uid="{F3E3CCFA-05C6-40B0-AF47-B3E93B86020C}"/>
    <hyperlink ref="O11" r:id="rId9" xr:uid="{62C23419-59A2-405E-B59C-747674FA67C6}"/>
    <hyperlink ref="O12" r:id="rId10" xr:uid="{28CA408E-1E59-4870-A8BF-C90FA3CF9375}"/>
    <hyperlink ref="O10" r:id="rId11" xr:uid="{A7CFA755-4614-446E-B8B0-F3AF22D150FF}"/>
    <hyperlink ref="O13" r:id="rId12" xr:uid="{04850ACD-D711-47B0-B0E2-237D93D688BF}"/>
    <hyperlink ref="O21" r:id="rId13" xr:uid="{C6593736-9938-4AAC-8449-70830C86DC44}"/>
    <hyperlink ref="O17" r:id="rId14" xr:uid="{F43E9516-E5C3-40B1-A03D-D3579538259D}"/>
    <hyperlink ref="O18" r:id="rId15" xr:uid="{ED3544A4-A5BC-4234-AE1A-88BAD55D31D0}"/>
    <hyperlink ref="O19" r:id="rId16" location="csv_files" xr:uid="{7765AF10-1C26-428F-8F63-1B03179EA421}"/>
    <hyperlink ref="O20" r:id="rId17" location="csv_files" xr:uid="{FF13F711-A2C2-4BE6-80C7-1C55925A926B}"/>
    <hyperlink ref="O14" r:id="rId18" xr:uid="{140A0CA5-7EF7-4469-BA10-3F0BF393E834}"/>
    <hyperlink ref="P14" r:id="rId19" xr:uid="{C7BE32E2-98DF-4CEA-AE97-6A4ED1D8A376}"/>
    <hyperlink ref="O15" r:id="rId20" xr:uid="{E271EFFA-962E-460D-B8C6-1D66C20D75ED}"/>
  </hyperlinks>
  <pageMargins left="0.7" right="0.7" top="0.75" bottom="0.75" header="0.3" footer="0.3"/>
  <pageSetup orientation="portrait" r:id="rId2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BA78-B74A-480B-AA45-BA0534F0E151}">
  <dimension ref="B1:F12"/>
  <sheetViews>
    <sheetView zoomScaleNormal="100" workbookViewId="0">
      <selection activeCell="C10" sqref="C10"/>
    </sheetView>
  </sheetViews>
  <sheetFormatPr defaultColWidth="9.140625" defaultRowHeight="14.45"/>
  <cols>
    <col min="1" max="1" width="5.140625" customWidth="1"/>
    <col min="2" max="2" width="18.140625" style="19" customWidth="1"/>
    <col min="3" max="3" width="67.28515625" style="48" customWidth="1"/>
    <col min="4" max="4" width="59" customWidth="1"/>
    <col min="5" max="5" width="14.7109375" style="19" customWidth="1"/>
    <col min="6" max="6" width="14.140625" style="19" customWidth="1"/>
  </cols>
  <sheetData>
    <row r="1" spans="2:6">
      <c r="B1" s="38" t="s">
        <v>769</v>
      </c>
    </row>
    <row r="3" spans="2:6" ht="57.95">
      <c r="B3" s="49" t="s">
        <v>770</v>
      </c>
      <c r="C3" s="49" t="s">
        <v>771</v>
      </c>
      <c r="D3" s="49" t="s">
        <v>772</v>
      </c>
      <c r="E3" s="49" t="s">
        <v>773</v>
      </c>
      <c r="F3" s="53" t="s">
        <v>774</v>
      </c>
    </row>
    <row r="4" spans="2:6" s="50" customFormat="1" ht="84.75" customHeight="1">
      <c r="B4" s="51" t="s">
        <v>775</v>
      </c>
      <c r="C4" s="52" t="s">
        <v>776</v>
      </c>
      <c r="D4" s="52" t="s">
        <v>777</v>
      </c>
      <c r="E4" s="54">
        <v>70</v>
      </c>
      <c r="F4" s="51">
        <f t="shared" ref="F4:F9" si="0">IF(AND(E4=0),0,IF(AND(E4&gt;=1,E4&lt;=20),1,IF(AND(E4&gt;20,E4&lt;=50),2,IF(AND(E4&gt;50,E4&lt;=80),3,IF(AND(E4&gt;80),4,0)))))</f>
        <v>3</v>
      </c>
    </row>
    <row r="5" spans="2:6" s="50" customFormat="1" ht="64.5" customHeight="1">
      <c r="B5" s="51" t="s">
        <v>775</v>
      </c>
      <c r="C5" s="52" t="s">
        <v>778</v>
      </c>
      <c r="D5" s="52" t="s">
        <v>777</v>
      </c>
      <c r="E5" s="54">
        <v>100</v>
      </c>
      <c r="F5" s="51">
        <f t="shared" si="0"/>
        <v>4</v>
      </c>
    </row>
    <row r="6" spans="2:6" s="50" customFormat="1" ht="64.5" customHeight="1">
      <c r="B6" s="51" t="s">
        <v>779</v>
      </c>
      <c r="C6" s="52" t="s">
        <v>780</v>
      </c>
      <c r="D6" s="52" t="s">
        <v>781</v>
      </c>
      <c r="E6" s="54">
        <v>50</v>
      </c>
      <c r="F6" s="51">
        <f t="shared" si="0"/>
        <v>2</v>
      </c>
    </row>
    <row r="7" spans="2:6" s="50" customFormat="1" ht="64.5" customHeight="1">
      <c r="B7" s="51" t="s">
        <v>779</v>
      </c>
      <c r="C7" s="52" t="s">
        <v>782</v>
      </c>
      <c r="D7" s="52" t="s">
        <v>777</v>
      </c>
      <c r="E7" s="54">
        <v>10</v>
      </c>
      <c r="F7" s="51">
        <f t="shared" si="0"/>
        <v>1</v>
      </c>
    </row>
    <row r="8" spans="2:6" s="50" customFormat="1" ht="64.5" customHeight="1">
      <c r="B8" s="51" t="s">
        <v>783</v>
      </c>
      <c r="C8" s="52" t="s">
        <v>784</v>
      </c>
      <c r="D8" s="52" t="s">
        <v>777</v>
      </c>
      <c r="E8" s="54">
        <v>90</v>
      </c>
      <c r="F8" s="51">
        <f t="shared" si="0"/>
        <v>4</v>
      </c>
    </row>
    <row r="9" spans="2:6" s="50" customFormat="1" ht="64.5" customHeight="1">
      <c r="B9" s="51" t="s">
        <v>783</v>
      </c>
      <c r="C9" s="52" t="s">
        <v>785</v>
      </c>
      <c r="D9" s="52" t="s">
        <v>777</v>
      </c>
      <c r="E9" s="54">
        <v>91</v>
      </c>
      <c r="F9" s="51">
        <f t="shared" si="0"/>
        <v>4</v>
      </c>
    </row>
    <row r="10" spans="2:6" s="50" customFormat="1" ht="64.5" customHeight="1">
      <c r="B10" s="51" t="s">
        <v>786</v>
      </c>
      <c r="C10" s="52" t="s">
        <v>787</v>
      </c>
      <c r="D10" s="52" t="s">
        <v>788</v>
      </c>
      <c r="E10" s="54">
        <v>60</v>
      </c>
      <c r="F10" s="51">
        <f>IF(AND(E10=0),0,IF(AND(E10&gt;=1,E10&lt;=20),1,IF(AND(E10&gt;20,E10&lt;=50),2,IF(AND(E10&gt;50,E10&lt;=80),3,IF(AND(E10&gt;80),4,0)))))</f>
        <v>3</v>
      </c>
    </row>
    <row r="11" spans="2:6" s="50" customFormat="1" ht="64.5" customHeight="1">
      <c r="B11" s="51" t="s">
        <v>786</v>
      </c>
      <c r="C11" s="52" t="s">
        <v>789</v>
      </c>
      <c r="D11" s="52" t="s">
        <v>790</v>
      </c>
      <c r="E11" s="54">
        <v>20</v>
      </c>
      <c r="F11" s="51">
        <f>IF(AND(E11=0),0,IF(AND(E11&gt;=1,E11&lt;=20),1,IF(AND(E11&gt;20,E11&lt;=50),2,IF(AND(E11&gt;50,E11&lt;=80),3,IF(AND(E11&gt;80),4,0)))))</f>
        <v>1</v>
      </c>
    </row>
    <row r="12" spans="2:6">
      <c r="F12" s="19">
        <f>SUM(F4:F11)</f>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E4C5-8CDC-40F0-B63B-9C627624C43D}">
  <dimension ref="B1:C36"/>
  <sheetViews>
    <sheetView topLeftCell="B2" zoomScale="85" zoomScaleNormal="85" workbookViewId="0">
      <selection activeCell="F3" sqref="F3"/>
    </sheetView>
  </sheetViews>
  <sheetFormatPr defaultColWidth="8.7109375" defaultRowHeight="14.45"/>
  <cols>
    <col min="2" max="2" width="67.28515625" style="48" customWidth="1"/>
    <col min="3" max="3" width="67.28515625" customWidth="1"/>
  </cols>
  <sheetData>
    <row r="1" spans="2:3" ht="15" thickBot="1">
      <c r="B1" s="38" t="s">
        <v>791</v>
      </c>
    </row>
    <row r="2" spans="2:3" ht="43.5" customHeight="1" thickTop="1" thickBot="1">
      <c r="B2" s="39" t="s">
        <v>792</v>
      </c>
      <c r="C2" s="32" t="s">
        <v>777</v>
      </c>
    </row>
    <row r="3" spans="2:3" ht="43.5" customHeight="1" thickTop="1">
      <c r="B3" s="40" t="s">
        <v>793</v>
      </c>
      <c r="C3" s="33" t="s">
        <v>794</v>
      </c>
    </row>
    <row r="4" spans="2:3" ht="43.5" customHeight="1" thickBot="1">
      <c r="B4" s="41" t="s">
        <v>795</v>
      </c>
      <c r="C4" s="34"/>
    </row>
    <row r="5" spans="2:3" ht="43.5" customHeight="1" thickTop="1" thickBot="1">
      <c r="B5" s="42" t="s">
        <v>796</v>
      </c>
      <c r="C5" s="34" t="s">
        <v>797</v>
      </c>
    </row>
    <row r="6" spans="2:3" ht="43.5" customHeight="1" thickTop="1">
      <c r="B6" s="43" t="s">
        <v>798</v>
      </c>
      <c r="C6" s="33" t="s">
        <v>777</v>
      </c>
    </row>
    <row r="7" spans="2:3" ht="43.5" customHeight="1" thickBot="1">
      <c r="B7" s="42" t="s">
        <v>799</v>
      </c>
      <c r="C7" s="35" t="s">
        <v>800</v>
      </c>
    </row>
    <row r="8" spans="2:3" ht="43.5" customHeight="1" thickTop="1">
      <c r="B8" s="40" t="s">
        <v>801</v>
      </c>
      <c r="C8" s="109" t="s">
        <v>777</v>
      </c>
    </row>
    <row r="9" spans="2:3" ht="43.5" customHeight="1">
      <c r="B9" s="44" t="s">
        <v>802</v>
      </c>
      <c r="C9" s="110"/>
    </row>
    <row r="10" spans="2:3" ht="43.5" customHeight="1">
      <c r="B10" s="45" t="s">
        <v>803</v>
      </c>
      <c r="C10" s="111" t="s">
        <v>804</v>
      </c>
    </row>
    <row r="11" spans="2:3" ht="43.5" customHeight="1" thickBot="1">
      <c r="B11" s="46" t="s">
        <v>805</v>
      </c>
      <c r="C11" s="112"/>
    </row>
    <row r="12" spans="2:3" ht="43.5" customHeight="1" thickTop="1">
      <c r="B12" s="40" t="s">
        <v>806</v>
      </c>
      <c r="C12" s="36" t="s">
        <v>777</v>
      </c>
    </row>
    <row r="13" spans="2:3" ht="43.5" customHeight="1" thickBot="1">
      <c r="B13" s="41" t="s">
        <v>807</v>
      </c>
      <c r="C13" s="34"/>
    </row>
    <row r="14" spans="2:3" ht="43.5" customHeight="1" thickTop="1" thickBot="1">
      <c r="B14" s="42" t="s">
        <v>808</v>
      </c>
      <c r="C14" s="34"/>
    </row>
    <row r="15" spans="2:3" ht="43.5" customHeight="1" thickTop="1">
      <c r="B15" s="43" t="s">
        <v>809</v>
      </c>
      <c r="C15" s="33" t="s">
        <v>777</v>
      </c>
    </row>
    <row r="16" spans="2:3" ht="43.5" customHeight="1" thickBot="1">
      <c r="B16" s="41" t="s">
        <v>810</v>
      </c>
      <c r="C16" s="34"/>
    </row>
    <row r="17" spans="2:3" ht="43.5" customHeight="1" thickTop="1">
      <c r="B17" s="43" t="s">
        <v>811</v>
      </c>
      <c r="C17" s="33" t="s">
        <v>777</v>
      </c>
    </row>
    <row r="18" spans="2:3" ht="43.5" customHeight="1" thickBot="1">
      <c r="B18" s="41" t="s">
        <v>812</v>
      </c>
      <c r="C18" s="34"/>
    </row>
    <row r="19" spans="2:3" ht="43.5" customHeight="1" thickTop="1" thickBot="1">
      <c r="B19" s="42" t="s">
        <v>813</v>
      </c>
      <c r="C19" s="34" t="s">
        <v>777</v>
      </c>
    </row>
    <row r="20" spans="2:3" ht="43.5" customHeight="1" thickTop="1">
      <c r="B20" s="43" t="s">
        <v>814</v>
      </c>
      <c r="C20" s="33" t="s">
        <v>788</v>
      </c>
    </row>
    <row r="21" spans="2:3" ht="43.5" customHeight="1" thickBot="1">
      <c r="B21" s="41" t="s">
        <v>815</v>
      </c>
      <c r="C21" s="34"/>
    </row>
    <row r="22" spans="2:3" ht="43.5" customHeight="1" thickTop="1" thickBot="1">
      <c r="B22" s="42" t="s">
        <v>816</v>
      </c>
      <c r="C22" s="34" t="s">
        <v>777</v>
      </c>
    </row>
    <row r="23" spans="2:3" ht="43.5" customHeight="1" thickTop="1">
      <c r="B23" s="43" t="s">
        <v>817</v>
      </c>
      <c r="C23" s="33" t="s">
        <v>818</v>
      </c>
    </row>
    <row r="24" spans="2:3" ht="43.5" customHeight="1" thickBot="1">
      <c r="B24" s="41" t="s">
        <v>819</v>
      </c>
      <c r="C24" s="34"/>
    </row>
    <row r="25" spans="2:3" ht="43.5" customHeight="1" thickTop="1" thickBot="1">
      <c r="B25" s="42" t="s">
        <v>820</v>
      </c>
      <c r="C25" s="34" t="s">
        <v>821</v>
      </c>
    </row>
    <row r="26" spans="2:3" ht="43.5" customHeight="1" thickTop="1">
      <c r="B26" s="40" t="s">
        <v>822</v>
      </c>
      <c r="C26" s="36" t="s">
        <v>777</v>
      </c>
    </row>
    <row r="27" spans="2:3" ht="43.5" customHeight="1" thickBot="1">
      <c r="B27" s="41" t="s">
        <v>823</v>
      </c>
      <c r="C27" s="34" t="s">
        <v>824</v>
      </c>
    </row>
    <row r="28" spans="2:3" ht="43.5" customHeight="1" thickTop="1" thickBot="1">
      <c r="B28" s="42" t="s">
        <v>825</v>
      </c>
      <c r="C28" s="34" t="s">
        <v>826</v>
      </c>
    </row>
    <row r="29" spans="2:3" ht="43.5" customHeight="1" thickTop="1">
      <c r="B29" s="43" t="s">
        <v>827</v>
      </c>
      <c r="C29" s="33" t="s">
        <v>828</v>
      </c>
    </row>
    <row r="30" spans="2:3" ht="43.5" customHeight="1" thickBot="1">
      <c r="B30" s="41" t="s">
        <v>829</v>
      </c>
      <c r="C30" s="34" t="s">
        <v>777</v>
      </c>
    </row>
    <row r="31" spans="2:3" ht="43.5" customHeight="1" thickTop="1">
      <c r="B31" s="40" t="s">
        <v>830</v>
      </c>
      <c r="C31" s="36" t="s">
        <v>788</v>
      </c>
    </row>
    <row r="32" spans="2:3" ht="43.5" customHeight="1" thickBot="1">
      <c r="B32" s="47" t="s">
        <v>831</v>
      </c>
      <c r="C32" s="37" t="s">
        <v>790</v>
      </c>
    </row>
    <row r="33" spans="2:3" ht="43.5" customHeight="1" thickTop="1">
      <c r="B33" s="43" t="s">
        <v>832</v>
      </c>
      <c r="C33" s="113" t="s">
        <v>777</v>
      </c>
    </row>
    <row r="34" spans="2:3" ht="43.5" customHeight="1">
      <c r="B34" s="44" t="s">
        <v>833</v>
      </c>
      <c r="C34" s="111"/>
    </row>
    <row r="35" spans="2:3" ht="43.5" customHeight="1" thickBot="1">
      <c r="B35" s="41" t="s">
        <v>834</v>
      </c>
      <c r="C35" s="34" t="s">
        <v>835</v>
      </c>
    </row>
    <row r="36" spans="2:3" ht="15" thickTop="1"/>
  </sheetData>
  <mergeCells count="3">
    <mergeCell ref="C8:C9"/>
    <mergeCell ref="C10:C11"/>
    <mergeCell ref="C33:C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F2C1-9EA9-4595-9C8A-99FC2F481A25}">
  <dimension ref="A1"/>
  <sheetViews>
    <sheetView workbookViewId="0"/>
  </sheetViews>
  <sheetFormatPr defaultColWidth="8.7109375"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E747609156D2449DEABB3C9C2D4141" ma:contentTypeVersion="13" ma:contentTypeDescription="Create a new document." ma:contentTypeScope="" ma:versionID="f16156e356bff59983922fbc2834aca9">
  <xsd:schema xmlns:xsd="http://www.w3.org/2001/XMLSchema" xmlns:xs="http://www.w3.org/2001/XMLSchema" xmlns:p="http://schemas.microsoft.com/office/2006/metadata/properties" xmlns:ns2="f586d53f-83d1-42ed-9134-efa7903d5de8" targetNamespace="http://schemas.microsoft.com/office/2006/metadata/properties" ma:root="true" ma:fieldsID="831033df8eebcd16b844a83837220066" ns2:_="">
    <xsd:import namespace="f586d53f-83d1-42ed-9134-efa7903d5d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_Flow_SignoffStatu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6d53f-83d1-42ed-9134-efa7903d5d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Flow_SignoffStatus" ma:index="12" nillable="true" ma:displayName="Sign-off status" ma:internalName="Sign_x002d_off_x0020_status">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86d53f-83d1-42ed-9134-efa7903d5de8">
      <Terms xmlns="http://schemas.microsoft.com/office/infopath/2007/PartnerControls"/>
    </lcf76f155ced4ddcb4097134ff3c332f>
    <_Flow_SignoffStatus xmlns="f586d53f-83d1-42ed-9134-efa7903d5de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1B5E9F-256C-4882-A4C4-582FF4E93869}"/>
</file>

<file path=customXml/itemProps2.xml><?xml version="1.0" encoding="utf-8"?>
<ds:datastoreItem xmlns:ds="http://schemas.openxmlformats.org/officeDocument/2006/customXml" ds:itemID="{38856A2E-5378-4CB7-8A43-D33ECFEC9DBC}"/>
</file>

<file path=customXml/itemProps3.xml><?xml version="1.0" encoding="utf-8"?>
<ds:datastoreItem xmlns:ds="http://schemas.openxmlformats.org/officeDocument/2006/customXml" ds:itemID="{F975E2BE-AE1A-4033-BEA9-F97AD0765B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GroundWork</dc:creator>
  <cp:keywords/>
  <dc:description/>
  <cp:lastModifiedBy>Alessandro CERRI</cp:lastModifiedBy>
  <cp:revision/>
  <dcterms:created xsi:type="dcterms:W3CDTF">2022-05-05T02:49:53Z</dcterms:created>
  <dcterms:modified xsi:type="dcterms:W3CDTF">2024-08-02T06:27:55Z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0x010100DDE747609156D2449DEABB3C9C2D4141</vt:lpwstr>
  </property>
  <property fmtid="{D5CDD505-2E9C-101B-9397-08002B2CF9AE}" pid="3" name="MediaServiceImageTags">
    <vt:lpwstr/>
  </property>
</Properties>
</file>