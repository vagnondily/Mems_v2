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tsoa.vagnondily\Downloads\"/>
    </mc:Choice>
  </mc:AlternateContent>
  <xr:revisionPtr revIDLastSave="0" documentId="8_{2108111C-C2EE-4392-A0D6-EAE45E9A4DB2}" xr6:coauthVersionLast="47" xr6:coauthVersionMax="47" xr10:uidLastSave="{00000000-0000-0000-0000-000000000000}"/>
  <bookViews>
    <workbookView xWindow="-110" yWindow="-110" windowWidth="19420" windowHeight="11500" activeTab="1" xr2:uid="{0E892AA0-9B15-4336-B239-7FA9AF089C85}"/>
  </bookViews>
  <sheets>
    <sheet name="Suivi Ind Perf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F10" i="2"/>
  <c r="D11" i="2"/>
  <c r="G11" i="2" s="1"/>
  <c r="F11" i="2"/>
  <c r="D12" i="2"/>
  <c r="F12" i="2"/>
  <c r="F9" i="2"/>
  <c r="H11" i="2"/>
  <c r="D9" i="2"/>
  <c r="G9" i="2" s="1"/>
  <c r="H54" i="2"/>
  <c r="H53" i="2"/>
  <c r="G53" i="2"/>
  <c r="H52" i="2"/>
  <c r="G52" i="2"/>
  <c r="H51" i="2"/>
  <c r="G51" i="2"/>
  <c r="H29" i="2"/>
  <c r="H28" i="2"/>
  <c r="H27" i="2"/>
  <c r="H36" i="2"/>
  <c r="H35" i="2"/>
  <c r="H34" i="2"/>
  <c r="H33" i="2"/>
  <c r="H42" i="2"/>
  <c r="H41" i="2"/>
  <c r="H40" i="2"/>
  <c r="H39" i="2"/>
  <c r="H48" i="2"/>
  <c r="H47" i="2"/>
  <c r="G47" i="2"/>
  <c r="H46" i="2"/>
  <c r="G46" i="2"/>
  <c r="H45" i="2"/>
  <c r="G45" i="2"/>
  <c r="H4" i="3"/>
  <c r="G4" i="3"/>
  <c r="H3" i="3"/>
  <c r="G3" i="3"/>
  <c r="H2" i="3"/>
  <c r="G2" i="3"/>
  <c r="G41" i="2"/>
  <c r="G40" i="2"/>
  <c r="G39" i="2"/>
  <c r="G35" i="2"/>
  <c r="G34" i="2"/>
  <c r="G33" i="2"/>
  <c r="G29" i="2"/>
  <c r="G28" i="2"/>
  <c r="G27" i="2"/>
  <c r="H24" i="2"/>
  <c r="G24" i="2"/>
  <c r="H23" i="2"/>
  <c r="G23" i="2"/>
  <c r="H22" i="2"/>
  <c r="G22" i="2"/>
  <c r="H21" i="2"/>
  <c r="G21" i="2"/>
  <c r="H18" i="2"/>
  <c r="G18" i="2"/>
  <c r="H17" i="2"/>
  <c r="G17" i="2"/>
  <c r="H16" i="2"/>
  <c r="G16" i="2"/>
  <c r="H15" i="2"/>
  <c r="G15" i="2"/>
  <c r="H3" i="2"/>
  <c r="H4" i="2"/>
  <c r="H5" i="2"/>
  <c r="H2" i="2"/>
  <c r="G3" i="2"/>
  <c r="G4" i="2"/>
  <c r="G5" i="2"/>
  <c r="G2" i="2"/>
  <c r="K20" i="1"/>
  <c r="K21" i="1" s="1"/>
  <c r="H20" i="1"/>
  <c r="H21" i="1" s="1"/>
  <c r="Q17" i="1"/>
  <c r="Q13" i="1"/>
  <c r="H13" i="1"/>
  <c r="N12" i="1"/>
  <c r="N13" i="1" s="1"/>
  <c r="K12" i="1"/>
  <c r="K13" i="1" s="1"/>
  <c r="H12" i="1"/>
  <c r="N11" i="1"/>
  <c r="K11" i="1"/>
  <c r="H11" i="1"/>
  <c r="N10" i="1"/>
  <c r="K10" i="1"/>
  <c r="H10" i="1"/>
  <c r="N9" i="1"/>
  <c r="K9" i="1"/>
  <c r="H9" i="1"/>
  <c r="G10" i="2" l="1"/>
  <c r="H10" i="2"/>
  <c r="H12" i="2"/>
  <c r="H9" i="2"/>
  <c r="G12" i="2"/>
</calcChain>
</file>

<file path=xl/sharedStrings.xml><?xml version="1.0" encoding="utf-8"?>
<sst xmlns="http://schemas.openxmlformats.org/spreadsheetml/2006/main" count="266" uniqueCount="111">
  <si>
    <t xml:space="preserve"> PERFORMANCE INDICATORS TRACKING TABLE FSRP PROGRAM</t>
  </si>
  <si>
    <t>Objectives Statements</t>
  </si>
  <si>
    <t xml:space="preserve">Performance Indicators  </t>
  </si>
  <si>
    <t>Entity</t>
  </si>
  <si>
    <t>Indicateurs WFP</t>
  </si>
  <si>
    <t>Unit</t>
  </si>
  <si>
    <t xml:space="preserve">Baseline </t>
  </si>
  <si>
    <t>Year target 2024</t>
  </si>
  <si>
    <t>Year 2024  Achieved</t>
  </si>
  <si>
    <t>Year 2024          Achieved vs target</t>
  </si>
  <si>
    <t>Year target 2025</t>
  </si>
  <si>
    <t>Year 2025  Achieved</t>
  </si>
  <si>
    <t>Year 2025          Achieved vs target</t>
  </si>
  <si>
    <t>Year target 2026</t>
  </si>
  <si>
    <t>Year 2026  Achieved</t>
  </si>
  <si>
    <t>Year 2026          Achieved vs target</t>
  </si>
  <si>
    <t>Life Of Activity           target</t>
  </si>
  <si>
    <t xml:space="preserve">Resultat escompte LOA </t>
  </si>
  <si>
    <t>LOA acheved</t>
  </si>
  <si>
    <t>Indicateurs Outcome</t>
  </si>
  <si>
    <t>Goal: As per the Project Document</t>
  </si>
  <si>
    <t>FSRP Indicateurs au niveau de l’ODP (Résultat)</t>
  </si>
  <si>
    <t>Indicateur APM - Changement du nombre de personnes en situation d’insécurité alimentaire dans les zones cibles (Pourcentage)</t>
  </si>
  <si>
    <t>FSRP</t>
  </si>
  <si>
    <t>CARI (FCS)</t>
  </si>
  <si>
    <t>% et Nombre</t>
  </si>
  <si>
    <t>Indicateur APM - Exploitants agricoles adoptant les technologies et les pratiques renforçant la résilience (Nombre)</t>
  </si>
  <si>
    <t>Nombre de SHF adoptant les technologies et pratiques innovantes dans les chaines de vluers choisies</t>
  </si>
  <si>
    <t>Nombre</t>
  </si>
  <si>
    <t>10000
(3000 Femmes)
(4000 Technologie CC)</t>
  </si>
  <si>
    <t>15000 (4500 Femmes)
(6000 Technologie CC)</t>
  </si>
  <si>
    <t>20000 (6000 Femmes)
(8000 Technologie CC)</t>
  </si>
  <si>
    <t>Indicateur APM - Superficie de terres sous pratiques de gestion durable du paysage (en Hectares)</t>
  </si>
  <si>
    <r>
      <rPr>
        <i/>
        <sz val="8"/>
        <rFont val="Times New Roman"/>
        <family val="1"/>
      </rPr>
      <t>WFP Output 1.1.1:</t>
    </r>
    <r>
      <rPr>
        <sz val="11"/>
        <rFont val="Times New Roman"/>
        <family val="1"/>
      </rPr>
      <t xml:space="preserve"> Superficie cultivée avec les techniques de production ameliorée (+ Jardins scolaires)</t>
    </r>
  </si>
  <si>
    <t>Ha</t>
  </si>
  <si>
    <t>Indicateur APM - Changement du volume de produits agricoles vendus sur le marché local et régional (pourcentage)</t>
  </si>
  <si>
    <t>% Volume of smallholder sales through WFP-supported aggregation systems</t>
  </si>
  <si>
    <t>%</t>
  </si>
  <si>
    <t>N/A</t>
  </si>
  <si>
    <t>C1 : (Re-)développer une capacité de production agricole résiliente</t>
  </si>
  <si>
    <t>FSRP IR 1.1:</t>
  </si>
  <si>
    <t>Indicateur APM - Technologies développées et transférées pour vulgarisation avec l’appui du projet (Nombre)</t>
  </si>
  <si>
    <t>Liste des technologies trasnférées au SHF selon les speculations/ chaines de valeurs  (agri et elevage)</t>
  </si>
  <si>
    <t>Nb</t>
  </si>
  <si>
    <t>FSRP IR 1.2</t>
  </si>
  <si>
    <t>Augmentation de la consommation des produits d’origine animale per capita par an</t>
  </si>
  <si>
    <t>Augmentation de la consommation des produits d’origine animale per capita par an (Niveau Ecole)</t>
  </si>
  <si>
    <t>Œuf (nombre)</t>
  </si>
  <si>
    <t>Lait (l)</t>
  </si>
  <si>
    <t>Viande (kg)</t>
  </si>
  <si>
    <t>FSRP IR 1.3:</t>
  </si>
  <si>
    <t>Indicateur APM - Bénéficiaires accédant aux informations sur le système alimentaire et l’hydrométéorologie pour gérer les chocs qui affectent l’approvisionnement alimentaire (Nombre)</t>
  </si>
  <si>
    <t>Beneficiaires FbA</t>
  </si>
  <si>
    <t>FSRP IR 1.4:</t>
  </si>
  <si>
    <t>Indicateur APM - Evolution du Score de diversité alimentaire des ménages (SDAM) parmi les ménages bénéficiaires ciblés du projet tirant des avantages directs du projet (pourcentage)</t>
  </si>
  <si>
    <t>Nombre moyen de type d'aliments composant le repas scolaire</t>
  </si>
  <si>
    <t>Composante 2 : Appuyer le développement durable des ressources naturelles pour la résilience des paysages agricoles</t>
  </si>
  <si>
    <t>FSRP IR 1.5:</t>
  </si>
  <si>
    <t>Indicateur APM - Proportion de communautés dans les zones cibles ayant mis en œuvre des plans de développement pluriannuels pour une base productive résiliente (Pourcentage)</t>
  </si>
  <si>
    <t>FSRP IR 1.6:</t>
  </si>
  <si>
    <t>Indicateur APM - Superficie des terres restaurées ou reboisées/boisées (en Hectares)</t>
  </si>
  <si>
    <t>Ha reboisé (FFA)</t>
  </si>
  <si>
    <t>FSRP IR 1.10:</t>
  </si>
  <si>
    <t>Routes de desserte réhabilitées (en km)</t>
  </si>
  <si>
    <t>Km de pistes rehabilitées</t>
  </si>
  <si>
    <t>Km</t>
  </si>
  <si>
    <t>Composante 4 : Coordination de projet et gestion des connaissances</t>
  </si>
  <si>
    <t>FSRP IR 1.13:</t>
  </si>
  <si>
    <t>Indicateur APM : PNIA est en place et à jour</t>
  </si>
  <si>
    <t>FSRP IR 1.14:</t>
  </si>
  <si>
    <t>Indicateur APM – Domaine technique pour lequel un mécanisme régional de partage des connaissances est mis en place</t>
  </si>
  <si>
    <t>FSRP IR 1.15:</t>
  </si>
  <si>
    <t>Indicateur APM – Nombre de bénéficiaires directs du projet (nombre)</t>
  </si>
  <si>
    <t>FSRP IR 1.16:</t>
  </si>
  <si>
    <t>Dont femmes (nombre)</t>
  </si>
  <si>
    <t>FSRP IR 1.17:</t>
  </si>
  <si>
    <t>Niveau de l’APM - Bénéficiaires satisfaits des interventions du Programme (Pourcentage)</t>
  </si>
  <si>
    <t>Niveau de satisfaction des beneficiaires sur l'assistance</t>
  </si>
  <si>
    <t>FSRP IR 1.18:</t>
  </si>
  <si>
    <t>Indicateur APM - Pourcentage de plaintes traitées par rapport au nombre total reçu par le GRM</t>
  </si>
  <si>
    <t>Composante 5 : Composante d’Intervention d’Urgence Conditionnelle (CIUC)</t>
  </si>
  <si>
    <t>FSRP IR 1.19:</t>
  </si>
  <si>
    <t>Bénéficiaires directs des transferts monétaires non conditionnels (Nombre)</t>
  </si>
  <si>
    <t>FSRP IR 1.20:</t>
  </si>
  <si>
    <t>Pourcentage des femmes récepteurs de transferts monétaires (Pourcentage)</t>
  </si>
  <si>
    <t>Sub- Activity</t>
  </si>
  <si>
    <t>Description</t>
  </si>
  <si>
    <t>Unique sites -  Active</t>
  </si>
  <si>
    <t>Unique sites -  Planned</t>
  </si>
  <si>
    <t>Unique sites -  Actual</t>
  </si>
  <si>
    <t>MMR Planned %</t>
  </si>
  <si>
    <t>GD</t>
  </si>
  <si>
    <t>General Distribution</t>
  </si>
  <si>
    <t>MAM</t>
  </si>
  <si>
    <t>Treatment of moderate acute malnutrition</t>
  </si>
  <si>
    <t>SMP</t>
  </si>
  <si>
    <t>School feeding (on-site)</t>
  </si>
  <si>
    <t>STUNT</t>
  </si>
  <si>
    <t>Prevention of stunting</t>
  </si>
  <si>
    <t>CAR</t>
  </si>
  <si>
    <t>Resilience</t>
  </si>
  <si>
    <t>-</t>
  </si>
  <si>
    <t>Manakara</t>
  </si>
  <si>
    <t>Mada real</t>
  </si>
  <si>
    <t>Ambovombe</t>
  </si>
  <si>
    <t>Tsihombe</t>
  </si>
  <si>
    <t>FTU</t>
  </si>
  <si>
    <t>Bekily</t>
  </si>
  <si>
    <t>Toliara</t>
  </si>
  <si>
    <t>Ampanihy</t>
  </si>
  <si>
    <t>Mada revue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</si>
</sst>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>
    <font>
      <sz val="10"/>
      <name val="Arial"/>
    </font>
    <font>
      <sz val="8"/>
      <name val="Arial"/>
      <family val="2"/>
    </font>
    <font>
      <b/>
      <sz val="20"/>
      <name val="Perpetua Titling MT"/>
      <family val="1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1"/>
      <name val="Arial Narrow"/>
      <family val="2"/>
    </font>
    <font>
      <sz val="11"/>
      <name val="Times New Roman"/>
      <family val="1"/>
    </font>
    <font>
      <i/>
      <sz val="8"/>
      <name val="Times New Roman"/>
      <family val="1"/>
    </font>
    <font>
      <b/>
      <sz val="10"/>
      <color theme="0"/>
      <name val="Calibri BODY"/>
    </font>
    <font>
      <sz val="11"/>
      <name val="Calibri BODY"/>
    </font>
    <font>
      <sz val="10"/>
      <name val="Calibri BODY"/>
    </font>
    <font>
      <i/>
      <sz val="10"/>
      <name val="Calibri BODY"/>
    </font>
    <font>
      <i/>
      <sz val="10"/>
      <name val="Arial"/>
      <family val="2"/>
    </font>
    <font>
      <b/>
      <sz val="8"/>
      <name val="Arial"/>
      <family val="2"/>
    </font>
    <font>
      <i/>
      <sz val="8"/>
      <name val="Calibri BODY"/>
    </font>
    <font>
      <sz val="10"/>
      <color theme="0"/>
      <name val="Calibri BODY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53D64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3">
    <xf numFmtId="0" fontId="0" fillId="0" borderId="0" applyBorder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wrapText="1"/>
    </xf>
    <xf numFmtId="0" fontId="7" fillId="0" borderId="0" xfId="0" applyFont="1" applyBorder="1"/>
    <xf numFmtId="0" fontId="9" fillId="4" borderId="9" xfId="0" applyFont="1" applyFill="1" applyBorder="1" applyAlignment="1">
      <alignment vertical="top" wrapText="1"/>
    </xf>
    <xf numFmtId="0" fontId="8" fillId="4" borderId="10" xfId="0" applyFont="1" applyFill="1" applyBorder="1" applyAlignment="1">
      <alignment horizontal="left" vertical="top" wrapText="1"/>
    </xf>
    <xf numFmtId="0" fontId="8" fillId="4" borderId="0" xfId="0" applyFont="1" applyFill="1" applyBorder="1" applyAlignment="1">
      <alignment horizontal="left" vertical="top" wrapText="1"/>
    </xf>
    <xf numFmtId="0" fontId="8" fillId="4" borderId="11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 vertical="top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left" vertical="top" wrapText="1"/>
    </xf>
    <xf numFmtId="0" fontId="9" fillId="6" borderId="9" xfId="0" applyFont="1" applyFill="1" applyBorder="1" applyAlignment="1">
      <alignment vertical="top" wrapText="1"/>
    </xf>
    <xf numFmtId="0" fontId="10" fillId="6" borderId="10" xfId="0" applyFont="1" applyFill="1" applyBorder="1" applyAlignment="1">
      <alignment horizontal="left" vertical="center" wrapText="1" indent="1"/>
    </xf>
    <xf numFmtId="0" fontId="10" fillId="6" borderId="0" xfId="0" applyFont="1" applyFill="1" applyBorder="1" applyAlignment="1">
      <alignment horizontal="left" vertical="center" wrapText="1" indent="1"/>
    </xf>
    <xf numFmtId="0" fontId="10" fillId="6" borderId="11" xfId="0" applyFont="1" applyFill="1" applyBorder="1" applyAlignment="1">
      <alignment horizontal="left" vertical="center" wrapText="1" indent="1"/>
    </xf>
    <xf numFmtId="0" fontId="8" fillId="6" borderId="12" xfId="0" applyFont="1" applyFill="1" applyBorder="1" applyAlignment="1">
      <alignment horizontal="center" vertical="center" wrapText="1"/>
    </xf>
    <xf numFmtId="9" fontId="8" fillId="6" borderId="13" xfId="2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9" fontId="8" fillId="6" borderId="13" xfId="0" applyNumberFormat="1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 inden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left" vertical="center" wrapText="1" inden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164" fontId="8" fillId="6" borderId="13" xfId="1" applyFont="1" applyFill="1" applyBorder="1" applyAlignment="1">
      <alignment horizontal="center" vertical="center" wrapText="1"/>
    </xf>
    <xf numFmtId="9" fontId="6" fillId="7" borderId="13" xfId="0" applyNumberFormat="1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left" vertical="center" wrapText="1" indent="1"/>
    </xf>
    <xf numFmtId="0" fontId="14" fillId="9" borderId="10" xfId="0" applyFont="1" applyFill="1" applyBorder="1" applyAlignment="1">
      <alignment horizontal="left" vertical="center" wrapText="1" indent="1"/>
    </xf>
    <xf numFmtId="0" fontId="14" fillId="9" borderId="0" xfId="0" applyFont="1" applyFill="1" applyBorder="1" applyAlignment="1">
      <alignment horizontal="left" vertical="center" wrapText="1" indent="1"/>
    </xf>
    <xf numFmtId="0" fontId="14" fillId="9" borderId="11" xfId="0" applyFont="1" applyFill="1" applyBorder="1" applyAlignment="1">
      <alignment horizontal="left" vertical="center" wrapText="1" indent="1"/>
    </xf>
    <xf numFmtId="0" fontId="14" fillId="9" borderId="17" xfId="0" applyFont="1" applyFill="1" applyBorder="1" applyAlignment="1">
      <alignment horizontal="left" vertical="center" wrapText="1" inden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left" vertical="center" wrapText="1" indent="1"/>
    </xf>
    <xf numFmtId="0" fontId="13" fillId="10" borderId="9" xfId="0" applyFont="1" applyFill="1" applyBorder="1" applyAlignment="1">
      <alignment horizontal="left" vertical="center" wrapText="1" indent="1"/>
    </xf>
    <xf numFmtId="0" fontId="14" fillId="10" borderId="10" xfId="0" applyFont="1" applyFill="1" applyBorder="1" applyAlignment="1">
      <alignment horizontal="left" vertical="center" wrapText="1" indent="1"/>
    </xf>
    <xf numFmtId="0" fontId="14" fillId="10" borderId="0" xfId="0" applyFont="1" applyFill="1" applyBorder="1" applyAlignment="1">
      <alignment horizontal="left" vertical="center" wrapText="1" indent="1"/>
    </xf>
    <xf numFmtId="0" fontId="14" fillId="10" borderId="11" xfId="0" applyFont="1" applyFill="1" applyBorder="1" applyAlignment="1">
      <alignment horizontal="left" vertical="center" wrapText="1" indent="1"/>
    </xf>
    <xf numFmtId="0" fontId="15" fillId="10" borderId="12" xfId="0" applyFont="1" applyFill="1" applyBorder="1" applyAlignment="1">
      <alignment horizontal="right" vertical="center" wrapText="1" indent="1"/>
    </xf>
    <xf numFmtId="0" fontId="14" fillId="10" borderId="1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6" fillId="10" borderId="12" xfId="0" applyFont="1" applyFill="1" applyBorder="1" applyAlignment="1">
      <alignment horizontal="right" vertical="center"/>
    </xf>
    <xf numFmtId="0" fontId="0" fillId="10" borderId="13" xfId="0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9" borderId="12" xfId="0" applyFont="1" applyFill="1" applyBorder="1" applyAlignment="1">
      <alignment horizontal="left" vertical="center" wrapText="1" inden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left" vertical="center" wrapText="1" indent="1"/>
    </xf>
    <xf numFmtId="0" fontId="18" fillId="9" borderId="10" xfId="0" applyFont="1" applyFill="1" applyBorder="1" applyAlignment="1">
      <alignment horizontal="left" vertical="center" wrapText="1" indent="1"/>
    </xf>
    <xf numFmtId="0" fontId="18" fillId="9" borderId="0" xfId="0" applyFont="1" applyFill="1" applyBorder="1" applyAlignment="1">
      <alignment horizontal="left" vertical="center" wrapText="1" indent="1"/>
    </xf>
    <xf numFmtId="0" fontId="18" fillId="9" borderId="11" xfId="0" applyFont="1" applyFill="1" applyBorder="1" applyAlignment="1">
      <alignment horizontal="left" vertical="center" wrapText="1" indent="1"/>
    </xf>
    <xf numFmtId="0" fontId="18" fillId="9" borderId="12" xfId="0" applyFont="1" applyFill="1" applyBorder="1" applyAlignment="1">
      <alignment horizontal="left" vertical="center" wrapText="1" indent="1"/>
    </xf>
    <xf numFmtId="0" fontId="18" fillId="9" borderId="13" xfId="0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left" vertical="center" wrapText="1" indent="1"/>
    </xf>
    <xf numFmtId="0" fontId="14" fillId="10" borderId="12" xfId="0" applyFont="1" applyFill="1" applyBorder="1" applyAlignment="1">
      <alignment horizontal="left" vertical="center" wrapText="1" indent="1"/>
    </xf>
    <xf numFmtId="0" fontId="19" fillId="8" borderId="16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left" vertical="center" wrapText="1" indent="1"/>
    </xf>
    <xf numFmtId="0" fontId="13" fillId="10" borderId="21" xfId="0" applyFont="1" applyFill="1" applyBorder="1" applyAlignment="1">
      <alignment horizontal="left" vertical="center" wrapText="1" indent="1"/>
    </xf>
    <xf numFmtId="0" fontId="14" fillId="10" borderId="22" xfId="0" applyFont="1" applyFill="1" applyBorder="1" applyAlignment="1">
      <alignment horizontal="left" vertical="center" wrapText="1" indent="1"/>
    </xf>
    <xf numFmtId="0" fontId="14" fillId="10" borderId="23" xfId="0" applyFont="1" applyFill="1" applyBorder="1" applyAlignment="1">
      <alignment horizontal="left" vertical="center" wrapText="1" indent="1"/>
    </xf>
    <xf numFmtId="0" fontId="14" fillId="10" borderId="24" xfId="0" applyFont="1" applyFill="1" applyBorder="1" applyAlignment="1">
      <alignment horizontal="left" vertical="center" wrapText="1" indent="1"/>
    </xf>
    <xf numFmtId="0" fontId="14" fillId="10" borderId="25" xfId="0" applyFont="1" applyFill="1" applyBorder="1" applyAlignment="1">
      <alignment horizontal="left" vertical="center" wrapText="1" indent="1"/>
    </xf>
    <xf numFmtId="0" fontId="14" fillId="10" borderId="26" xfId="0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4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19" fillId="8" borderId="1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9" fillId="11" borderId="16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2597-5B09-4E22-AD9B-882B145F39B7}">
  <dimension ref="A1:AD25"/>
  <sheetViews>
    <sheetView zoomScale="90" zoomScaleNormal="90" workbookViewId="0">
      <selection activeCell="E20" sqref="E20"/>
    </sheetView>
  </sheetViews>
  <sheetFormatPr defaultColWidth="9.1796875" defaultRowHeight="12.5"/>
  <cols>
    <col min="1" max="1" width="13" style="92" customWidth="1"/>
    <col min="2" max="2" width="27.453125" style="93" customWidth="1"/>
    <col min="3" max="3" width="41.81640625" style="93" customWidth="1"/>
    <col min="4" max="4" width="8.26953125" style="93" hidden="1" customWidth="1"/>
    <col min="5" max="5" width="26.453125" style="93" customWidth="1"/>
    <col min="6" max="6" width="13.453125" style="94" customWidth="1"/>
    <col min="7" max="7" width="12.1796875" style="95" customWidth="1"/>
    <col min="8" max="8" width="12" style="70" customWidth="1"/>
    <col min="9" max="9" width="12" style="96" customWidth="1"/>
    <col min="10" max="10" width="9" style="70" hidden="1" customWidth="1"/>
    <col min="11" max="11" width="9.7265625" style="70" hidden="1" customWidth="1"/>
    <col min="12" max="12" width="12" style="96" hidden="1" customWidth="1"/>
    <col min="13" max="13" width="9" style="70" hidden="1" customWidth="1"/>
    <col min="14" max="14" width="9.7265625" style="70" hidden="1" customWidth="1"/>
    <col min="15" max="15" width="12" style="96" hidden="1" customWidth="1"/>
    <col min="16" max="16" width="9" style="70" hidden="1" customWidth="1"/>
    <col min="17" max="17" width="9.26953125" style="69" hidden="1" customWidth="1"/>
    <col min="18" max="18" width="10" style="97" hidden="1" customWidth="1"/>
    <col min="19" max="19" width="0" style="2" hidden="1" customWidth="1"/>
    <col min="20" max="16384" width="9.1796875" style="92"/>
  </cols>
  <sheetData>
    <row r="1" spans="1:30" s="1" customFormat="1" ht="25.5" thickBot="1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2"/>
    </row>
    <row r="2" spans="1:30" s="3" customFormat="1" ht="39.5" thickBot="1">
      <c r="B2" s="4" t="s">
        <v>1</v>
      </c>
      <c r="C2" s="5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10" t="s">
        <v>7</v>
      </c>
      <c r="I2" s="1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0" t="s">
        <v>13</v>
      </c>
      <c r="O2" s="11" t="s">
        <v>14</v>
      </c>
      <c r="P2" s="12" t="s">
        <v>15</v>
      </c>
      <c r="Q2" s="12" t="s">
        <v>16</v>
      </c>
      <c r="R2" s="13" t="s">
        <v>17</v>
      </c>
      <c r="S2" s="14" t="s">
        <v>18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s="23" customFormat="1" ht="28">
      <c r="A3" s="101" t="s">
        <v>19</v>
      </c>
      <c r="B3" s="16" t="s">
        <v>20</v>
      </c>
      <c r="C3" s="17"/>
      <c r="D3" s="18"/>
      <c r="E3" s="19"/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2"/>
    </row>
    <row r="4" spans="1:30" s="23" customFormat="1" ht="42">
      <c r="A4" s="102"/>
      <c r="B4" s="24" t="s">
        <v>21</v>
      </c>
      <c r="C4" s="25" t="s">
        <v>22</v>
      </c>
      <c r="D4" s="26" t="s">
        <v>23</v>
      </c>
      <c r="E4" s="27" t="s">
        <v>24</v>
      </c>
      <c r="F4" s="28" t="s">
        <v>25</v>
      </c>
      <c r="G4" s="29">
        <v>0.05</v>
      </c>
      <c r="H4" s="29">
        <v>0.08</v>
      </c>
      <c r="I4" s="30"/>
      <c r="J4" s="30"/>
      <c r="K4" s="31">
        <v>0.1</v>
      </c>
      <c r="L4" s="30"/>
      <c r="M4" s="30"/>
      <c r="N4" s="31">
        <v>0.12</v>
      </c>
      <c r="O4" s="30"/>
      <c r="P4" s="30"/>
      <c r="Q4" s="31">
        <v>0.12</v>
      </c>
      <c r="R4" s="32"/>
    </row>
    <row r="5" spans="1:30" s="41" customFormat="1" ht="78">
      <c r="A5" s="102"/>
      <c r="B5" s="33"/>
      <c r="C5" s="34" t="s">
        <v>26</v>
      </c>
      <c r="D5" s="35" t="s">
        <v>23</v>
      </c>
      <c r="E5" s="36" t="s">
        <v>27</v>
      </c>
      <c r="F5" s="37" t="s">
        <v>28</v>
      </c>
      <c r="G5" s="38">
        <v>0</v>
      </c>
      <c r="H5" s="39" t="s">
        <v>29</v>
      </c>
      <c r="I5" s="39"/>
      <c r="J5" s="39"/>
      <c r="K5" s="39" t="s">
        <v>30</v>
      </c>
      <c r="L5" s="39"/>
      <c r="M5" s="39"/>
      <c r="N5" s="39" t="s">
        <v>31</v>
      </c>
      <c r="O5" s="39"/>
      <c r="P5" s="39"/>
      <c r="Q5" s="39" t="s">
        <v>31</v>
      </c>
      <c r="R5" s="40"/>
    </row>
    <row r="6" spans="1:30" s="23" customFormat="1" ht="56">
      <c r="A6" s="102"/>
      <c r="B6" s="24"/>
      <c r="C6" s="25" t="s">
        <v>32</v>
      </c>
      <c r="D6" s="26" t="s">
        <v>23</v>
      </c>
      <c r="E6" s="27" t="s">
        <v>33</v>
      </c>
      <c r="F6" s="28" t="s">
        <v>34</v>
      </c>
      <c r="G6" s="29"/>
      <c r="H6" s="42">
        <v>250</v>
      </c>
      <c r="I6" s="30"/>
      <c r="J6" s="30"/>
      <c r="K6" s="42">
        <v>300</v>
      </c>
      <c r="L6" s="30"/>
      <c r="M6" s="30"/>
      <c r="N6" s="42">
        <v>350</v>
      </c>
      <c r="O6" s="30"/>
      <c r="P6" s="30"/>
      <c r="Q6" s="42">
        <v>400</v>
      </c>
      <c r="R6" s="32"/>
    </row>
    <row r="7" spans="1:30" s="41" customFormat="1" ht="42.5" thickBot="1">
      <c r="A7" s="102"/>
      <c r="B7" s="33"/>
      <c r="C7" s="34" t="s">
        <v>35</v>
      </c>
      <c r="D7" s="35" t="s">
        <v>23</v>
      </c>
      <c r="E7" s="36" t="s">
        <v>36</v>
      </c>
      <c r="F7" s="37" t="s">
        <v>37</v>
      </c>
      <c r="G7" s="38"/>
      <c r="H7" s="43">
        <v>0.05</v>
      </c>
      <c r="I7" s="39"/>
      <c r="J7" s="39"/>
      <c r="K7" s="43">
        <v>0.08</v>
      </c>
      <c r="L7" s="39"/>
      <c r="M7" s="39"/>
      <c r="N7" s="43">
        <v>0.1</v>
      </c>
      <c r="O7" s="39"/>
      <c r="P7" s="39"/>
      <c r="Q7" s="43">
        <v>0.1</v>
      </c>
      <c r="R7" s="40"/>
    </row>
    <row r="8" spans="1:30" s="51" customFormat="1" ht="34.5" customHeight="1">
      <c r="A8" s="103" t="s">
        <v>39</v>
      </c>
      <c r="B8" s="44" t="s">
        <v>40</v>
      </c>
      <c r="C8" s="45" t="s">
        <v>41</v>
      </c>
      <c r="D8" s="46" t="s">
        <v>23</v>
      </c>
      <c r="E8" s="47" t="s">
        <v>42</v>
      </c>
      <c r="F8" s="48" t="s">
        <v>43</v>
      </c>
      <c r="G8" s="49"/>
      <c r="H8" s="49">
        <v>5</v>
      </c>
      <c r="I8" s="49"/>
      <c r="J8" s="49"/>
      <c r="K8" s="49">
        <v>2</v>
      </c>
      <c r="L8" s="49"/>
      <c r="M8" s="49"/>
      <c r="N8" s="49">
        <v>4</v>
      </c>
      <c r="O8" s="49"/>
      <c r="P8" s="49"/>
      <c r="Q8" s="49">
        <v>5</v>
      </c>
      <c r="R8" s="50"/>
    </row>
    <row r="9" spans="1:30" s="51" customFormat="1" ht="34.5" customHeight="1">
      <c r="A9" s="104"/>
      <c r="B9" s="52" t="s">
        <v>44</v>
      </c>
      <c r="C9" s="53" t="s">
        <v>45</v>
      </c>
      <c r="D9" s="54" t="s">
        <v>23</v>
      </c>
      <c r="E9" s="55" t="s">
        <v>46</v>
      </c>
      <c r="F9" s="56" t="s">
        <v>47</v>
      </c>
      <c r="G9" s="57">
        <v>20</v>
      </c>
      <c r="H9" s="57">
        <f>($Q9-$G9)*33%+$G9</f>
        <v>21.98</v>
      </c>
      <c r="I9" s="57"/>
      <c r="J9" s="57"/>
      <c r="K9" s="57">
        <f>($Q9-$G9)*66%+$G9</f>
        <v>23.96</v>
      </c>
      <c r="L9" s="57"/>
      <c r="M9" s="57"/>
      <c r="N9" s="57">
        <f>($Q9-$G9)*100%+$G9</f>
        <v>26</v>
      </c>
      <c r="O9" s="57"/>
      <c r="P9" s="57"/>
      <c r="Q9" s="57">
        <v>26</v>
      </c>
      <c r="R9" s="58"/>
    </row>
    <row r="10" spans="1:30" s="70" customFormat="1" ht="13" customHeight="1">
      <c r="A10" s="104"/>
      <c r="B10" s="59"/>
      <c r="C10" s="60"/>
      <c r="D10" s="61"/>
      <c r="E10" s="62"/>
      <c r="F10" s="63" t="s">
        <v>48</v>
      </c>
      <c r="G10" s="64">
        <v>5</v>
      </c>
      <c r="H10" s="65">
        <f>($Q10-$G10)*33%+$G10</f>
        <v>5.66</v>
      </c>
      <c r="I10" s="66"/>
      <c r="J10" s="67"/>
      <c r="K10" s="65">
        <f>($Q10-$G10)*66%+$G10</f>
        <v>6.32</v>
      </c>
      <c r="L10" s="65"/>
      <c r="M10" s="65"/>
      <c r="N10" s="65">
        <f>($Q10-$G10)*100%+$G10</f>
        <v>7</v>
      </c>
      <c r="O10" s="65"/>
      <c r="P10" s="65"/>
      <c r="Q10" s="64">
        <v>7</v>
      </c>
      <c r="R10" s="68"/>
      <c r="S10" s="69"/>
    </row>
    <row r="11" spans="1:30" s="70" customFormat="1" ht="13" customHeight="1">
      <c r="A11" s="104"/>
      <c r="B11" s="59"/>
      <c r="C11" s="60"/>
      <c r="D11" s="61"/>
      <c r="E11" s="62"/>
      <c r="F11" s="63" t="s">
        <v>49</v>
      </c>
      <c r="G11" s="64">
        <v>7</v>
      </c>
      <c r="H11" s="65">
        <f>($Q11-$G11)*33%+$G11</f>
        <v>8.4849999999999994</v>
      </c>
      <c r="I11" s="66"/>
      <c r="J11" s="67"/>
      <c r="K11" s="65">
        <f>($Q11-$G11)*66%+$G11</f>
        <v>9.9700000000000006</v>
      </c>
      <c r="L11" s="65"/>
      <c r="M11" s="65"/>
      <c r="N11" s="65">
        <f>($Q11-$G11)*100%+$G11</f>
        <v>11.5</v>
      </c>
      <c r="O11" s="65"/>
      <c r="P11" s="65"/>
      <c r="Q11" s="64">
        <v>11.5</v>
      </c>
      <c r="R11" s="68"/>
      <c r="S11" s="69"/>
    </row>
    <row r="12" spans="1:30" s="51" customFormat="1" ht="48" customHeight="1">
      <c r="A12" s="104"/>
      <c r="B12" s="44" t="s">
        <v>50</v>
      </c>
      <c r="C12" s="45" t="s">
        <v>51</v>
      </c>
      <c r="D12" s="46" t="s">
        <v>23</v>
      </c>
      <c r="E12" s="47" t="s">
        <v>52</v>
      </c>
      <c r="F12" s="71" t="s">
        <v>43</v>
      </c>
      <c r="G12" s="72"/>
      <c r="H12" s="72">
        <f>Q12*40%</f>
        <v>16000</v>
      </c>
      <c r="I12" s="72"/>
      <c r="J12" s="72"/>
      <c r="K12" s="72">
        <f>Q12*75%</f>
        <v>30000</v>
      </c>
      <c r="L12" s="72"/>
      <c r="M12" s="72"/>
      <c r="N12" s="72">
        <f>Q12</f>
        <v>40000</v>
      </c>
      <c r="O12" s="72"/>
      <c r="P12" s="72"/>
      <c r="Q12" s="72">
        <v>40000</v>
      </c>
      <c r="R12" s="73"/>
    </row>
    <row r="13" spans="1:30" s="81" customFormat="1" ht="27.65" customHeight="1">
      <c r="A13" s="104"/>
      <c r="B13" s="74"/>
      <c r="C13" s="75"/>
      <c r="D13" s="76" t="s">
        <v>23</v>
      </c>
      <c r="E13" s="77"/>
      <c r="F13" s="78"/>
      <c r="G13" s="79"/>
      <c r="H13" s="79" t="str">
        <f>CONCATENATE("Dont"," ", H12/2," ","Femmes")</f>
        <v>Dont 8000 Femmes</v>
      </c>
      <c r="I13" s="79"/>
      <c r="J13" s="79"/>
      <c r="K13" s="79" t="str">
        <f>CONCATENATE("Dont"," ", K12/2," ","Femmes")</f>
        <v>Dont 15000 Femmes</v>
      </c>
      <c r="L13" s="79"/>
      <c r="M13" s="79"/>
      <c r="N13" s="79" t="str">
        <f>CONCATENATE("Dont"," ", N12/2," ","Femmes")</f>
        <v>Dont 20000 Femmes</v>
      </c>
      <c r="O13" s="79"/>
      <c r="P13" s="79"/>
      <c r="Q13" s="79" t="str">
        <f>CONCATENATE("Dont"," ", Q12/2," ","Femmes")</f>
        <v>Dont 20000 Femmes</v>
      </c>
      <c r="R13" s="80"/>
    </row>
    <row r="14" spans="1:30" s="51" customFormat="1" ht="34.5" customHeight="1" thickBot="1">
      <c r="A14" s="105"/>
      <c r="B14" s="52" t="s">
        <v>53</v>
      </c>
      <c r="C14" s="53" t="s">
        <v>54</v>
      </c>
      <c r="D14" s="54" t="s">
        <v>23</v>
      </c>
      <c r="E14" s="55" t="s">
        <v>55</v>
      </c>
      <c r="F14" s="82" t="s">
        <v>43</v>
      </c>
      <c r="G14" s="57"/>
      <c r="H14" s="57">
        <v>4</v>
      </c>
      <c r="I14" s="57"/>
      <c r="J14" s="57"/>
      <c r="K14" s="57">
        <v>5</v>
      </c>
      <c r="L14" s="57"/>
      <c r="M14" s="57"/>
      <c r="N14" s="57">
        <v>5</v>
      </c>
      <c r="O14" s="57"/>
      <c r="P14" s="57"/>
      <c r="Q14" s="57">
        <v>5</v>
      </c>
      <c r="R14" s="58"/>
    </row>
    <row r="15" spans="1:30" s="51" customFormat="1" ht="48" customHeight="1">
      <c r="A15" s="106" t="s">
        <v>56</v>
      </c>
      <c r="B15" s="44" t="s">
        <v>57</v>
      </c>
      <c r="C15" s="45" t="s">
        <v>58</v>
      </c>
      <c r="D15" s="46" t="s">
        <v>23</v>
      </c>
      <c r="E15" s="47" t="s">
        <v>38</v>
      </c>
      <c r="F15" s="71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3"/>
    </row>
    <row r="16" spans="1:30" s="51" customFormat="1" ht="34.5" customHeight="1">
      <c r="A16" s="107"/>
      <c r="B16" s="52" t="s">
        <v>59</v>
      </c>
      <c r="C16" s="53" t="s">
        <v>60</v>
      </c>
      <c r="D16" s="54" t="s">
        <v>23</v>
      </c>
      <c r="E16" s="55" t="s">
        <v>61</v>
      </c>
      <c r="F16" s="82" t="s">
        <v>34</v>
      </c>
      <c r="G16" s="57"/>
      <c r="H16" s="57">
        <v>100</v>
      </c>
      <c r="I16" s="57"/>
      <c r="J16" s="57"/>
      <c r="K16" s="57">
        <v>120</v>
      </c>
      <c r="L16" s="57"/>
      <c r="M16" s="57"/>
      <c r="N16" s="57">
        <v>150</v>
      </c>
      <c r="O16" s="57"/>
      <c r="P16" s="57"/>
      <c r="Q16" s="57">
        <v>150</v>
      </c>
      <c r="R16" s="58"/>
    </row>
    <row r="17" spans="1:18" s="51" customFormat="1" ht="34.5" customHeight="1" thickBot="1">
      <c r="A17" s="83"/>
      <c r="B17" s="52" t="s">
        <v>62</v>
      </c>
      <c r="C17" s="53" t="s">
        <v>63</v>
      </c>
      <c r="D17" s="54" t="s">
        <v>23</v>
      </c>
      <c r="E17" s="55" t="s">
        <v>64</v>
      </c>
      <c r="F17" s="82" t="s">
        <v>65</v>
      </c>
      <c r="G17" s="57"/>
      <c r="H17" s="57">
        <v>100</v>
      </c>
      <c r="I17" s="57"/>
      <c r="J17" s="57"/>
      <c r="K17" s="57">
        <v>150</v>
      </c>
      <c r="L17" s="57"/>
      <c r="M17" s="57"/>
      <c r="N17" s="57">
        <v>200</v>
      </c>
      <c r="O17" s="57"/>
      <c r="P17" s="57"/>
      <c r="Q17" s="57">
        <f>+N17</f>
        <v>200</v>
      </c>
      <c r="R17" s="58"/>
    </row>
    <row r="18" spans="1:18" s="51" customFormat="1" ht="14.15" customHeight="1">
      <c r="A18" s="106" t="s">
        <v>66</v>
      </c>
      <c r="B18" s="44" t="s">
        <v>67</v>
      </c>
      <c r="C18" s="45" t="s">
        <v>68</v>
      </c>
      <c r="D18" s="46" t="s">
        <v>23</v>
      </c>
      <c r="E18" s="47"/>
      <c r="F18" s="71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3"/>
    </row>
    <row r="19" spans="1:18" s="51" customFormat="1" ht="75" customHeight="1">
      <c r="A19" s="107"/>
      <c r="B19" s="52" t="s">
        <v>69</v>
      </c>
      <c r="C19" s="53" t="s">
        <v>70</v>
      </c>
      <c r="D19" s="54" t="s">
        <v>23</v>
      </c>
      <c r="E19" s="55" t="s">
        <v>38</v>
      </c>
      <c r="F19" s="82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8"/>
    </row>
    <row r="20" spans="1:18" s="51" customFormat="1" ht="37.5">
      <c r="A20" s="107"/>
      <c r="B20" s="44" t="s">
        <v>71</v>
      </c>
      <c r="C20" s="45" t="s">
        <v>72</v>
      </c>
      <c r="D20" s="46" t="s">
        <v>23</v>
      </c>
      <c r="E20" s="47" t="s">
        <v>72</v>
      </c>
      <c r="F20" s="71"/>
      <c r="G20" s="72"/>
      <c r="H20" s="72">
        <f>+N20*40%</f>
        <v>240000</v>
      </c>
      <c r="I20" s="72"/>
      <c r="J20" s="72"/>
      <c r="K20" s="72">
        <f>N20*75%</f>
        <v>450000</v>
      </c>
      <c r="L20" s="72"/>
      <c r="M20" s="72"/>
      <c r="N20" s="72">
        <v>600000</v>
      </c>
      <c r="O20" s="72"/>
      <c r="P20" s="72"/>
      <c r="Q20" s="72">
        <v>600000</v>
      </c>
      <c r="R20" s="73"/>
    </row>
    <row r="21" spans="1:18" s="51" customFormat="1" ht="14.5" thickBot="1">
      <c r="A21" s="107"/>
      <c r="B21" s="52" t="s">
        <v>73</v>
      </c>
      <c r="C21" s="53" t="s">
        <v>74</v>
      </c>
      <c r="D21" s="54" t="s">
        <v>23</v>
      </c>
      <c r="E21" s="55" t="s">
        <v>74</v>
      </c>
      <c r="F21" s="82"/>
      <c r="G21" s="57"/>
      <c r="H21" s="57">
        <f>+H20/5</f>
        <v>48000</v>
      </c>
      <c r="I21" s="57"/>
      <c r="J21" s="57"/>
      <c r="K21" s="57">
        <f>+K20/5</f>
        <v>90000</v>
      </c>
      <c r="L21" s="57"/>
      <c r="M21" s="57"/>
      <c r="N21" s="57">
        <v>120000</v>
      </c>
      <c r="O21" s="57"/>
      <c r="P21" s="57"/>
      <c r="Q21" s="57">
        <v>120000</v>
      </c>
      <c r="R21" s="58"/>
    </row>
    <row r="22" spans="1:18" s="51" customFormat="1" ht="75" customHeight="1">
      <c r="A22" s="107"/>
      <c r="B22" s="44" t="s">
        <v>75</v>
      </c>
      <c r="C22" s="45" t="s">
        <v>76</v>
      </c>
      <c r="D22" s="46" t="s">
        <v>23</v>
      </c>
      <c r="E22" s="47" t="s">
        <v>77</v>
      </c>
      <c r="F22" s="71" t="s">
        <v>37</v>
      </c>
      <c r="G22" s="72"/>
      <c r="H22" s="72">
        <v>75</v>
      </c>
      <c r="I22" s="72"/>
      <c r="J22" s="72"/>
      <c r="K22" s="72">
        <v>80</v>
      </c>
      <c r="L22" s="72"/>
      <c r="M22" s="72"/>
      <c r="N22" s="72">
        <v>85</v>
      </c>
      <c r="O22" s="72"/>
      <c r="P22" s="72"/>
      <c r="Q22" s="72">
        <v>85</v>
      </c>
      <c r="R22" s="73"/>
    </row>
    <row r="23" spans="1:18" s="51" customFormat="1" ht="38" thickBot="1">
      <c r="A23" s="108"/>
      <c r="B23" s="52" t="s">
        <v>78</v>
      </c>
      <c r="C23" s="53" t="s">
        <v>79</v>
      </c>
      <c r="D23" s="54" t="s">
        <v>23</v>
      </c>
      <c r="E23" s="55" t="s">
        <v>38</v>
      </c>
      <c r="F23" s="82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8"/>
    </row>
    <row r="24" spans="1:18" s="51" customFormat="1" ht="25">
      <c r="A24" s="98" t="s">
        <v>80</v>
      </c>
      <c r="B24" s="44" t="s">
        <v>81</v>
      </c>
      <c r="C24" s="45" t="s">
        <v>82</v>
      </c>
      <c r="D24" s="46" t="s">
        <v>23</v>
      </c>
      <c r="E24" s="84" t="s">
        <v>38</v>
      </c>
      <c r="F24" s="71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3"/>
    </row>
    <row r="25" spans="1:18" s="51" customFormat="1" ht="25.5" thickBot="1">
      <c r="A25" s="99"/>
      <c r="B25" s="85" t="s">
        <v>83</v>
      </c>
      <c r="C25" s="86" t="s">
        <v>84</v>
      </c>
      <c r="D25" s="87" t="s">
        <v>23</v>
      </c>
      <c r="E25" s="88" t="s">
        <v>38</v>
      </c>
      <c r="F25" s="8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1"/>
    </row>
  </sheetData>
  <mergeCells count="6">
    <mergeCell ref="A24:A25"/>
    <mergeCell ref="B1:R1"/>
    <mergeCell ref="A3:A7"/>
    <mergeCell ref="A8:A14"/>
    <mergeCell ref="A15:A16"/>
    <mergeCell ref="A18:A23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88B9-02FF-491A-B7AF-F2F92761E997}">
  <dimension ref="A1:H55"/>
  <sheetViews>
    <sheetView tabSelected="1" topLeftCell="A37" workbookViewId="0">
      <selection sqref="A1:H55"/>
    </sheetView>
  </sheetViews>
  <sheetFormatPr defaultRowHeight="12.5"/>
  <cols>
    <col min="1" max="1" width="19.453125" customWidth="1"/>
    <col min="2" max="2" width="7.08984375" bestFit="1" customWidth="1"/>
    <col min="3" max="3" width="35" bestFit="1" customWidth="1"/>
    <col min="4" max="4" width="7.81640625" bestFit="1" customWidth="1"/>
    <col min="5" max="5" width="7.7265625" bestFit="1" customWidth="1"/>
    <col min="6" max="6" width="6.90625" bestFit="1" customWidth="1"/>
    <col min="7" max="8" width="7.7265625" bestFit="1" customWidth="1"/>
  </cols>
  <sheetData>
    <row r="1" spans="1:8" ht="43.5">
      <c r="B1" s="109" t="s">
        <v>85</v>
      </c>
      <c r="C1" s="109" t="s">
        <v>86</v>
      </c>
      <c r="D1" s="109" t="s">
        <v>87</v>
      </c>
      <c r="E1" s="109" t="s">
        <v>88</v>
      </c>
      <c r="F1" s="109" t="s">
        <v>89</v>
      </c>
      <c r="G1" s="109" t="s">
        <v>90</v>
      </c>
      <c r="H1" s="109" t="s">
        <v>90</v>
      </c>
    </row>
    <row r="2" spans="1:8" ht="14.5">
      <c r="A2" s="113" t="s">
        <v>110</v>
      </c>
      <c r="B2" s="110" t="s">
        <v>91</v>
      </c>
      <c r="C2" s="110" t="s">
        <v>92</v>
      </c>
      <c r="D2" s="111">
        <v>208</v>
      </c>
      <c r="E2" s="111">
        <v>183</v>
      </c>
      <c r="F2" s="111">
        <v>170</v>
      </c>
      <c r="G2" s="112">
        <f>E2/D2</f>
        <v>0.87980769230769229</v>
      </c>
      <c r="H2" s="112">
        <f>F2/D2</f>
        <v>0.81730769230769229</v>
      </c>
    </row>
    <row r="3" spans="1:8" ht="14.5">
      <c r="A3" s="114"/>
      <c r="B3" s="110" t="s">
        <v>93</v>
      </c>
      <c r="C3" s="110" t="s">
        <v>94</v>
      </c>
      <c r="D3" s="111">
        <v>816</v>
      </c>
      <c r="E3" s="111">
        <v>359</v>
      </c>
      <c r="F3" s="111">
        <v>308</v>
      </c>
      <c r="G3" s="112">
        <f t="shared" ref="G3:G5" si="0">E3/D3</f>
        <v>0.43995098039215685</v>
      </c>
      <c r="H3" s="112">
        <f t="shared" ref="H3:H5" si="1">F3/D3</f>
        <v>0.37745098039215685</v>
      </c>
    </row>
    <row r="4" spans="1:8" ht="14.5">
      <c r="A4" s="114"/>
      <c r="B4" s="110" t="s">
        <v>95</v>
      </c>
      <c r="C4" s="110" t="s">
        <v>96</v>
      </c>
      <c r="D4" s="111">
        <v>1161</v>
      </c>
      <c r="E4" s="111">
        <v>794</v>
      </c>
      <c r="F4" s="111">
        <v>753</v>
      </c>
      <c r="G4" s="112">
        <f t="shared" si="0"/>
        <v>0.6838931955211025</v>
      </c>
      <c r="H4" s="112">
        <f t="shared" si="1"/>
        <v>0.64857881136950901</v>
      </c>
    </row>
    <row r="5" spans="1:8" ht="14.5">
      <c r="A5" s="114"/>
      <c r="B5" s="110" t="s">
        <v>97</v>
      </c>
      <c r="C5" s="110" t="s">
        <v>98</v>
      </c>
      <c r="D5" s="111">
        <v>80</v>
      </c>
      <c r="E5" s="111">
        <v>63</v>
      </c>
      <c r="F5" s="111">
        <v>20</v>
      </c>
      <c r="G5" s="112">
        <f t="shared" si="0"/>
        <v>0.78749999999999998</v>
      </c>
      <c r="H5" s="112">
        <f t="shared" si="1"/>
        <v>0.25</v>
      </c>
    </row>
    <row r="6" spans="1:8" ht="14.5">
      <c r="A6" s="114"/>
      <c r="B6" s="110" t="s">
        <v>99</v>
      </c>
      <c r="C6" s="110" t="s">
        <v>100</v>
      </c>
      <c r="D6" s="111" t="s">
        <v>101</v>
      </c>
      <c r="E6" s="111" t="s">
        <v>101</v>
      </c>
      <c r="F6" s="111" t="s">
        <v>101</v>
      </c>
      <c r="G6" s="112"/>
      <c r="H6" s="112"/>
    </row>
    <row r="8" spans="1:8" ht="14.5">
      <c r="A8" s="115"/>
      <c r="B8" s="110"/>
      <c r="C8" s="110"/>
      <c r="D8" s="111"/>
      <c r="E8" s="111"/>
      <c r="F8" s="111"/>
      <c r="G8" s="112"/>
      <c r="H8" s="112"/>
    </row>
    <row r="9" spans="1:8" ht="14.5">
      <c r="A9" s="113" t="s">
        <v>103</v>
      </c>
      <c r="B9" s="110" t="s">
        <v>91</v>
      </c>
      <c r="C9" s="110" t="s">
        <v>92</v>
      </c>
      <c r="D9" s="111">
        <f>D15+D21+D27+D33+D39+D45+D51</f>
        <v>208</v>
      </c>
      <c r="E9" s="111"/>
      <c r="F9" s="111">
        <f t="shared" ref="F9" si="2">F15+F21+F27+F33+F39+F45+F51</f>
        <v>151</v>
      </c>
      <c r="G9" s="112">
        <f>E9/D9</f>
        <v>0</v>
      </c>
      <c r="H9" s="112">
        <f>F9/D9</f>
        <v>0.72596153846153844</v>
      </c>
    </row>
    <row r="10" spans="1:8" ht="14.5">
      <c r="A10" s="114"/>
      <c r="B10" s="110" t="s">
        <v>93</v>
      </c>
      <c r="C10" s="110" t="s">
        <v>94</v>
      </c>
      <c r="D10" s="111">
        <f>D16+D22+D28+D34+D40+D46+D52</f>
        <v>1224</v>
      </c>
      <c r="E10" s="111"/>
      <c r="F10" s="111">
        <f t="shared" ref="F10" si="3">F16+F22+F28+F34+F40+F46+F52</f>
        <v>344</v>
      </c>
      <c r="G10" s="112">
        <f t="shared" ref="G10:G12" si="4">E10/D10</f>
        <v>0</v>
      </c>
      <c r="H10" s="112">
        <f t="shared" ref="H10:H12" si="5">F10/D10</f>
        <v>0.28104575163398693</v>
      </c>
    </row>
    <row r="11" spans="1:8" ht="14.5">
      <c r="A11" s="114"/>
      <c r="B11" s="110" t="s">
        <v>95</v>
      </c>
      <c r="C11" s="110" t="s">
        <v>96</v>
      </c>
      <c r="D11" s="111">
        <f t="shared" ref="D11:F11" si="6">D17+D23+D29+D35+D41+D47+D53</f>
        <v>1223</v>
      </c>
      <c r="E11" s="111"/>
      <c r="F11" s="111">
        <f t="shared" si="6"/>
        <v>961</v>
      </c>
      <c r="G11" s="112">
        <f t="shared" si="4"/>
        <v>0</v>
      </c>
      <c r="H11" s="112">
        <f t="shared" si="5"/>
        <v>0.78577269010629602</v>
      </c>
    </row>
    <row r="12" spans="1:8" ht="14.5">
      <c r="A12" s="114"/>
      <c r="B12" s="110" t="s">
        <v>97</v>
      </c>
      <c r="C12" s="110" t="s">
        <v>98</v>
      </c>
      <c r="D12" s="111">
        <f t="shared" ref="D12:F12" si="7">D18+D24+D30+D36+D42+D48+D54</f>
        <v>162</v>
      </c>
      <c r="E12" s="111"/>
      <c r="F12" s="111">
        <f t="shared" si="7"/>
        <v>29</v>
      </c>
      <c r="G12" s="112">
        <f t="shared" si="4"/>
        <v>0</v>
      </c>
      <c r="H12" s="112">
        <f t="shared" si="5"/>
        <v>0.17901234567901234</v>
      </c>
    </row>
    <row r="13" spans="1:8" ht="14.5">
      <c r="A13" s="114"/>
      <c r="B13" s="110" t="s">
        <v>99</v>
      </c>
      <c r="C13" s="110" t="s">
        <v>100</v>
      </c>
      <c r="D13" s="111"/>
      <c r="E13" s="111"/>
      <c r="F13" s="111"/>
      <c r="G13" s="112"/>
      <c r="H13" s="112"/>
    </row>
    <row r="15" spans="1:8" ht="14.5">
      <c r="A15" s="113" t="s">
        <v>102</v>
      </c>
      <c r="B15" s="110" t="s">
        <v>91</v>
      </c>
      <c r="C15" s="110" t="s">
        <v>92</v>
      </c>
      <c r="D15" s="111">
        <v>19</v>
      </c>
      <c r="E15" s="111"/>
      <c r="F15" s="111">
        <v>19</v>
      </c>
      <c r="G15" s="112">
        <f>E15/D15</f>
        <v>0</v>
      </c>
      <c r="H15" s="112">
        <f>F15/D15</f>
        <v>1</v>
      </c>
    </row>
    <row r="16" spans="1:8" ht="14.5">
      <c r="A16" s="114"/>
      <c r="B16" s="110" t="s">
        <v>93</v>
      </c>
      <c r="C16" s="110" t="s">
        <v>94</v>
      </c>
      <c r="D16" s="111">
        <v>237</v>
      </c>
      <c r="E16" s="111"/>
      <c r="F16" s="111">
        <v>72</v>
      </c>
      <c r="G16" s="112">
        <f t="shared" ref="G16:G18" si="8">E16/D16</f>
        <v>0</v>
      </c>
      <c r="H16" s="112">
        <f t="shared" ref="H16:H18" si="9">F16/D16</f>
        <v>0.30379746835443039</v>
      </c>
    </row>
    <row r="17" spans="1:8" ht="14.5">
      <c r="A17" s="114"/>
      <c r="B17" s="110" t="s">
        <v>95</v>
      </c>
      <c r="C17" s="110" t="s">
        <v>96</v>
      </c>
      <c r="D17" s="111">
        <v>128</v>
      </c>
      <c r="E17" s="111"/>
      <c r="F17" s="111">
        <v>113</v>
      </c>
      <c r="G17" s="112">
        <f t="shared" si="8"/>
        <v>0</v>
      </c>
      <c r="H17" s="112">
        <f t="shared" si="9"/>
        <v>0.8828125</v>
      </c>
    </row>
    <row r="18" spans="1:8" ht="14.5">
      <c r="A18" s="114"/>
      <c r="B18" s="110" t="s">
        <v>97</v>
      </c>
      <c r="C18" s="110" t="s">
        <v>98</v>
      </c>
      <c r="D18" s="111">
        <v>18</v>
      </c>
      <c r="E18" s="111"/>
      <c r="F18" s="111">
        <v>9</v>
      </c>
      <c r="G18" s="112">
        <f t="shared" si="8"/>
        <v>0</v>
      </c>
      <c r="H18" s="112">
        <f t="shared" si="9"/>
        <v>0.5</v>
      </c>
    </row>
    <row r="19" spans="1:8" ht="14.5">
      <c r="A19" s="114"/>
      <c r="B19" s="110" t="s">
        <v>99</v>
      </c>
      <c r="C19" s="110" t="s">
        <v>100</v>
      </c>
      <c r="D19" s="111" t="s">
        <v>101</v>
      </c>
      <c r="E19" s="111" t="s">
        <v>101</v>
      </c>
      <c r="F19" s="111" t="s">
        <v>101</v>
      </c>
      <c r="G19" s="112"/>
      <c r="H19" s="112"/>
    </row>
    <row r="21" spans="1:8" ht="14.5">
      <c r="A21" s="113" t="s">
        <v>104</v>
      </c>
      <c r="B21" s="110" t="s">
        <v>91</v>
      </c>
      <c r="C21" s="110" t="s">
        <v>92</v>
      </c>
      <c r="D21" s="111">
        <v>48</v>
      </c>
      <c r="E21" s="111"/>
      <c r="F21" s="111">
        <v>37</v>
      </c>
      <c r="G21" s="112">
        <f>E21/D21</f>
        <v>0</v>
      </c>
      <c r="H21" s="112">
        <f>F21/D21</f>
        <v>0.77083333333333337</v>
      </c>
    </row>
    <row r="22" spans="1:8" ht="14.5">
      <c r="A22" s="114"/>
      <c r="B22" s="110" t="s">
        <v>93</v>
      </c>
      <c r="C22" s="110" t="s">
        <v>94</v>
      </c>
      <c r="D22" s="111">
        <v>251</v>
      </c>
      <c r="E22" s="111"/>
      <c r="F22" s="111">
        <v>61</v>
      </c>
      <c r="G22" s="112">
        <f t="shared" ref="G22:G24" si="10">E22/D22</f>
        <v>0</v>
      </c>
      <c r="H22" s="112">
        <f t="shared" ref="H22:H24" si="11">F22/D22</f>
        <v>0.24302788844621515</v>
      </c>
    </row>
    <row r="23" spans="1:8" ht="14.5">
      <c r="A23" s="114"/>
      <c r="B23" s="110" t="s">
        <v>95</v>
      </c>
      <c r="C23" s="110" t="s">
        <v>96</v>
      </c>
      <c r="D23" s="111">
        <v>194</v>
      </c>
      <c r="E23" s="111"/>
      <c r="F23" s="111">
        <v>142</v>
      </c>
      <c r="G23" s="112">
        <f t="shared" si="10"/>
        <v>0</v>
      </c>
      <c r="H23" s="112">
        <f t="shared" si="11"/>
        <v>0.73195876288659789</v>
      </c>
    </row>
    <row r="24" spans="1:8" ht="14.5">
      <c r="A24" s="114"/>
      <c r="B24" s="110" t="s">
        <v>97</v>
      </c>
      <c r="C24" s="110" t="s">
        <v>98</v>
      </c>
      <c r="D24" s="111">
        <v>23</v>
      </c>
      <c r="E24" s="111"/>
      <c r="F24" s="111">
        <v>6</v>
      </c>
      <c r="G24" s="112">
        <f t="shared" si="10"/>
        <v>0</v>
      </c>
      <c r="H24" s="112">
        <f t="shared" si="11"/>
        <v>0.2608695652173913</v>
      </c>
    </row>
    <row r="25" spans="1:8" ht="14.5">
      <c r="A25" s="114"/>
      <c r="B25" s="110" t="s">
        <v>99</v>
      </c>
      <c r="C25" s="110" t="s">
        <v>100</v>
      </c>
      <c r="D25" s="111" t="s">
        <v>101</v>
      </c>
      <c r="E25" s="111" t="s">
        <v>101</v>
      </c>
      <c r="F25" s="111" t="s">
        <v>101</v>
      </c>
      <c r="G25" s="112"/>
      <c r="H25" s="112"/>
    </row>
    <row r="27" spans="1:8" ht="14.5">
      <c r="A27" s="113" t="s">
        <v>105</v>
      </c>
      <c r="B27" s="110" t="s">
        <v>91</v>
      </c>
      <c r="C27" s="110" t="s">
        <v>92</v>
      </c>
      <c r="D27" s="111">
        <v>15</v>
      </c>
      <c r="E27" s="111"/>
      <c r="F27" s="111">
        <v>3</v>
      </c>
      <c r="G27" s="112">
        <f>E27/D27</f>
        <v>0</v>
      </c>
      <c r="H27" s="112">
        <f>F27/D27</f>
        <v>0.2</v>
      </c>
    </row>
    <row r="28" spans="1:8" ht="14.5">
      <c r="A28" s="114"/>
      <c r="B28" s="110" t="s">
        <v>93</v>
      </c>
      <c r="C28" s="110" t="s">
        <v>94</v>
      </c>
      <c r="D28" s="111">
        <v>108</v>
      </c>
      <c r="E28" s="111"/>
      <c r="F28" s="111">
        <v>3</v>
      </c>
      <c r="G28" s="112">
        <f t="shared" ref="G28:G29" si="12">E28/D28</f>
        <v>0</v>
      </c>
      <c r="H28" s="112">
        <f t="shared" ref="H28:H29" si="13">F28/D28</f>
        <v>2.7777777777777776E-2</v>
      </c>
    </row>
    <row r="29" spans="1:8" ht="14.5">
      <c r="A29" s="114"/>
      <c r="B29" s="110" t="s">
        <v>95</v>
      </c>
      <c r="C29" s="110" t="s">
        <v>96</v>
      </c>
      <c r="D29" s="111">
        <v>211</v>
      </c>
      <c r="E29" s="111"/>
      <c r="F29" s="111">
        <v>152</v>
      </c>
      <c r="G29" s="112">
        <f t="shared" si="12"/>
        <v>0</v>
      </c>
      <c r="H29" s="112">
        <f t="shared" si="13"/>
        <v>0.72037914691943128</v>
      </c>
    </row>
    <row r="30" spans="1:8" ht="14.5">
      <c r="A30" s="114"/>
      <c r="B30" s="110" t="s">
        <v>97</v>
      </c>
      <c r="C30" s="110" t="s">
        <v>98</v>
      </c>
      <c r="D30" s="111">
        <v>0</v>
      </c>
      <c r="E30" s="111"/>
      <c r="F30" s="111">
        <v>0</v>
      </c>
      <c r="G30" s="112">
        <v>0</v>
      </c>
      <c r="H30" s="112">
        <v>0</v>
      </c>
    </row>
    <row r="31" spans="1:8" ht="14.5">
      <c r="A31" s="114"/>
      <c r="B31" s="110" t="s">
        <v>99</v>
      </c>
      <c r="C31" s="110" t="s">
        <v>100</v>
      </c>
      <c r="D31" s="111" t="s">
        <v>101</v>
      </c>
      <c r="E31" s="111" t="s">
        <v>101</v>
      </c>
      <c r="F31" s="111" t="s">
        <v>101</v>
      </c>
      <c r="G31" s="112"/>
      <c r="H31" s="112"/>
    </row>
    <row r="33" spans="1:8" ht="14.5">
      <c r="A33" s="113" t="s">
        <v>106</v>
      </c>
      <c r="B33" s="110" t="s">
        <v>91</v>
      </c>
      <c r="C33" s="110" t="s">
        <v>92</v>
      </c>
      <c r="D33" s="111">
        <v>8</v>
      </c>
      <c r="E33" s="111"/>
      <c r="F33" s="111">
        <v>6</v>
      </c>
      <c r="G33" s="112">
        <f>E33/D33</f>
        <v>0</v>
      </c>
      <c r="H33" s="112">
        <f>F33/D33</f>
        <v>0.75</v>
      </c>
    </row>
    <row r="34" spans="1:8" ht="14.5">
      <c r="A34" s="114"/>
      <c r="B34" s="110" t="s">
        <v>93</v>
      </c>
      <c r="C34" s="110" t="s">
        <v>94</v>
      </c>
      <c r="D34" s="111">
        <v>73</v>
      </c>
      <c r="E34" s="111"/>
      <c r="F34" s="111">
        <v>23</v>
      </c>
      <c r="G34" s="112">
        <f t="shared" ref="G34:G36" si="14">E34/D34</f>
        <v>0</v>
      </c>
      <c r="H34" s="112">
        <f t="shared" ref="H34:H36" si="15">F34/D34</f>
        <v>0.31506849315068491</v>
      </c>
    </row>
    <row r="35" spans="1:8" ht="14.5">
      <c r="A35" s="114"/>
      <c r="B35" s="110" t="s">
        <v>95</v>
      </c>
      <c r="C35" s="110" t="s">
        <v>96</v>
      </c>
      <c r="D35" s="111">
        <v>190</v>
      </c>
      <c r="E35" s="111"/>
      <c r="F35" s="111">
        <v>120</v>
      </c>
      <c r="G35" s="112">
        <f t="shared" si="14"/>
        <v>0</v>
      </c>
      <c r="H35" s="112">
        <f t="shared" si="15"/>
        <v>0.63157894736842102</v>
      </c>
    </row>
    <row r="36" spans="1:8" ht="14.5">
      <c r="A36" s="114"/>
      <c r="B36" s="110" t="s">
        <v>97</v>
      </c>
      <c r="C36" s="110" t="s">
        <v>98</v>
      </c>
      <c r="D36" s="111">
        <v>46</v>
      </c>
      <c r="E36" s="111"/>
      <c r="F36" s="111">
        <v>1</v>
      </c>
      <c r="G36" s="112">
        <v>0</v>
      </c>
      <c r="H36" s="112">
        <f t="shared" si="15"/>
        <v>2.1739130434782608E-2</v>
      </c>
    </row>
    <row r="37" spans="1:8" ht="14.5">
      <c r="A37" s="114"/>
      <c r="B37" s="110" t="s">
        <v>99</v>
      </c>
      <c r="C37" s="110" t="s">
        <v>100</v>
      </c>
      <c r="D37" s="111" t="s">
        <v>101</v>
      </c>
      <c r="E37" s="111" t="s">
        <v>101</v>
      </c>
      <c r="F37" s="111" t="s">
        <v>101</v>
      </c>
      <c r="G37" s="112"/>
      <c r="H37" s="112"/>
    </row>
    <row r="39" spans="1:8" ht="14.5">
      <c r="A39" s="113" t="s">
        <v>107</v>
      </c>
      <c r="B39" s="110" t="s">
        <v>91</v>
      </c>
      <c r="C39" s="110" t="s">
        <v>92</v>
      </c>
      <c r="D39" s="111">
        <v>30</v>
      </c>
      <c r="E39" s="111"/>
      <c r="F39" s="111">
        <v>29</v>
      </c>
      <c r="G39" s="112">
        <f>E39/D39</f>
        <v>0</v>
      </c>
      <c r="H39" s="112">
        <f>F39/D39</f>
        <v>0.96666666666666667</v>
      </c>
    </row>
    <row r="40" spans="1:8" ht="14.5">
      <c r="A40" s="114"/>
      <c r="B40" s="110" t="s">
        <v>93</v>
      </c>
      <c r="C40" s="110" t="s">
        <v>94</v>
      </c>
      <c r="D40" s="111">
        <v>105</v>
      </c>
      <c r="E40" s="111"/>
      <c r="F40" s="111">
        <v>30</v>
      </c>
      <c r="G40" s="112">
        <f t="shared" ref="G40:G42" si="16">E40/D40</f>
        <v>0</v>
      </c>
      <c r="H40" s="112">
        <f t="shared" ref="H40:H42" si="17">F40/D40</f>
        <v>0.2857142857142857</v>
      </c>
    </row>
    <row r="41" spans="1:8" ht="14.5">
      <c r="A41" s="114"/>
      <c r="B41" s="110" t="s">
        <v>95</v>
      </c>
      <c r="C41" s="110" t="s">
        <v>96</v>
      </c>
      <c r="D41" s="111">
        <v>126</v>
      </c>
      <c r="E41" s="111"/>
      <c r="F41" s="111">
        <v>110</v>
      </c>
      <c r="G41" s="112">
        <f t="shared" si="16"/>
        <v>0</v>
      </c>
      <c r="H41" s="112">
        <f t="shared" si="17"/>
        <v>0.87301587301587302</v>
      </c>
    </row>
    <row r="42" spans="1:8" ht="14.5">
      <c r="A42" s="114"/>
      <c r="B42" s="110" t="s">
        <v>97</v>
      </c>
      <c r="C42" s="110" t="s">
        <v>98</v>
      </c>
      <c r="D42" s="111">
        <v>17</v>
      </c>
      <c r="E42" s="111"/>
      <c r="F42" s="111">
        <v>0</v>
      </c>
      <c r="G42" s="112">
        <v>0</v>
      </c>
      <c r="H42" s="112">
        <f t="shared" si="17"/>
        <v>0</v>
      </c>
    </row>
    <row r="43" spans="1:8" ht="14.5">
      <c r="A43" s="114"/>
      <c r="B43" s="110" t="s">
        <v>99</v>
      </c>
      <c r="C43" s="110" t="s">
        <v>100</v>
      </c>
      <c r="D43" s="111" t="s">
        <v>101</v>
      </c>
      <c r="E43" s="111" t="s">
        <v>101</v>
      </c>
      <c r="F43" s="111" t="s">
        <v>101</v>
      </c>
      <c r="G43" s="112"/>
      <c r="H43" s="112"/>
    </row>
    <row r="45" spans="1:8" ht="14.5">
      <c r="A45" s="113" t="s">
        <v>108</v>
      </c>
      <c r="B45" s="110" t="s">
        <v>91</v>
      </c>
      <c r="C45" s="110" t="s">
        <v>92</v>
      </c>
      <c r="D45" s="111">
        <v>25</v>
      </c>
      <c r="E45" s="111"/>
      <c r="F45" s="111">
        <v>20</v>
      </c>
      <c r="G45" s="112">
        <f>E45/D45</f>
        <v>0</v>
      </c>
      <c r="H45" s="112">
        <f>F45/D45</f>
        <v>0.8</v>
      </c>
    </row>
    <row r="46" spans="1:8" ht="14.5">
      <c r="A46" s="114"/>
      <c r="B46" s="110" t="s">
        <v>93</v>
      </c>
      <c r="C46" s="110" t="s">
        <v>94</v>
      </c>
      <c r="D46" s="111">
        <v>152</v>
      </c>
      <c r="E46" s="111"/>
      <c r="F46" s="111">
        <v>30</v>
      </c>
      <c r="G46" s="112">
        <f t="shared" ref="G46:G48" si="18">E46/D46</f>
        <v>0</v>
      </c>
      <c r="H46" s="112">
        <f t="shared" ref="H46:H48" si="19">F46/D46</f>
        <v>0.19736842105263158</v>
      </c>
    </row>
    <row r="47" spans="1:8" ht="14.5">
      <c r="A47" s="114"/>
      <c r="B47" s="110" t="s">
        <v>95</v>
      </c>
      <c r="C47" s="110" t="s">
        <v>96</v>
      </c>
      <c r="D47" s="111">
        <v>161</v>
      </c>
      <c r="E47" s="111"/>
      <c r="F47" s="111">
        <v>127</v>
      </c>
      <c r="G47" s="112">
        <f t="shared" si="18"/>
        <v>0</v>
      </c>
      <c r="H47" s="112">
        <f t="shared" si="19"/>
        <v>0.78881987577639756</v>
      </c>
    </row>
    <row r="48" spans="1:8" ht="14.5">
      <c r="A48" s="114"/>
      <c r="B48" s="110" t="s">
        <v>97</v>
      </c>
      <c r="C48" s="110" t="s">
        <v>98</v>
      </c>
      <c r="D48" s="111">
        <v>10</v>
      </c>
      <c r="E48" s="111"/>
      <c r="F48" s="111">
        <v>6</v>
      </c>
      <c r="G48" s="112">
        <v>0</v>
      </c>
      <c r="H48" s="112">
        <f t="shared" si="19"/>
        <v>0.6</v>
      </c>
    </row>
    <row r="49" spans="1:8" ht="14.5">
      <c r="A49" s="114"/>
      <c r="B49" s="110" t="s">
        <v>99</v>
      </c>
      <c r="C49" s="110" t="s">
        <v>100</v>
      </c>
      <c r="D49" s="111" t="s">
        <v>101</v>
      </c>
      <c r="E49" s="111" t="s">
        <v>101</v>
      </c>
      <c r="F49" s="111" t="s">
        <v>101</v>
      </c>
      <c r="G49" s="112"/>
      <c r="H49" s="112"/>
    </row>
    <row r="51" spans="1:8" ht="14.5">
      <c r="A51" s="113" t="s">
        <v>109</v>
      </c>
      <c r="B51" s="110" t="s">
        <v>91</v>
      </c>
      <c r="C51" s="110" t="s">
        <v>92</v>
      </c>
      <c r="D51" s="111">
        <v>63</v>
      </c>
      <c r="E51" s="111"/>
      <c r="F51" s="111">
        <v>37</v>
      </c>
      <c r="G51" s="112">
        <f>E51/D51</f>
        <v>0</v>
      </c>
      <c r="H51" s="112">
        <f>F51/D51</f>
        <v>0.58730158730158732</v>
      </c>
    </row>
    <row r="52" spans="1:8" ht="14.5">
      <c r="A52" s="114"/>
      <c r="B52" s="110" t="s">
        <v>93</v>
      </c>
      <c r="C52" s="110" t="s">
        <v>94</v>
      </c>
      <c r="D52" s="111">
        <v>298</v>
      </c>
      <c r="E52" s="111"/>
      <c r="F52" s="111">
        <v>125</v>
      </c>
      <c r="G52" s="112">
        <f t="shared" ref="G52:G54" si="20">E52/D52</f>
        <v>0</v>
      </c>
      <c r="H52" s="112">
        <f t="shared" ref="H52:H54" si="21">F52/D52</f>
        <v>0.41946308724832215</v>
      </c>
    </row>
    <row r="53" spans="1:8" ht="14.5">
      <c r="A53" s="114"/>
      <c r="B53" s="110" t="s">
        <v>95</v>
      </c>
      <c r="C53" s="110" t="s">
        <v>96</v>
      </c>
      <c r="D53" s="111">
        <v>213</v>
      </c>
      <c r="E53" s="111"/>
      <c r="F53" s="111">
        <v>197</v>
      </c>
      <c r="G53" s="112">
        <f t="shared" si="20"/>
        <v>0</v>
      </c>
      <c r="H53" s="112">
        <f t="shared" si="21"/>
        <v>0.92488262910798125</v>
      </c>
    </row>
    <row r="54" spans="1:8" ht="14.5">
      <c r="A54" s="114"/>
      <c r="B54" s="110" t="s">
        <v>97</v>
      </c>
      <c r="C54" s="110" t="s">
        <v>98</v>
      </c>
      <c r="D54" s="111">
        <v>48</v>
      </c>
      <c r="E54" s="111"/>
      <c r="F54" s="111">
        <v>7</v>
      </c>
      <c r="G54" s="112">
        <v>0</v>
      </c>
      <c r="H54" s="112">
        <f t="shared" si="21"/>
        <v>0.14583333333333334</v>
      </c>
    </row>
    <row r="55" spans="1:8" ht="14.5">
      <c r="A55" s="114"/>
      <c r="B55" s="110" t="s">
        <v>99</v>
      </c>
      <c r="C55" s="110" t="s">
        <v>100</v>
      </c>
      <c r="D55" s="111" t="s">
        <v>101</v>
      </c>
      <c r="E55" s="111" t="s">
        <v>101</v>
      </c>
      <c r="F55" s="111" t="s">
        <v>101</v>
      </c>
      <c r="G55" s="112"/>
      <c r="H55" s="112"/>
    </row>
  </sheetData>
  <mergeCells count="9">
    <mergeCell ref="A39:A43"/>
    <mergeCell ref="A45:A49"/>
    <mergeCell ref="A51:A55"/>
    <mergeCell ref="A2:A6"/>
    <mergeCell ref="A9:A13"/>
    <mergeCell ref="A15:A19"/>
    <mergeCell ref="A21:A25"/>
    <mergeCell ref="A27:A31"/>
    <mergeCell ref="A33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039C-CA98-4546-A40C-7ED786A5D7F0}">
  <dimension ref="A1:H6"/>
  <sheetViews>
    <sheetView workbookViewId="0">
      <selection sqref="A1:H6"/>
    </sheetView>
  </sheetViews>
  <sheetFormatPr defaultRowHeight="12.5"/>
  <cols>
    <col min="3" max="3" width="35" bestFit="1" customWidth="1"/>
  </cols>
  <sheetData>
    <row r="1" spans="1:8" ht="43.5">
      <c r="B1" s="109" t="s">
        <v>85</v>
      </c>
      <c r="C1" s="109" t="s">
        <v>86</v>
      </c>
      <c r="D1" s="109" t="s">
        <v>87</v>
      </c>
      <c r="E1" s="109" t="s">
        <v>88</v>
      </c>
      <c r="F1" s="109" t="s">
        <v>89</v>
      </c>
      <c r="G1" s="109" t="s">
        <v>90</v>
      </c>
      <c r="H1" s="109" t="s">
        <v>90</v>
      </c>
    </row>
    <row r="2" spans="1:8" ht="14.5">
      <c r="A2" s="113" t="s">
        <v>106</v>
      </c>
      <c r="B2" s="110" t="s">
        <v>91</v>
      </c>
      <c r="C2" s="110" t="s">
        <v>92</v>
      </c>
      <c r="D2" s="111">
        <v>8</v>
      </c>
      <c r="E2" s="111"/>
      <c r="F2" s="111">
        <v>6</v>
      </c>
      <c r="G2" s="112">
        <f>E2/D2</f>
        <v>0</v>
      </c>
      <c r="H2" s="112">
        <f>F2/D2</f>
        <v>0.75</v>
      </c>
    </row>
    <row r="3" spans="1:8" ht="14.5">
      <c r="A3" s="114"/>
      <c r="B3" s="110" t="s">
        <v>93</v>
      </c>
      <c r="C3" s="110" t="s">
        <v>94</v>
      </c>
      <c r="D3" s="111">
        <v>73</v>
      </c>
      <c r="E3" s="111"/>
      <c r="F3" s="111">
        <v>23</v>
      </c>
      <c r="G3" s="112">
        <f t="shared" ref="G3:G5" si="0">E3/D3</f>
        <v>0</v>
      </c>
      <c r="H3" s="112">
        <f t="shared" ref="H3:H5" si="1">F3/D3</f>
        <v>0.31506849315068491</v>
      </c>
    </row>
    <row r="4" spans="1:8" ht="14.5">
      <c r="A4" s="114"/>
      <c r="B4" s="110" t="s">
        <v>95</v>
      </c>
      <c r="C4" s="110" t="s">
        <v>96</v>
      </c>
      <c r="D4" s="111">
        <v>190</v>
      </c>
      <c r="E4" s="111"/>
      <c r="F4" s="111">
        <v>120</v>
      </c>
      <c r="G4" s="112">
        <f t="shared" si="0"/>
        <v>0</v>
      </c>
      <c r="H4" s="112">
        <f t="shared" si="1"/>
        <v>0.63157894736842102</v>
      </c>
    </row>
    <row r="5" spans="1:8" ht="14.5">
      <c r="A5" s="114"/>
      <c r="B5" s="110" t="s">
        <v>97</v>
      </c>
      <c r="C5" s="110" t="s">
        <v>98</v>
      </c>
      <c r="D5" s="111">
        <v>46</v>
      </c>
      <c r="E5" s="111"/>
      <c r="F5" s="111">
        <v>1</v>
      </c>
      <c r="G5" s="112">
        <v>0</v>
      </c>
      <c r="H5" s="112">
        <v>0</v>
      </c>
    </row>
    <row r="6" spans="1:8" ht="14.5">
      <c r="A6" s="114"/>
      <c r="B6" s="110" t="s">
        <v>99</v>
      </c>
      <c r="C6" s="110" t="s">
        <v>100</v>
      </c>
      <c r="D6" s="111" t="s">
        <v>101</v>
      </c>
      <c r="E6" s="111" t="s">
        <v>101</v>
      </c>
      <c r="F6" s="111" t="s">
        <v>101</v>
      </c>
      <c r="G6" s="112"/>
      <c r="H6" s="112"/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Suivi Ind Perf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Diaba BA</dc:creator>
  <cp:lastModifiedBy>Manantsoa VAGNONDILY</cp:lastModifiedBy>
  <dcterms:created xsi:type="dcterms:W3CDTF">2024-05-23T11:08:31Z</dcterms:created>
  <dcterms:modified xsi:type="dcterms:W3CDTF">2026-07-20T10:35:34Z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2026-07-20T06:45:01Z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adfdd8b5-a3a3-49bb-8421-02b6e4639220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